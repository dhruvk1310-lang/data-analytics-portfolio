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dhruv/Downloads/"/>
    </mc:Choice>
  </mc:AlternateContent>
  <xr:revisionPtr revIDLastSave="0" documentId="13_ncr:1_{59158D01-5A5B-5040-8A63-2A0C3D14ED04}" xr6:coauthVersionLast="47" xr6:coauthVersionMax="47" xr10:uidLastSave="{00000000-0000-0000-0000-000000000000}"/>
  <bookViews>
    <workbookView xWindow="0" yWindow="740" windowWidth="29400" windowHeight="18380" tabRatio="905" firstSheet="5" activeTab="6" xr2:uid="{00000000-000D-0000-FFFF-FFFF00000000}"/>
  </bookViews>
  <sheets>
    <sheet name="Hints " sheetId="46" r:id="rId1"/>
    <sheet name="Ch 10 Ans." sheetId="2" r:id="rId2"/>
    <sheet name="Ch11 Ans." sheetId="9" r:id="rId3"/>
    <sheet name="10.1" sheetId="1" r:id="rId4"/>
    <sheet name="10.2" sheetId="4" r:id="rId5"/>
    <sheet name="10.3" sheetId="6" r:id="rId6"/>
    <sheet name="11.1" sheetId="11" r:id="rId7"/>
    <sheet name="11.2" sheetId="13" r:id="rId8"/>
    <sheet name="11.3" sheetId="14" r:id="rId9"/>
    <sheet name="Paired" sheetId="24" r:id="rId10"/>
    <sheet name="Paired_Low" sheetId="25" r:id="rId11"/>
    <sheet name="Paired_Upper" sheetId="26" r:id="rId12"/>
    <sheet name="Pooled" sheetId="16" r:id="rId13"/>
    <sheet name="Pooled_LOWER" sheetId="17" r:id="rId14"/>
    <sheet name="Pooled_UPPER" sheetId="18" r:id="rId15"/>
    <sheet name="Separate_Var" sheetId="19" r:id="rId16"/>
    <sheet name="Separate_Low" sheetId="21" r:id="rId17"/>
    <sheet name="Separate_upper" sheetId="22" r:id="rId18"/>
    <sheet name="Z two Prop" sheetId="27" r:id="rId19"/>
    <sheet name="Z_2_Prop_LOWER" sheetId="28" r:id="rId20"/>
    <sheet name="Z_2_Prop" sheetId="29" r:id="rId21"/>
    <sheet name="F Two Vars" sheetId="31" r:id="rId22"/>
    <sheet name="F Two Vars Upper" sheetId="32" r:id="rId23"/>
    <sheet name="Levene's DATA" sheetId="33" r:id="rId24"/>
    <sheet name="Levene's AbsDiffs" sheetId="34" r:id="rId25"/>
    <sheet name="Levene's" sheetId="35" r:id="rId26"/>
    <sheet name="ASFData" sheetId="36" r:id="rId27"/>
    <sheet name="One Way Anova" sheetId="37" r:id="rId28"/>
    <sheet name="TK4" sheetId="38" r:id="rId29"/>
    <sheet name="TK3" sheetId="40" r:id="rId30"/>
    <sheet name="TK5" sheetId="41" r:id="rId31"/>
    <sheet name="TK6" sheetId="42" r:id="rId32"/>
    <sheet name="TK7" sheetId="43" r:id="rId33"/>
    <sheet name="ATFData" sheetId="44" r:id="rId34"/>
    <sheet name="Two Way Anova" sheetId="45" r:id="rId35"/>
  </sheets>
  <externalReferences>
    <externalReference r:id="rId36"/>
    <externalReference r:id="rId3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6" l="1"/>
  <c r="C16" i="14"/>
  <c r="C15" i="14"/>
  <c r="C14" i="14"/>
  <c r="C13" i="14"/>
  <c r="B16" i="14"/>
  <c r="B15" i="14"/>
  <c r="B14" i="14"/>
  <c r="B13" i="14"/>
  <c r="B8" i="14"/>
  <c r="B6" i="14"/>
  <c r="B4" i="14"/>
  <c r="B4" i="13" l="1"/>
  <c r="B12" i="13"/>
  <c r="V11" i="13"/>
  <c r="V12" i="13"/>
  <c r="V13" i="13"/>
  <c r="V14" i="13"/>
  <c r="V15" i="13"/>
  <c r="V16" i="13"/>
  <c r="V10" i="13"/>
  <c r="U11" i="13"/>
  <c r="U12" i="13"/>
  <c r="U13" i="13"/>
  <c r="U14" i="13"/>
  <c r="U15" i="13"/>
  <c r="U16" i="13"/>
  <c r="U10" i="13"/>
  <c r="T11" i="13"/>
  <c r="T12" i="13"/>
  <c r="T13" i="13"/>
  <c r="T14" i="13"/>
  <c r="T15" i="13"/>
  <c r="T16" i="13"/>
  <c r="T10" i="13"/>
  <c r="S16" i="13"/>
  <c r="S11" i="13"/>
  <c r="S12" i="13"/>
  <c r="S13" i="13"/>
  <c r="S14" i="13"/>
  <c r="S15" i="13"/>
  <c r="S10" i="13"/>
  <c r="Q10" i="13"/>
  <c r="P10" i="13"/>
  <c r="O10" i="13"/>
  <c r="N10" i="13"/>
  <c r="C30" i="4"/>
  <c r="C29" i="4"/>
  <c r="C26" i="4"/>
  <c r="C25" i="4"/>
  <c r="C33" i="4"/>
  <c r="H20" i="6"/>
  <c r="E20" i="6"/>
  <c r="D20" i="6"/>
  <c r="C21" i="6"/>
  <c r="C22" i="6"/>
  <c r="C23" i="6"/>
  <c r="C24" i="6"/>
  <c r="C25" i="6"/>
  <c r="C26" i="6"/>
  <c r="C27" i="6"/>
  <c r="C28" i="6"/>
  <c r="C29" i="6"/>
  <c r="C30" i="6"/>
  <c r="C31" i="6"/>
  <c r="C32" i="6"/>
  <c r="C33" i="6"/>
  <c r="C34" i="6"/>
  <c r="C35" i="6"/>
  <c r="C36" i="6"/>
  <c r="C37" i="6"/>
  <c r="C38" i="6"/>
  <c r="C39" i="6"/>
  <c r="C20" i="6"/>
  <c r="G20" i="6"/>
  <c r="B16" i="6"/>
  <c r="B15" i="6"/>
  <c r="F11" i="24"/>
  <c r="G31" i="6"/>
  <c r="G32" i="6" s="1"/>
  <c r="G29" i="6" l="1"/>
  <c r="J22" i="6" l="1"/>
  <c r="E15" i="4" l="1"/>
  <c r="B2" i="4" s="1"/>
  <c r="D15" i="4"/>
  <c r="C15" i="4"/>
  <c r="G30" i="6" l="1"/>
  <c r="G36" i="6" s="1"/>
  <c r="B12" i="1"/>
  <c r="E18" i="1"/>
  <c r="E30" i="1"/>
  <c r="E26" i="1"/>
  <c r="E25" i="1"/>
  <c r="G37" i="6" l="1"/>
  <c r="H19" i="1"/>
  <c r="H20" i="1" s="1"/>
  <c r="E27" i="1"/>
  <c r="E34" i="1" s="1"/>
  <c r="E28" i="1" l="1"/>
  <c r="E29" i="1" s="1"/>
  <c r="E31" i="1" s="1"/>
  <c r="H34" i="1" l="1"/>
  <c r="H35" i="1" s="1"/>
  <c r="E35" i="1" s="1"/>
  <c r="D36" i="1" s="1"/>
  <c r="H21" i="1"/>
  <c r="H25" i="1" l="1"/>
  <c r="H24" i="1"/>
  <c r="U8" i="11"/>
  <c r="X8" i="11" s="1"/>
  <c r="X5" i="11"/>
  <c r="X6" i="11"/>
  <c r="X7" i="11"/>
  <c r="X9" i="11"/>
  <c r="X10" i="11"/>
  <c r="W6" i="11"/>
  <c r="W7" i="11"/>
  <c r="W8" i="11"/>
  <c r="W9" i="11"/>
  <c r="W10" i="11"/>
  <c r="W5" i="11"/>
  <c r="V10" i="11"/>
  <c r="V9" i="11"/>
  <c r="V8" i="11"/>
  <c r="V7" i="11"/>
  <c r="V6" i="11"/>
  <c r="V5" i="11"/>
  <c r="U9" i="11"/>
  <c r="U7" i="11"/>
  <c r="U6" i="11"/>
  <c r="U5" i="11"/>
  <c r="U10" i="11"/>
  <c r="Q6" i="11"/>
  <c r="Q7" i="11"/>
  <c r="Q8" i="11"/>
  <c r="Q5" i="11"/>
  <c r="R6" i="11"/>
  <c r="R7" i="11"/>
  <c r="R8" i="11"/>
  <c r="R5" i="11"/>
  <c r="Q14" i="11"/>
  <c r="Q13" i="11"/>
  <c r="Q12" i="11"/>
  <c r="Q11" i="11"/>
  <c r="P8" i="11"/>
  <c r="P7" i="11"/>
  <c r="P6" i="11"/>
  <c r="P5" i="11"/>
  <c r="X4" i="11"/>
  <c r="B6" i="9"/>
  <c r="E13" i="21"/>
  <c r="A7" i="9"/>
  <c r="B43" i="9"/>
  <c r="B44" i="9"/>
  <c r="B45" i="9"/>
  <c r="B46" i="9"/>
  <c r="B47" i="9"/>
  <c r="B48" i="9"/>
  <c r="A42" i="9"/>
  <c r="A43" i="9"/>
  <c r="A44" i="9"/>
  <c r="A45" i="9"/>
  <c r="A46" i="9"/>
  <c r="A47" i="9"/>
  <c r="A48" i="9"/>
  <c r="A49" i="9"/>
  <c r="A41" i="9"/>
  <c r="B19" i="9"/>
  <c r="B20" i="9"/>
  <c r="B22" i="9"/>
  <c r="B23" i="9"/>
  <c r="B24" i="9"/>
  <c r="B26" i="9"/>
  <c r="B27" i="9"/>
  <c r="B29" i="9"/>
  <c r="B30" i="9"/>
  <c r="B31" i="9"/>
  <c r="B33" i="9"/>
  <c r="B34" i="9"/>
  <c r="B36" i="9"/>
  <c r="B37" i="9"/>
  <c r="B38" i="9"/>
  <c r="B39" i="9"/>
  <c r="A19" i="9"/>
  <c r="A20" i="9"/>
  <c r="A22" i="9"/>
  <c r="A23" i="9"/>
  <c r="A24" i="9"/>
  <c r="A25" i="9"/>
  <c r="A26" i="9"/>
  <c r="A27" i="9"/>
  <c r="A29" i="9"/>
  <c r="A30" i="9"/>
  <c r="A31" i="9"/>
  <c r="A32" i="9"/>
  <c r="A33" i="9"/>
  <c r="A35" i="9"/>
  <c r="A36" i="9"/>
  <c r="A18" i="9"/>
  <c r="B11" i="9"/>
  <c r="B12" i="9"/>
  <c r="B13" i="9"/>
  <c r="B14" i="9"/>
  <c r="B15" i="9"/>
  <c r="B16" i="9"/>
  <c r="A12" i="9"/>
  <c r="A13" i="9"/>
  <c r="A14" i="9"/>
  <c r="A15" i="9"/>
  <c r="A16" i="9"/>
  <c r="A11" i="9"/>
  <c r="A10" i="9"/>
  <c r="B3" i="9"/>
  <c r="B4" i="9"/>
  <c r="B7" i="9"/>
  <c r="B8" i="9"/>
  <c r="B9" i="9"/>
  <c r="A3" i="9"/>
  <c r="A4" i="9"/>
  <c r="A6" i="9"/>
  <c r="A8" i="9"/>
  <c r="A9" i="9"/>
  <c r="A2" i="9"/>
  <c r="A35" i="2"/>
  <c r="B35" i="2"/>
  <c r="B38" i="2"/>
  <c r="B39" i="2"/>
  <c r="B40" i="2"/>
  <c r="B41" i="2"/>
  <c r="B42" i="2"/>
  <c r="B43" i="2"/>
  <c r="B44" i="2"/>
  <c r="B45" i="2"/>
  <c r="B46" i="2"/>
  <c r="B47" i="2"/>
  <c r="A44" i="2"/>
  <c r="A45" i="2"/>
  <c r="A46" i="2"/>
  <c r="A47" i="2"/>
  <c r="A31" i="2"/>
  <c r="A32" i="2"/>
  <c r="A34" i="2"/>
  <c r="A36" i="2"/>
  <c r="A37" i="2"/>
  <c r="A38" i="2"/>
  <c r="A39" i="2"/>
  <c r="A40" i="2"/>
  <c r="A41" i="2"/>
  <c r="A42" i="2"/>
  <c r="B32" i="2"/>
  <c r="B34" i="2"/>
  <c r="B31" i="2"/>
  <c r="B22" i="2"/>
  <c r="B23" i="2"/>
  <c r="B26" i="2"/>
  <c r="B27" i="2"/>
  <c r="B28" i="2"/>
  <c r="B21" i="2"/>
  <c r="B19" i="2"/>
  <c r="B11" i="2"/>
  <c r="B12" i="2"/>
  <c r="B13" i="2"/>
  <c r="B14" i="2"/>
  <c r="B15" i="2"/>
  <c r="B3" i="2"/>
  <c r="A18" i="2"/>
  <c r="A19" i="2"/>
  <c r="A20" i="2"/>
  <c r="A21" i="2"/>
  <c r="A22" i="2"/>
  <c r="A23" i="2"/>
  <c r="A24" i="2"/>
  <c r="A25" i="2"/>
  <c r="A26" i="2"/>
  <c r="A27" i="2"/>
  <c r="A28" i="2"/>
  <c r="A17" i="2"/>
  <c r="A2" i="2"/>
  <c r="A3" i="2"/>
  <c r="A4" i="2"/>
  <c r="A5" i="2"/>
  <c r="A6" i="2"/>
  <c r="A7" i="2"/>
  <c r="A8" i="2"/>
  <c r="A9" i="2"/>
  <c r="A10" i="2"/>
  <c r="A11" i="2"/>
  <c r="A12" i="2"/>
  <c r="A13" i="2"/>
  <c r="A14" i="2"/>
  <c r="A15" i="2"/>
  <c r="A1" i="2"/>
  <c r="C50" i="9" l="1"/>
  <c r="C49" i="2" l="1"/>
  <c r="B18" i="2"/>
  <c r="E13" i="19"/>
  <c r="B4" i="2"/>
  <c r="B6" i="2"/>
  <c r="B8" i="2"/>
  <c r="B10" i="2"/>
  <c r="B30" i="45" l="1"/>
  <c r="B26" i="45" s="1"/>
  <c r="B28" i="45"/>
  <c r="C25" i="45"/>
  <c r="E20" i="45"/>
  <c r="D20" i="45"/>
  <c r="C20" i="45"/>
  <c r="B20" i="45"/>
  <c r="E19" i="45"/>
  <c r="D19" i="45"/>
  <c r="C19" i="45"/>
  <c r="B19" i="45"/>
  <c r="E18" i="45"/>
  <c r="D18" i="45"/>
  <c r="C18" i="45"/>
  <c r="B18" i="45"/>
  <c r="E17" i="45"/>
  <c r="D17" i="45"/>
  <c r="C17" i="45"/>
  <c r="B17" i="45"/>
  <c r="F14" i="45"/>
  <c r="E14" i="45"/>
  <c r="D14" i="45"/>
  <c r="C14" i="45"/>
  <c r="B14" i="45"/>
  <c r="E13" i="45"/>
  <c r="D13" i="45"/>
  <c r="C13" i="45"/>
  <c r="B13" i="45"/>
  <c r="E12" i="45"/>
  <c r="D12" i="45"/>
  <c r="C12" i="45"/>
  <c r="B12" i="45"/>
  <c r="E11" i="45"/>
  <c r="D11" i="45"/>
  <c r="C11" i="45"/>
  <c r="B11" i="45"/>
  <c r="F8" i="45"/>
  <c r="E8" i="45"/>
  <c r="D8" i="45"/>
  <c r="C8" i="45"/>
  <c r="B8" i="45"/>
  <c r="E7" i="45"/>
  <c r="D7" i="45"/>
  <c r="C7" i="45"/>
  <c r="B7" i="45"/>
  <c r="E6" i="45"/>
  <c r="D6" i="45"/>
  <c r="C6" i="45"/>
  <c r="B6" i="45"/>
  <c r="F6" i="45" s="1"/>
  <c r="E5" i="45"/>
  <c r="D5" i="45"/>
  <c r="C5" i="45"/>
  <c r="B5" i="45"/>
  <c r="A4" i="45"/>
  <c r="E3" i="45"/>
  <c r="D3" i="45"/>
  <c r="C3" i="45"/>
  <c r="B3" i="45"/>
  <c r="C26" i="45" s="1"/>
  <c r="G4" i="44"/>
  <c r="G3" i="44"/>
  <c r="G2" i="44"/>
  <c r="F7" i="45" l="1"/>
  <c r="F13" i="45"/>
  <c r="B25" i="45"/>
  <c r="D25" i="45" s="1"/>
  <c r="F11" i="45"/>
  <c r="F12" i="45"/>
  <c r="D26" i="45"/>
  <c r="F5" i="45"/>
  <c r="C27" i="45"/>
  <c r="C28" i="45"/>
  <c r="D28" i="45" s="1"/>
  <c r="B27" i="45" l="1"/>
  <c r="E25" i="45"/>
  <c r="F25" i="45" s="1"/>
  <c r="G27" i="45"/>
  <c r="C30" i="45"/>
  <c r="G25" i="45"/>
  <c r="E26" i="45"/>
  <c r="F26" i="45" s="1"/>
  <c r="D27" i="45"/>
  <c r="E27" i="45" s="1"/>
  <c r="F27" i="45" s="1"/>
  <c r="G26" i="45"/>
  <c r="F25" i="43" l="1"/>
  <c r="F24" i="43"/>
  <c r="F23" i="43"/>
  <c r="B17" i="43"/>
  <c r="G25" i="43" s="1"/>
  <c r="H25" i="43" s="1"/>
  <c r="B16" i="43"/>
  <c r="B15" i="43"/>
  <c r="I4" i="43" s="1"/>
  <c r="B14" i="43"/>
  <c r="C8" i="43"/>
  <c r="B8" i="43"/>
  <c r="F21" i="43" s="1"/>
  <c r="A8" i="43"/>
  <c r="C7" i="43"/>
  <c r="B7" i="43"/>
  <c r="A7" i="43"/>
  <c r="C6" i="43"/>
  <c r="G15" i="43" s="1"/>
  <c r="H15" i="43" s="1"/>
  <c r="B6" i="43"/>
  <c r="F14" i="43" s="1"/>
  <c r="A6" i="43"/>
  <c r="C5" i="43"/>
  <c r="B5" i="43"/>
  <c r="A5" i="43"/>
  <c r="F19" i="42"/>
  <c r="B16" i="42"/>
  <c r="B15" i="42"/>
  <c r="I4" i="42" s="1"/>
  <c r="B14" i="42"/>
  <c r="B13" i="42"/>
  <c r="C8" i="42"/>
  <c r="B8" i="42"/>
  <c r="F18" i="42" s="1"/>
  <c r="A8" i="42"/>
  <c r="C7" i="42"/>
  <c r="B7" i="42"/>
  <c r="F16" i="42" s="1"/>
  <c r="A7" i="42"/>
  <c r="C6" i="42"/>
  <c r="B6" i="42"/>
  <c r="F12" i="42" s="1"/>
  <c r="A6" i="42"/>
  <c r="C5" i="42"/>
  <c r="B5" i="42"/>
  <c r="F9" i="42" s="1"/>
  <c r="A5" i="42"/>
  <c r="B15" i="41"/>
  <c r="B14" i="41"/>
  <c r="B13" i="41"/>
  <c r="B12" i="41"/>
  <c r="C8" i="41"/>
  <c r="B8" i="41"/>
  <c r="F14" i="41" s="1"/>
  <c r="A8" i="41"/>
  <c r="C7" i="41"/>
  <c r="B7" i="41"/>
  <c r="A7" i="41"/>
  <c r="C6" i="41"/>
  <c r="B6" i="41"/>
  <c r="F11" i="41" s="1"/>
  <c r="A6" i="41"/>
  <c r="C5" i="41"/>
  <c r="B5" i="41"/>
  <c r="A5" i="41"/>
  <c r="B13" i="40"/>
  <c r="B12" i="40"/>
  <c r="B11" i="40"/>
  <c r="B10" i="40"/>
  <c r="C7" i="40"/>
  <c r="B7" i="40"/>
  <c r="A7" i="40"/>
  <c r="C6" i="40"/>
  <c r="B6" i="40"/>
  <c r="A6" i="40"/>
  <c r="C5" i="40"/>
  <c r="B5" i="40"/>
  <c r="A5" i="40"/>
  <c r="I4" i="40"/>
  <c r="B12" i="38"/>
  <c r="B11" i="38"/>
  <c r="A8" i="38"/>
  <c r="C6" i="38"/>
  <c r="I4" i="38"/>
  <c r="B16" i="37"/>
  <c r="B13" i="37" s="1"/>
  <c r="C13" i="37"/>
  <c r="E8" i="37"/>
  <c r="D8" i="37"/>
  <c r="B8" i="38" s="1"/>
  <c r="C8" i="37"/>
  <c r="B8" i="37"/>
  <c r="C8" i="38" s="1"/>
  <c r="A8" i="37"/>
  <c r="E7" i="37"/>
  <c r="D7" i="37"/>
  <c r="B7" i="38" s="1"/>
  <c r="C7" i="37"/>
  <c r="B7" i="37"/>
  <c r="C7" i="38" s="1"/>
  <c r="A7" i="37"/>
  <c r="A7" i="38" s="1"/>
  <c r="E6" i="37"/>
  <c r="D6" i="37"/>
  <c r="B6" i="38" s="1"/>
  <c r="C6" i="37"/>
  <c r="B6" i="37"/>
  <c r="A6" i="37"/>
  <c r="A6" i="38" s="1"/>
  <c r="E5" i="37"/>
  <c r="D5" i="37"/>
  <c r="B5" i="38" s="1"/>
  <c r="F5" i="38" s="1"/>
  <c r="C5" i="37"/>
  <c r="B5" i="37"/>
  <c r="A5" i="37"/>
  <c r="A5" i="38" s="1"/>
  <c r="J2" i="37"/>
  <c r="G13" i="42" l="1"/>
  <c r="H13" i="42" s="1"/>
  <c r="G9" i="43"/>
  <c r="H9" i="43" s="1"/>
  <c r="F6" i="41"/>
  <c r="F5" i="40"/>
  <c r="G12" i="41"/>
  <c r="H12" i="41" s="1"/>
  <c r="F7" i="40"/>
  <c r="G15" i="42"/>
  <c r="H15" i="42" s="1"/>
  <c r="G5" i="42"/>
  <c r="H5" i="42" s="1"/>
  <c r="G18" i="42"/>
  <c r="H18" i="42" s="1"/>
  <c r="I18" i="42" s="1"/>
  <c r="G5" i="40"/>
  <c r="H5" i="40" s="1"/>
  <c r="F16" i="43"/>
  <c r="F5" i="43"/>
  <c r="F22" i="43"/>
  <c r="G8" i="43"/>
  <c r="H8" i="43" s="1"/>
  <c r="F5" i="41"/>
  <c r="J3" i="37"/>
  <c r="C14" i="37" s="1"/>
  <c r="B13" i="38" s="1"/>
  <c r="G11" i="41"/>
  <c r="H11" i="41" s="1"/>
  <c r="I11" i="41" s="1"/>
  <c r="F13" i="42"/>
  <c r="I13" i="42" s="1"/>
  <c r="G19" i="42"/>
  <c r="H19" i="42" s="1"/>
  <c r="I19" i="42" s="1"/>
  <c r="F9" i="43"/>
  <c r="I9" i="43" s="1"/>
  <c r="F17" i="43"/>
  <c r="G22" i="43"/>
  <c r="H22" i="43" s="1"/>
  <c r="G19" i="43"/>
  <c r="H19" i="43" s="1"/>
  <c r="F10" i="43"/>
  <c r="I10" i="43" s="1"/>
  <c r="F19" i="43"/>
  <c r="G23" i="43"/>
  <c r="H23" i="43" s="1"/>
  <c r="I23" i="43" s="1"/>
  <c r="F18" i="43"/>
  <c r="G7" i="40"/>
  <c r="H7" i="40" s="1"/>
  <c r="G6" i="43"/>
  <c r="H6" i="43" s="1"/>
  <c r="G10" i="43"/>
  <c r="H10" i="43" s="1"/>
  <c r="F20" i="43"/>
  <c r="D13" i="37"/>
  <c r="G6" i="40"/>
  <c r="H6" i="40" s="1"/>
  <c r="G16" i="42"/>
  <c r="H16" i="42" s="1"/>
  <c r="I16" i="42" s="1"/>
  <c r="G5" i="43"/>
  <c r="H5" i="43" s="1"/>
  <c r="G20" i="43"/>
  <c r="H20" i="43" s="1"/>
  <c r="G24" i="43"/>
  <c r="H24" i="43" s="1"/>
  <c r="I24" i="43" s="1"/>
  <c r="F7" i="41"/>
  <c r="F12" i="41"/>
  <c r="F13" i="41"/>
  <c r="G8" i="42"/>
  <c r="H8" i="42" s="1"/>
  <c r="G17" i="42"/>
  <c r="H17" i="42" s="1"/>
  <c r="I25" i="43"/>
  <c r="F6" i="40"/>
  <c r="G6" i="41"/>
  <c r="H6" i="41" s="1"/>
  <c r="I6" i="41" s="1"/>
  <c r="G13" i="41"/>
  <c r="H13" i="41" s="1"/>
  <c r="G9" i="42"/>
  <c r="H9" i="42" s="1"/>
  <c r="I9" i="42" s="1"/>
  <c r="F8" i="43"/>
  <c r="G21" i="43"/>
  <c r="H21" i="43" s="1"/>
  <c r="I21" i="43" s="1"/>
  <c r="G7" i="41"/>
  <c r="H7" i="41" s="1"/>
  <c r="F7" i="42"/>
  <c r="G11" i="42"/>
  <c r="H11" i="42" s="1"/>
  <c r="F12" i="43"/>
  <c r="G16" i="43"/>
  <c r="H16" i="43" s="1"/>
  <c r="F6" i="42"/>
  <c r="G12" i="43"/>
  <c r="H12" i="43" s="1"/>
  <c r="G18" i="43"/>
  <c r="H18" i="43" s="1"/>
  <c r="G5" i="41"/>
  <c r="H5" i="41" s="1"/>
  <c r="F8" i="41"/>
  <c r="F9" i="41"/>
  <c r="F10" i="41"/>
  <c r="G14" i="41"/>
  <c r="H14" i="41" s="1"/>
  <c r="I14" i="41" s="1"/>
  <c r="F5" i="42"/>
  <c r="G6" i="42"/>
  <c r="H6" i="42" s="1"/>
  <c r="G14" i="42"/>
  <c r="H14" i="42" s="1"/>
  <c r="F15" i="42"/>
  <c r="F6" i="43"/>
  <c r="G7" i="43"/>
  <c r="H7" i="43" s="1"/>
  <c r="G14" i="43"/>
  <c r="H14" i="43" s="1"/>
  <c r="I14" i="43" s="1"/>
  <c r="F15" i="43"/>
  <c r="I15" i="43" s="1"/>
  <c r="G10" i="42"/>
  <c r="H10" i="42" s="1"/>
  <c r="G12" i="42"/>
  <c r="H12" i="42" s="1"/>
  <c r="I12" i="42" s="1"/>
  <c r="F11" i="43"/>
  <c r="F13" i="43"/>
  <c r="G7" i="42"/>
  <c r="H7" i="42" s="1"/>
  <c r="F14" i="42"/>
  <c r="F7" i="43"/>
  <c r="G11" i="43"/>
  <c r="H11" i="43" s="1"/>
  <c r="G13" i="43"/>
  <c r="H13" i="43" s="1"/>
  <c r="G17" i="43"/>
  <c r="H17" i="43" s="1"/>
  <c r="G8" i="41"/>
  <c r="H8" i="41" s="1"/>
  <c r="G9" i="41"/>
  <c r="H9" i="41" s="1"/>
  <c r="G10" i="41"/>
  <c r="H10" i="41" s="1"/>
  <c r="F8" i="42"/>
  <c r="F10" i="42"/>
  <c r="F11" i="42"/>
  <c r="F17" i="42"/>
  <c r="F9" i="38"/>
  <c r="F8" i="38"/>
  <c r="C16" i="37"/>
  <c r="F10" i="38"/>
  <c r="G13" i="37"/>
  <c r="B14" i="37"/>
  <c r="D14" i="37" s="1"/>
  <c r="B14" i="38" s="1"/>
  <c r="C5" i="38"/>
  <c r="F6" i="38"/>
  <c r="F7" i="38"/>
  <c r="I12" i="41" l="1"/>
  <c r="I22" i="43"/>
  <c r="I18" i="43"/>
  <c r="I5" i="43"/>
  <c r="I15" i="42"/>
  <c r="I7" i="41"/>
  <c r="I6" i="40"/>
  <c r="I5" i="42"/>
  <c r="I11" i="42"/>
  <c r="I5" i="40"/>
  <c r="I7" i="40"/>
  <c r="I16" i="43"/>
  <c r="I17" i="43"/>
  <c r="I8" i="42"/>
  <c r="I8" i="43"/>
  <c r="I13" i="43"/>
  <c r="I5" i="41"/>
  <c r="I7" i="43"/>
  <c r="I17" i="42"/>
  <c r="I19" i="43"/>
  <c r="I13" i="41"/>
  <c r="I10" i="42"/>
  <c r="I10" i="41"/>
  <c r="I12" i="43"/>
  <c r="I20" i="43"/>
  <c r="I6" i="43"/>
  <c r="I11" i="43"/>
  <c r="I14" i="42"/>
  <c r="I9" i="41"/>
  <c r="I8" i="41"/>
  <c r="I6" i="42"/>
  <c r="I7" i="42"/>
  <c r="G5" i="38"/>
  <c r="H5" i="38" s="1"/>
  <c r="I5" i="38" s="1"/>
  <c r="G10" i="38"/>
  <c r="H10" i="38" s="1"/>
  <c r="I10" i="38" s="1"/>
  <c r="G9" i="38"/>
  <c r="H9" i="38" s="1"/>
  <c r="I9" i="38" s="1"/>
  <c r="G8" i="38"/>
  <c r="H8" i="38" s="1"/>
  <c r="I8" i="38" s="1"/>
  <c r="G6" i="38"/>
  <c r="H6" i="38" s="1"/>
  <c r="I6" i="38" s="1"/>
  <c r="G7" i="38"/>
  <c r="H7" i="38" s="1"/>
  <c r="I7" i="38" s="1"/>
  <c r="E13" i="37"/>
  <c r="F13" i="37" s="1"/>
  <c r="A8" i="35" l="1"/>
  <c r="A7" i="35"/>
  <c r="A6" i="35"/>
  <c r="A5" i="35"/>
  <c r="J2" i="35"/>
  <c r="C13" i="35" s="1"/>
  <c r="D8" i="33"/>
  <c r="D6" i="34" s="1"/>
  <c r="C8" i="33"/>
  <c r="C6" i="34" s="1"/>
  <c r="B8" i="33"/>
  <c r="B6" i="34" s="1"/>
  <c r="A8" i="33"/>
  <c r="A6" i="34" s="1"/>
  <c r="B2" i="34" l="1"/>
  <c r="C2" i="34"/>
  <c r="C3" i="34"/>
  <c r="C4" i="34"/>
  <c r="C5" i="34"/>
  <c r="B4" i="34"/>
  <c r="B5" i="34"/>
  <c r="D2" i="34"/>
  <c r="D3" i="34"/>
  <c r="D4" i="34"/>
  <c r="D5" i="34"/>
  <c r="B3" i="34"/>
  <c r="A2" i="34"/>
  <c r="A3" i="34"/>
  <c r="A4" i="34"/>
  <c r="A5" i="34"/>
  <c r="B6" i="35" l="1"/>
  <c r="C6" i="35"/>
  <c r="E6" i="35"/>
  <c r="D6" i="35"/>
  <c r="E7" i="35"/>
  <c r="D7" i="35"/>
  <c r="B7" i="35"/>
  <c r="C7" i="35"/>
  <c r="D8" i="35"/>
  <c r="E8" i="35"/>
  <c r="C8" i="35"/>
  <c r="B8" i="35"/>
  <c r="C5" i="35"/>
  <c r="B16" i="35"/>
  <c r="B5" i="35"/>
  <c r="D5" i="35"/>
  <c r="E5" i="35"/>
  <c r="B13" i="35" l="1"/>
  <c r="D13" i="35" s="1"/>
  <c r="J3" i="35"/>
  <c r="C14" i="35" s="1"/>
  <c r="C16" i="35" l="1"/>
  <c r="G13" i="35"/>
  <c r="B14" i="35"/>
  <c r="D14" i="35" s="1"/>
  <c r="E13" i="35" s="1"/>
  <c r="F13" i="35" s="1"/>
  <c r="E10" i="32" l="1"/>
  <c r="E10" i="31"/>
  <c r="E13" i="31" s="1"/>
  <c r="E9" i="32"/>
  <c r="E9" i="31"/>
  <c r="E15" i="31" s="1"/>
  <c r="E7" i="32"/>
  <c r="E7" i="31"/>
  <c r="E6" i="32"/>
  <c r="E6" i="31"/>
  <c r="E14" i="31" s="1"/>
  <c r="E15" i="32"/>
  <c r="E14" i="32"/>
  <c r="E13" i="32" l="1"/>
  <c r="E19" i="32" s="1"/>
  <c r="D20" i="32" s="1"/>
  <c r="E18" i="32"/>
  <c r="E18" i="31"/>
  <c r="E19" i="31"/>
  <c r="D20" i="31" s="1"/>
  <c r="B21" i="29" l="1"/>
  <c r="B17" i="29"/>
  <c r="B15" i="29"/>
  <c r="B14" i="29"/>
  <c r="B16" i="29" s="1"/>
  <c r="E10" i="29"/>
  <c r="B21" i="28"/>
  <c r="B17" i="28"/>
  <c r="B15" i="28"/>
  <c r="B14" i="28"/>
  <c r="E11" i="28" s="1"/>
  <c r="E12" i="28" s="1"/>
  <c r="E10" i="28"/>
  <c r="B22" i="27"/>
  <c r="B21" i="27"/>
  <c r="B17" i="27"/>
  <c r="B15" i="27"/>
  <c r="B14" i="27"/>
  <c r="E11" i="27" s="1"/>
  <c r="E12" i="27" s="1"/>
  <c r="E10" i="27"/>
  <c r="B18" i="29" l="1"/>
  <c r="B22" i="29" s="1"/>
  <c r="A23" i="29" s="1"/>
  <c r="E11" i="29"/>
  <c r="E12" i="29" s="1"/>
  <c r="E15" i="29" s="1"/>
  <c r="B16" i="28"/>
  <c r="B18" i="28" s="1"/>
  <c r="B22" i="28" s="1"/>
  <c r="A23" i="28" s="1"/>
  <c r="B16" i="27"/>
  <c r="B18" i="27" s="1"/>
  <c r="B23" i="27" s="1"/>
  <c r="A24" i="27" s="1"/>
  <c r="E16" i="28"/>
  <c r="E15" i="28"/>
  <c r="E16" i="27"/>
  <c r="E15" i="27" l="1"/>
  <c r="E16" i="29"/>
  <c r="F8" i="25"/>
  <c r="F8" i="26"/>
  <c r="F8" i="24"/>
  <c r="F10" i="24" s="1"/>
  <c r="C17" i="25"/>
  <c r="C16" i="25"/>
  <c r="C15" i="25"/>
  <c r="C14" i="25"/>
  <c r="C13" i="25"/>
  <c r="C12" i="25"/>
  <c r="C11" i="25"/>
  <c r="C10" i="25"/>
  <c r="C9" i="25"/>
  <c r="C8" i="25"/>
  <c r="C7" i="25"/>
  <c r="C6" i="25"/>
  <c r="C5" i="25"/>
  <c r="C4" i="25"/>
  <c r="C3" i="25"/>
  <c r="C2" i="25"/>
  <c r="F9" i="25" s="1"/>
  <c r="C17" i="26"/>
  <c r="C16" i="26"/>
  <c r="C15" i="26"/>
  <c r="C14" i="26"/>
  <c r="C13" i="26"/>
  <c r="C12" i="26"/>
  <c r="C11" i="26"/>
  <c r="C10" i="26"/>
  <c r="C9" i="26"/>
  <c r="C8" i="26"/>
  <c r="C7" i="26"/>
  <c r="C6" i="26"/>
  <c r="C5" i="26"/>
  <c r="C4" i="26"/>
  <c r="C3" i="26"/>
  <c r="C2" i="26"/>
  <c r="F9" i="26" s="1"/>
  <c r="C17" i="24"/>
  <c r="C16" i="24"/>
  <c r="C15" i="24"/>
  <c r="C14" i="24"/>
  <c r="C13" i="24"/>
  <c r="C12" i="24"/>
  <c r="C11" i="24"/>
  <c r="C10" i="24"/>
  <c r="C9" i="24"/>
  <c r="C8" i="24"/>
  <c r="C7" i="24"/>
  <c r="C6" i="24"/>
  <c r="C5" i="24"/>
  <c r="C4" i="24"/>
  <c r="C3" i="24"/>
  <c r="C2" i="24"/>
  <c r="F9" i="24" s="1"/>
  <c r="F10" i="26"/>
  <c r="F11" i="26" s="1"/>
  <c r="F10" i="25"/>
  <c r="F11" i="25" l="1"/>
  <c r="F12" i="25" s="1"/>
  <c r="F13" i="25" s="1"/>
  <c r="F17" i="24"/>
  <c r="F12" i="24"/>
  <c r="F13" i="24" s="1"/>
  <c r="F18" i="24" s="1"/>
  <c r="E19" i="24" s="1"/>
  <c r="F16" i="24"/>
  <c r="F16" i="26"/>
  <c r="F12" i="26"/>
  <c r="F13" i="26" s="1"/>
  <c r="F16" i="25"/>
  <c r="I16" i="26" l="1"/>
  <c r="I17" i="26" s="1"/>
  <c r="I16" i="25"/>
  <c r="I17" i="25" s="1"/>
  <c r="F17" i="25" s="1"/>
  <c r="E18" i="25" s="1"/>
  <c r="F17" i="26" l="1"/>
  <c r="E18" i="26" s="1"/>
  <c r="E14" i="22" l="1"/>
  <c r="E15" i="22" s="1"/>
  <c r="E13" i="22"/>
  <c r="E12" i="22"/>
  <c r="E9" i="22"/>
  <c r="E10" i="22" s="1"/>
  <c r="E18" i="22" s="1"/>
  <c r="E22" i="22" s="1"/>
  <c r="E8" i="22"/>
  <c r="E7" i="22"/>
  <c r="E14" i="21"/>
  <c r="E15" i="21" s="1"/>
  <c r="E12" i="21"/>
  <c r="E9" i="21"/>
  <c r="E10" i="21" s="1"/>
  <c r="E18" i="21" s="1"/>
  <c r="E22" i="21" s="1"/>
  <c r="E8" i="21"/>
  <c r="E7" i="21"/>
  <c r="E14" i="19"/>
  <c r="E15" i="19" s="1"/>
  <c r="E12" i="19"/>
  <c r="E9" i="19"/>
  <c r="E10" i="19" s="1"/>
  <c r="E18" i="19" s="1"/>
  <c r="E8" i="19"/>
  <c r="E7" i="19"/>
  <c r="E19" i="21" l="1"/>
  <c r="E23" i="21" s="1"/>
  <c r="E19" i="22"/>
  <c r="E19" i="19"/>
  <c r="E24" i="19" s="1"/>
  <c r="D25" i="19" s="1"/>
  <c r="E22" i="19"/>
  <c r="E23" i="19"/>
  <c r="E23" i="22" l="1"/>
  <c r="D24" i="22" s="1"/>
  <c r="D24" i="21"/>
  <c r="E13" i="18" l="1"/>
  <c r="E12" i="18"/>
  <c r="E11" i="18"/>
  <c r="E9" i="18"/>
  <c r="E8" i="18"/>
  <c r="E21" i="18" s="1"/>
  <c r="E7" i="18"/>
  <c r="E13" i="17"/>
  <c r="E12" i="17"/>
  <c r="E21" i="17" s="1"/>
  <c r="E11" i="17"/>
  <c r="E17" i="17" s="1"/>
  <c r="E9" i="17"/>
  <c r="E8" i="17"/>
  <c r="E7" i="17"/>
  <c r="E13" i="16"/>
  <c r="E12" i="16"/>
  <c r="E7" i="16"/>
  <c r="E16" i="16" s="1"/>
  <c r="E11" i="16"/>
  <c r="E17" i="16" s="1"/>
  <c r="E9" i="16"/>
  <c r="E8" i="16"/>
  <c r="E17" i="18"/>
  <c r="E16" i="18"/>
  <c r="E16" i="17"/>
  <c r="E21" i="16" l="1"/>
  <c r="E18" i="17"/>
  <c r="E25" i="17" s="1"/>
  <c r="H10" i="16"/>
  <c r="H11" i="16" s="1"/>
  <c r="E18" i="16"/>
  <c r="H10" i="18"/>
  <c r="H11" i="18" s="1"/>
  <c r="E18" i="18"/>
  <c r="E25" i="18" s="1"/>
  <c r="H10" i="17"/>
  <c r="H11" i="17" s="1"/>
  <c r="E19" i="17"/>
  <c r="E20" i="17" s="1"/>
  <c r="E22" i="17" s="1"/>
  <c r="H12" i="17" l="1"/>
  <c r="H15" i="17" s="1"/>
  <c r="E19" i="18"/>
  <c r="E20" i="18" s="1"/>
  <c r="E22" i="18" s="1"/>
  <c r="H25" i="18" s="1"/>
  <c r="H26" i="18" s="1"/>
  <c r="H25" i="17"/>
  <c r="H26" i="17" s="1"/>
  <c r="E26" i="17" s="1"/>
  <c r="D27" i="17" s="1"/>
  <c r="E26" i="16"/>
  <c r="E25" i="16"/>
  <c r="E19" i="16"/>
  <c r="E20" i="16" s="1"/>
  <c r="E22" i="16" s="1"/>
  <c r="E27" i="16" s="1"/>
  <c r="D28" i="16" s="1"/>
  <c r="H16" i="17" l="1"/>
  <c r="H12" i="18"/>
  <c r="H12" i="16"/>
  <c r="E26" i="18"/>
  <c r="D27" i="18" s="1"/>
  <c r="H15" i="18" l="1"/>
  <c r="H16" i="18"/>
  <c r="H16" i="16"/>
  <c r="H15" i="16"/>
  <c r="G33" i="6" l="1"/>
  <c r="G38" i="6" l="1"/>
  <c r="B6" i="6"/>
  <c r="B36" i="2" s="1"/>
  <c r="F39" i="6" l="1"/>
  <c r="B7" i="6"/>
  <c r="B37" i="2" s="1"/>
  <c r="C38" i="4"/>
  <c r="B25" i="2"/>
  <c r="F33" i="4" l="1"/>
  <c r="F27" i="4"/>
  <c r="F28" i="4"/>
  <c r="F29" i="4"/>
  <c r="F32" i="4"/>
  <c r="C43" i="4"/>
  <c r="C36" i="4"/>
  <c r="C37" i="4"/>
  <c r="C39" i="4"/>
  <c r="C44" i="4"/>
  <c r="B45" i="4"/>
  <c r="C28" i="4"/>
  <c r="C34" i="4"/>
  <c r="C35" i="4"/>
  <c r="C42" i="4"/>
</calcChain>
</file>

<file path=xl/sharedStrings.xml><?xml version="1.0" encoding="utf-8"?>
<sst xmlns="http://schemas.openxmlformats.org/spreadsheetml/2006/main" count="1024" uniqueCount="275">
  <si>
    <t xml:space="preserve">Part A. </t>
  </si>
  <si>
    <t xml:space="preserve">Part B. </t>
  </si>
  <si>
    <t>Part C.</t>
  </si>
  <si>
    <t>Assumption:</t>
  </si>
  <si>
    <t>Part B.</t>
  </si>
  <si>
    <t>Decision</t>
  </si>
  <si>
    <t>Part D.</t>
  </si>
  <si>
    <t>Part D</t>
  </si>
  <si>
    <t>Null Hypothesis</t>
  </si>
  <si>
    <t>Alternative Hypothesis</t>
  </si>
  <si>
    <t>Type I Error</t>
  </si>
  <si>
    <t>Type II Error</t>
  </si>
  <si>
    <t>test Statistic Value</t>
  </si>
  <si>
    <t>State your decision Relative to the Problem</t>
  </si>
  <si>
    <t>type of test</t>
  </si>
  <si>
    <t>p -value</t>
  </si>
  <si>
    <t>p-Value</t>
  </si>
  <si>
    <t>F Statistic Value</t>
  </si>
  <si>
    <t>Capital Area and Great Lakes</t>
  </si>
  <si>
    <t>Capital Area and Mid-Atlantic</t>
  </si>
  <si>
    <t>Capital Area and New England</t>
  </si>
  <si>
    <t>Mid-Atlantic and New England</t>
  </si>
  <si>
    <t>Great Lakes and Mid-Atlantic</t>
  </si>
  <si>
    <t>Great Lakes and New England</t>
  </si>
  <si>
    <t>Week 5 Homework - Chapter 11</t>
  </si>
  <si>
    <t>SS</t>
  </si>
  <si>
    <t>MS</t>
  </si>
  <si>
    <t>F</t>
  </si>
  <si>
    <t>Parts A, B,  &amp; C</t>
  </si>
  <si>
    <t>Capital Region</t>
  </si>
  <si>
    <t>Great Lakes</t>
  </si>
  <si>
    <t>Mid-Atlantic</t>
  </si>
  <si>
    <t>New England</t>
  </si>
  <si>
    <t>Data</t>
  </si>
  <si>
    <t>Hypothesized Difference</t>
  </si>
  <si>
    <t>Level of Significance</t>
  </si>
  <si>
    <t>Population 1 Sample</t>
  </si>
  <si>
    <t>Sample Size</t>
  </si>
  <si>
    <t>Sample Mean</t>
  </si>
  <si>
    <t>Sample Standard Deviation</t>
  </si>
  <si>
    <t>Population 2 Sample</t>
  </si>
  <si>
    <t>Intermediate Calculations</t>
  </si>
  <si>
    <t>Total Degrees of Freedom</t>
  </si>
  <si>
    <t>Degrees of Freedom</t>
  </si>
  <si>
    <t>Difference in Sample Means</t>
  </si>
  <si>
    <t>T.DIST.RT value</t>
  </si>
  <si>
    <t>1 - T.DIST.RT value</t>
  </si>
  <si>
    <t>Upper-Tail Test</t>
  </si>
  <si>
    <t>Upper Critical Value</t>
  </si>
  <si>
    <t>Sample Variance</t>
  </si>
  <si>
    <t>Two-Tail Test</t>
  </si>
  <si>
    <t>Population 1 Sample Degrees of Freedom</t>
  </si>
  <si>
    <t>Population 2 Sample Degrees of Freedom</t>
  </si>
  <si>
    <t>Pooled Variance</t>
  </si>
  <si>
    <t>Standard Error</t>
  </si>
  <si>
    <t>for the Difference Between Two Means</t>
  </si>
  <si>
    <t>Confidence Level</t>
  </si>
  <si>
    <t>Interval Half Width</t>
  </si>
  <si>
    <t>Confidence Interval</t>
  </si>
  <si>
    <t>Interval Lower Limit</t>
  </si>
  <si>
    <t>Interval Upper Limit</t>
  </si>
  <si>
    <t>One-Tail Calculations</t>
  </si>
  <si>
    <t>Lower Critical Value</t>
  </si>
  <si>
    <t>Di</t>
  </si>
  <si>
    <t>Hypothesized Mean Diff.</t>
  </si>
  <si>
    <t>DBar</t>
  </si>
  <si>
    <t>degrees of freedom</t>
  </si>
  <si>
    <t>Two-Tailed Test</t>
  </si>
  <si>
    <t>Larger-Variance Sample</t>
  </si>
  <si>
    <t>Smaller-Variance Sample</t>
  </si>
  <si>
    <t>SUMMARY</t>
  </si>
  <si>
    <t>Groups</t>
  </si>
  <si>
    <t>Count</t>
  </si>
  <si>
    <t>Sum</t>
  </si>
  <si>
    <t>Average</t>
  </si>
  <si>
    <t>Variance</t>
  </si>
  <si>
    <t>ANOVA</t>
  </si>
  <si>
    <t>Source of Variation</t>
  </si>
  <si>
    <t>df</t>
  </si>
  <si>
    <t>P-value</t>
  </si>
  <si>
    <t>F crit</t>
  </si>
  <si>
    <t>Between Groups</t>
  </si>
  <si>
    <t>Within Groups</t>
  </si>
  <si>
    <t>Total</t>
  </si>
  <si>
    <t>Comparison</t>
  </si>
  <si>
    <t>Denominator d.f.</t>
  </si>
  <si>
    <t>MSW</t>
  </si>
  <si>
    <t>Sample</t>
  </si>
  <si>
    <t>Columns</t>
  </si>
  <si>
    <t>Interaction</t>
  </si>
  <si>
    <t>Within</t>
  </si>
  <si>
    <t>No</t>
  </si>
  <si>
    <t>Special Front</t>
  </si>
  <si>
    <t>In-Aisle</t>
  </si>
  <si>
    <t>Pooled-Variance t Test for Differences in Two Means</t>
  </si>
  <si>
    <t>(assumes equal population variances)</t>
  </si>
  <si>
    <t xml:space="preserve">Confidence Interval Estimate </t>
  </si>
  <si>
    <r>
      <t xml:space="preserve">t </t>
    </r>
    <r>
      <rPr>
        <sz val="11"/>
        <rFont val="Calibri"/>
        <family val="2"/>
      </rPr>
      <t>Value</t>
    </r>
  </si>
  <si>
    <r>
      <t xml:space="preserve">t </t>
    </r>
    <r>
      <rPr>
        <sz val="11"/>
        <rFont val="Calibri"/>
        <family val="2"/>
      </rPr>
      <t>Test Statistic</t>
    </r>
  </si>
  <si>
    <t xml:space="preserve">Lower-Tail Test </t>
  </si>
  <si>
    <r>
      <t xml:space="preserve">Separate-Variances </t>
    </r>
    <r>
      <rPr>
        <b/>
        <i/>
        <sz val="11"/>
        <rFont val="Calibri"/>
        <family val="2"/>
      </rPr>
      <t>t</t>
    </r>
    <r>
      <rPr>
        <b/>
        <sz val="11"/>
        <rFont val="Calibri"/>
        <family val="2"/>
      </rPr>
      <t xml:space="preserve"> Test</t>
    </r>
  </si>
  <si>
    <t>(assumes unequal population variances)</t>
  </si>
  <si>
    <r>
      <t xml:space="preserve">Separate-Variance </t>
    </r>
    <r>
      <rPr>
        <i/>
        <sz val="11"/>
        <rFont val="Calibri"/>
        <family val="2"/>
      </rPr>
      <t xml:space="preserve">t </t>
    </r>
    <r>
      <rPr>
        <sz val="11"/>
        <rFont val="Calibri"/>
        <family val="2"/>
      </rPr>
      <t>Test Statistic</t>
    </r>
  </si>
  <si>
    <r>
      <t>p</t>
    </r>
    <r>
      <rPr>
        <sz val="11"/>
        <rFont val="Calibri"/>
        <family val="2"/>
      </rPr>
      <t>-Value</t>
    </r>
  </si>
  <si>
    <t xml:space="preserve">Upper-Tail Test </t>
  </si>
  <si>
    <t>Bookstore</t>
  </si>
  <si>
    <t>Online</t>
  </si>
  <si>
    <r>
      <t xml:space="preserve">Paired </t>
    </r>
    <r>
      <rPr>
        <b/>
        <i/>
        <sz val="11"/>
        <color indexed="8"/>
        <rFont val="Calibri"/>
        <family val="2"/>
      </rPr>
      <t>t</t>
    </r>
    <r>
      <rPr>
        <b/>
        <sz val="11"/>
        <color indexed="8"/>
        <rFont val="Calibri"/>
        <family val="2"/>
      </rPr>
      <t xml:space="preserve"> Test</t>
    </r>
  </si>
  <si>
    <r>
      <t>S</t>
    </r>
    <r>
      <rPr>
        <vertAlign val="subscript"/>
        <sz val="11"/>
        <color indexed="8"/>
        <rFont val="Calibri"/>
        <family val="2"/>
      </rPr>
      <t>D</t>
    </r>
  </si>
  <si>
    <r>
      <t xml:space="preserve">t </t>
    </r>
    <r>
      <rPr>
        <sz val="11"/>
        <color indexed="8"/>
        <rFont val="Calibri"/>
        <family val="2"/>
      </rPr>
      <t>Test Statistic</t>
    </r>
  </si>
  <si>
    <r>
      <t>p</t>
    </r>
    <r>
      <rPr>
        <sz val="11"/>
        <color indexed="8"/>
        <rFont val="Calibri"/>
        <family val="2"/>
      </rPr>
      <t>-Value</t>
    </r>
  </si>
  <si>
    <t>Level of significance</t>
  </si>
  <si>
    <t>Lower-Tail Test</t>
  </si>
  <si>
    <t>T.DIST.RT</t>
  </si>
  <si>
    <t>1 - T.DIST.RT</t>
  </si>
  <si>
    <t>Z Test for Differences in Two Proportions</t>
  </si>
  <si>
    <t>for the Difference Between Two Proportions</t>
  </si>
  <si>
    <t>Group 1</t>
  </si>
  <si>
    <t>Number of Items of Interest</t>
  </si>
  <si>
    <t>Group 2</t>
  </si>
  <si>
    <r>
      <t>Z</t>
    </r>
    <r>
      <rPr>
        <sz val="11"/>
        <rFont val="Calibri"/>
        <family val="2"/>
      </rPr>
      <t xml:space="preserve"> Value</t>
    </r>
  </si>
  <si>
    <t>Std. Error of the Diff. Between Two Proportions</t>
  </si>
  <si>
    <t>Group 1 Proportion</t>
  </si>
  <si>
    <t>Group 2 Proportion</t>
  </si>
  <si>
    <t>Difference in Two Proportions</t>
  </si>
  <si>
    <t>Average Proportion</t>
  </si>
  <si>
    <r>
      <rPr>
        <i/>
        <sz val="11"/>
        <rFont val="Calibri"/>
        <family val="2"/>
        <scheme val="minor"/>
      </rPr>
      <t>Z</t>
    </r>
    <r>
      <rPr>
        <sz val="11"/>
        <rFont val="Calibri"/>
        <family val="2"/>
        <scheme val="minor"/>
      </rPr>
      <t xml:space="preserve"> Test Statistic</t>
    </r>
  </si>
  <si>
    <r>
      <t>Z</t>
    </r>
    <r>
      <rPr>
        <sz val="11"/>
        <rFont val="Calibri"/>
        <family val="2"/>
        <scheme val="minor"/>
      </rPr>
      <t xml:space="preserve"> Test Statistic</t>
    </r>
  </si>
  <si>
    <t>Front of Store</t>
  </si>
  <si>
    <r>
      <rPr>
        <b/>
        <i/>
        <sz val="11"/>
        <rFont val="Calibri"/>
        <family val="2"/>
        <scheme val="minor"/>
      </rPr>
      <t>F</t>
    </r>
    <r>
      <rPr>
        <b/>
        <sz val="11"/>
        <rFont val="Calibri"/>
        <family val="2"/>
        <scheme val="minor"/>
      </rPr>
      <t xml:space="preserve"> Test for Differences in Two Variances</t>
    </r>
  </si>
  <si>
    <r>
      <t xml:space="preserve">F </t>
    </r>
    <r>
      <rPr>
        <sz val="11"/>
        <rFont val="Calibri"/>
        <family val="2"/>
      </rPr>
      <t>Test Statistic</t>
    </r>
  </si>
  <si>
    <t>In-aisle</t>
  </si>
  <si>
    <t>Front</t>
  </si>
  <si>
    <t xml:space="preserve">Kiosk </t>
  </si>
  <si>
    <t>Expert</t>
  </si>
  <si>
    <t>Medians:</t>
  </si>
  <si>
    <t>AbsDiff1</t>
  </si>
  <si>
    <t>AbsDiff2</t>
  </si>
  <si>
    <t>AbsDiff3</t>
  </si>
  <si>
    <t>AbsDiff4</t>
  </si>
  <si>
    <t>ANOVA: Levene Test</t>
  </si>
  <si>
    <t>Calculations</t>
  </si>
  <si>
    <t>c</t>
  </si>
  <si>
    <t>n</t>
  </si>
  <si>
    <t>P - value</t>
  </si>
  <si>
    <t>One-Way ANOVA (ANOVA: Single Factor)</t>
  </si>
  <si>
    <t>Tukey Kramer Multiple Comparisons</t>
  </si>
  <si>
    <t>Absolute</t>
  </si>
  <si>
    <t>Std. Error</t>
  </si>
  <si>
    <t>Critical</t>
  </si>
  <si>
    <t>Group</t>
  </si>
  <si>
    <t>Mean</t>
  </si>
  <si>
    <t>Size</t>
  </si>
  <si>
    <t>Difference</t>
  </si>
  <si>
    <t>of Difference</t>
  </si>
  <si>
    <t>Range</t>
  </si>
  <si>
    <t>Group 1 to Group 2</t>
  </si>
  <si>
    <t>Group 1 to Group 3</t>
  </si>
  <si>
    <t>Group 1 to Group 4</t>
  </si>
  <si>
    <t>Group 2 to Group 3</t>
  </si>
  <si>
    <t>Group 2 to Group 4</t>
  </si>
  <si>
    <t>Other Data</t>
  </si>
  <si>
    <t>Group 3 to Group 4</t>
  </si>
  <si>
    <t>Numerator d.f.</t>
  </si>
  <si>
    <t>Q Statistic</t>
  </si>
  <si>
    <t>Results</t>
  </si>
  <si>
    <t>Group 1 to Group 5</t>
  </si>
  <si>
    <t>5:</t>
  </si>
  <si>
    <t>Group 2 to Group 5</t>
  </si>
  <si>
    <t>Group 3 to Group 5</t>
  </si>
  <si>
    <t>Group 4 to Group 5</t>
  </si>
  <si>
    <t>Group 1 to Group 6</t>
  </si>
  <si>
    <t xml:space="preserve">6: </t>
  </si>
  <si>
    <t>Group 2 to Group 6</t>
  </si>
  <si>
    <t>Group 3 to Group 6</t>
  </si>
  <si>
    <t>Group 4 to Group 6</t>
  </si>
  <si>
    <t>Group 5 to Group 6</t>
  </si>
  <si>
    <t>Group 1 to Group 7</t>
  </si>
  <si>
    <t xml:space="preserve">7: </t>
  </si>
  <si>
    <t>Group 2 to Group 7</t>
  </si>
  <si>
    <t>Group 3 to Group 7</t>
  </si>
  <si>
    <t>Group 4 to Group 7</t>
  </si>
  <si>
    <t>Group 5 to Group 7</t>
  </si>
  <si>
    <t>Group 6 to Group 7</t>
  </si>
  <si>
    <t>Mobile Payments</t>
  </si>
  <si>
    <t>Yes</t>
  </si>
  <si>
    <t>mean in</t>
  </si>
  <si>
    <t>ANOVA: Two-Factor With Replication</t>
  </si>
  <si>
    <t>Parts D &amp; E</t>
  </si>
  <si>
    <t>River A</t>
  </si>
  <si>
    <t>River B</t>
  </si>
  <si>
    <t>Pt Value</t>
  </si>
  <si>
    <t>Carb</t>
  </si>
  <si>
    <t>Carb_Protein</t>
  </si>
  <si>
    <t>Interpretation of CI</t>
  </si>
  <si>
    <t>11.1A</t>
  </si>
  <si>
    <t>Place the plots below the data</t>
  </si>
  <si>
    <t>If you did find a difference in the means which ones were different?  Place an X by the ones that were different</t>
  </si>
  <si>
    <t>Show graph on right</t>
  </si>
  <si>
    <t>CI. Lower Bound</t>
  </si>
  <si>
    <t>CI Upper Bound</t>
  </si>
  <si>
    <t>11.2A</t>
  </si>
  <si>
    <t>Pts</t>
  </si>
  <si>
    <t>Burger</t>
  </si>
  <si>
    <t>Chicken</t>
  </si>
  <si>
    <t>Sandwich</t>
  </si>
  <si>
    <t>Snack</t>
  </si>
  <si>
    <t>F Statistic value</t>
  </si>
  <si>
    <t>Conclusion relative to the problem</t>
  </si>
  <si>
    <t>Select the most appropriate answers:</t>
  </si>
  <si>
    <t>If Appropriate, Highlight the food type that differ in mean sales</t>
  </si>
  <si>
    <t>10.2 Part A F Test</t>
  </si>
  <si>
    <t>p-value</t>
  </si>
  <si>
    <t>Are the variances equal?</t>
  </si>
  <si>
    <r>
      <rPr>
        <b/>
        <sz val="11"/>
        <color theme="1"/>
        <rFont val="Calibri"/>
        <family val="2"/>
        <scheme val="minor"/>
      </rPr>
      <t xml:space="preserve">    </t>
    </r>
    <r>
      <rPr>
        <sz val="11"/>
        <color theme="1"/>
        <rFont val="Calibri"/>
        <family val="2"/>
        <scheme val="minor"/>
      </rPr>
      <t xml:space="preserve">                                      type of test</t>
    </r>
  </si>
  <si>
    <t>Part B</t>
  </si>
  <si>
    <t>Part C</t>
  </si>
  <si>
    <t>Ho</t>
  </si>
  <si>
    <t>Ha</t>
  </si>
  <si>
    <t>pvalue</t>
  </si>
  <si>
    <t>Water Frequency</t>
  </si>
  <si>
    <t>Daily</t>
  </si>
  <si>
    <t>Weekly</t>
  </si>
  <si>
    <t>Low</t>
  </si>
  <si>
    <t>Med</t>
  </si>
  <si>
    <t>High</t>
  </si>
  <si>
    <t>Sunlight Exposure</t>
  </si>
  <si>
    <t>Sunlight &amp; Water Interaction?</t>
  </si>
  <si>
    <t>Sunlight?</t>
  </si>
  <si>
    <t>Water Frequency?</t>
  </si>
  <si>
    <t>Upper or Lower Tailed Test</t>
  </si>
  <si>
    <t>Tail?</t>
  </si>
  <si>
    <t>P-value?</t>
  </si>
  <si>
    <t>See chart</t>
  </si>
  <si>
    <t>None</t>
  </si>
  <si>
    <t>U1=U2=U3=U4</t>
  </si>
  <si>
    <t>Not all means are equal</t>
  </si>
  <si>
    <t>Anova: Single Factor</t>
  </si>
  <si>
    <t>Reject The Null Hypothesis</t>
  </si>
  <si>
    <t>Not all the means are equal</t>
  </si>
  <si>
    <t>x</t>
  </si>
  <si>
    <t>u new battery &gt;= u old battery</t>
  </si>
  <si>
    <t>u new battery &lt;= u old battery</t>
  </si>
  <si>
    <t>Type I error would occur if we reject the null hypothesis when it is actually true. This means concluding that the new battery operates longer than the old battery when it does not.</t>
  </si>
  <si>
    <t>Type II error would occur if we fail to reject the null hypothesis when it is actually false. This means concluding that the new battery does not operate longer than the old battery when it does.</t>
  </si>
  <si>
    <t>Pooled-Variance t test</t>
  </si>
  <si>
    <t>Upper Tailed</t>
  </si>
  <si>
    <t>There is not enough evidence to conclude that the new battery operates longer than the old battery.</t>
  </si>
  <si>
    <t>Do Not Reject the Null Hypothesis</t>
  </si>
  <si>
    <t>*Differences from the Median by group</t>
  </si>
  <si>
    <t>The differences in the distances run are normally distributed.</t>
  </si>
  <si>
    <t>Paired Difference Test</t>
  </si>
  <si>
    <t>Two Tailed</t>
  </si>
  <si>
    <t>0.095, 0.176</t>
  </si>
  <si>
    <t>The mean run times for the two sets of runners are not significantly different. We do not have sufficient evidence to conclude that the new carbohydrate-protein formula leads to a different mean run time compared to the carbohydrate-only formula.</t>
  </si>
  <si>
    <t>U = U</t>
  </si>
  <si>
    <t>U not equal U</t>
  </si>
  <si>
    <t>There is a significant difference between the variances of the two rivers. We can conclude that the variability in measurements between River A and River B is are not the same.</t>
  </si>
  <si>
    <t>U 1- U2 &lt;&gt; 0</t>
  </si>
  <si>
    <t>U1 - U2 = 0</t>
  </si>
  <si>
    <t xml:space="preserve">Not all means are equal </t>
  </si>
  <si>
    <t>Reject the Null</t>
  </si>
  <si>
    <t>There is no significant evidence to suggest a difference in the mean sales among the food product types.</t>
  </si>
  <si>
    <t>Var1=Var2=Var3=Var4</t>
  </si>
  <si>
    <t>All the var are not equal</t>
  </si>
  <si>
    <t>Fail to reject the null</t>
  </si>
  <si>
    <t>Ther is no significant evidence to suggest a difference in the variation of sales among the food product types.</t>
  </si>
  <si>
    <t>No violation</t>
  </si>
  <si>
    <t>valid</t>
  </si>
  <si>
    <t>Anova: Two-Factor With Replication</t>
  </si>
  <si>
    <t>Days (water)</t>
  </si>
  <si>
    <t>Sunlight</t>
  </si>
  <si>
    <t>STD Dev</t>
  </si>
  <si>
    <t xml:space="preserve">Lower Bound </t>
  </si>
  <si>
    <t xml:space="preserve">Upper Bound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</si>
</sst>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31" x14ac:knownFonts="1">
    <font>
      <sz val="11"/>
      <color theme="1"/>
      <name val="Calibri"/>
      <family val="2"/>
      <scheme val="minor"/>
    </font>
    <font>
      <sz val="18"/>
      <color theme="3"/>
      <name val="Calibri Light"/>
      <family val="2"/>
      <scheme val="major"/>
    </font>
    <font>
      <sz val="11"/>
      <color rgb="FF3F3F76"/>
      <name val="Calibri"/>
      <family val="2"/>
      <scheme val="minor"/>
    </font>
    <font>
      <b/>
      <sz val="11"/>
      <color theme="1"/>
      <name val="Calibri"/>
      <family val="2"/>
      <scheme val="minor"/>
    </font>
    <font>
      <b/>
      <sz val="11"/>
      <name val="Calibri"/>
      <family val="2"/>
      <scheme val="minor"/>
    </font>
    <font>
      <sz val="11"/>
      <name val="Calibri"/>
      <family val="2"/>
      <scheme val="minor"/>
    </font>
    <font>
      <sz val="11"/>
      <color theme="1"/>
      <name val="Calibri"/>
      <family val="2"/>
      <scheme val="minor"/>
    </font>
    <font>
      <sz val="11"/>
      <color rgb="FF3F3F76"/>
      <name val="Calibri"/>
      <family val="2"/>
    </font>
    <font>
      <sz val="10"/>
      <name val="Arial"/>
      <family val="2"/>
    </font>
    <font>
      <sz val="11"/>
      <name val="Calibri"/>
      <family val="2"/>
    </font>
    <font>
      <sz val="11"/>
      <color rgb="FF000000"/>
      <name val="Calibri"/>
      <family val="2"/>
      <scheme val="minor"/>
    </font>
    <font>
      <i/>
      <sz val="11"/>
      <name val="Calibri"/>
      <family val="2"/>
      <scheme val="minor"/>
    </font>
    <font>
      <sz val="10"/>
      <name val="Arial"/>
      <family val="2"/>
    </font>
    <font>
      <b/>
      <i/>
      <sz val="11"/>
      <name val="Calibri"/>
      <family val="2"/>
    </font>
    <font>
      <b/>
      <sz val="11"/>
      <name val="Calibri"/>
      <family val="2"/>
    </font>
    <font>
      <i/>
      <sz val="11"/>
      <name val="Calibri"/>
      <family val="2"/>
    </font>
    <font>
      <sz val="11"/>
      <color indexed="8"/>
      <name val="Calibri"/>
      <family val="2"/>
    </font>
    <font>
      <b/>
      <sz val="11"/>
      <color indexed="8"/>
      <name val="Calibri"/>
      <family val="2"/>
    </font>
    <font>
      <b/>
      <i/>
      <sz val="11"/>
      <color indexed="8"/>
      <name val="Calibri"/>
      <family val="2"/>
    </font>
    <font>
      <i/>
      <sz val="11"/>
      <color indexed="8"/>
      <name val="Calibri"/>
      <family val="2"/>
    </font>
    <font>
      <vertAlign val="subscript"/>
      <sz val="11"/>
      <color indexed="8"/>
      <name val="Calibri"/>
      <family val="2"/>
    </font>
    <font>
      <b/>
      <i/>
      <sz val="11"/>
      <name val="Calibri"/>
      <family val="2"/>
      <scheme val="minor"/>
    </font>
    <font>
      <b/>
      <sz val="11"/>
      <color indexed="8"/>
      <name val="Calibri"/>
      <family val="2"/>
      <scheme val="minor"/>
    </font>
    <font>
      <i/>
      <sz val="11"/>
      <color indexed="8"/>
      <name val="Calibri"/>
      <family val="2"/>
      <scheme val="minor"/>
    </font>
    <font>
      <sz val="11"/>
      <color indexed="8"/>
      <name val="Calibri"/>
      <family val="2"/>
      <scheme val="minor"/>
    </font>
    <font>
      <sz val="11"/>
      <color rgb="FF000000"/>
      <name val="Calibri"/>
      <family val="2"/>
    </font>
    <font>
      <b/>
      <i/>
      <sz val="11"/>
      <color indexed="8"/>
      <name val="Calibri"/>
      <family val="2"/>
      <scheme val="minor"/>
    </font>
    <font>
      <sz val="11"/>
      <color rgb="FF333333"/>
      <name val="Calibri"/>
      <family val="2"/>
      <scheme val="minor"/>
    </font>
    <font>
      <i/>
      <sz val="11"/>
      <color theme="1"/>
      <name val="Calibri"/>
      <family val="2"/>
      <scheme val="minor"/>
    </font>
    <font>
      <sz val="7"/>
      <color rgb="FF242424"/>
      <name val="Segoe UI"/>
      <family val="2"/>
    </font>
    <font>
      <i/>
      <sz val="10"/>
      <color theme="1"/>
      <name val="Calibri"/>
      <family val="2"/>
      <scheme val="minor"/>
    </font>
  </fonts>
  <fills count="16">
    <fill>
      <patternFill patternType="none"/>
    </fill>
    <fill>
      <patternFill patternType="gray125"/>
    </fill>
    <fill>
      <patternFill patternType="solid">
        <fgColor rgb="FFFFCC99"/>
      </patternFill>
    </fill>
    <fill>
      <patternFill patternType="solid">
        <fgColor theme="4"/>
        <bgColor indexed="64"/>
      </patternFill>
    </fill>
    <fill>
      <patternFill patternType="solid">
        <fgColor theme="0"/>
        <bgColor indexed="64"/>
      </patternFill>
    </fill>
    <fill>
      <patternFill patternType="solid">
        <fgColor rgb="FF0070C0"/>
        <bgColor indexed="64"/>
      </patternFill>
    </fill>
    <fill>
      <patternFill patternType="solid">
        <fgColor indexed="41"/>
        <bgColor indexed="64"/>
      </patternFill>
    </fill>
    <fill>
      <patternFill patternType="solid">
        <fgColor indexed="43"/>
        <bgColor indexed="64"/>
      </patternFill>
    </fill>
    <fill>
      <patternFill patternType="solid">
        <fgColor rgb="FFCCFFFF"/>
        <bgColor indexed="64"/>
      </patternFill>
    </fill>
    <fill>
      <patternFill patternType="solid">
        <fgColor indexed="27"/>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00"/>
        <bgColor indexed="64"/>
      </patternFill>
    </fill>
  </fills>
  <borders count="50">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
      <left style="thin">
        <color rgb="FF7F7F7F"/>
      </left>
      <right style="medium">
        <color indexed="64"/>
      </right>
      <top style="thin">
        <color rgb="FF7F7F7F"/>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7F7F7F"/>
      </left>
      <right style="medium">
        <color indexed="64"/>
      </right>
      <top style="thin">
        <color rgb="FF7F7F7F"/>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7F7F7F"/>
      </left>
      <right style="medium">
        <color indexed="64"/>
      </right>
      <top style="medium">
        <color indexed="64"/>
      </top>
      <bottom style="thin">
        <color rgb="FF7F7F7F"/>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rgb="FF7F7F7F"/>
      </left>
      <right/>
      <top style="thin">
        <color rgb="FF7F7F7F"/>
      </top>
      <bottom style="thin">
        <color rgb="FF7F7F7F"/>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rgb="FF7F7F7F"/>
      </bottom>
      <diagonal/>
    </border>
    <border>
      <left style="medium">
        <color indexed="64"/>
      </left>
      <right style="medium">
        <color indexed="64"/>
      </right>
      <top style="thin">
        <color rgb="FF7F7F7F"/>
      </top>
      <bottom style="thin">
        <color rgb="FF7F7F7F"/>
      </bottom>
      <diagonal/>
    </border>
    <border>
      <left style="medium">
        <color indexed="64"/>
      </left>
      <right style="medium">
        <color indexed="64"/>
      </right>
      <top style="thin">
        <color rgb="FF7F7F7F"/>
      </top>
      <bottom style="thin">
        <color indexed="64"/>
      </bottom>
      <diagonal/>
    </border>
    <border>
      <left/>
      <right style="medium">
        <color indexed="64"/>
      </right>
      <top style="thin">
        <color rgb="FF7F7F7F"/>
      </top>
      <bottom style="thin">
        <color rgb="FF7F7F7F"/>
      </bottom>
      <diagonal/>
    </border>
    <border>
      <left/>
      <right style="medium">
        <color indexed="64"/>
      </right>
      <top/>
      <bottom style="thin">
        <color rgb="FF7F7F7F"/>
      </bottom>
      <diagonal/>
    </border>
    <border>
      <left style="medium">
        <color indexed="64"/>
      </left>
      <right style="thin">
        <color rgb="FF7F7F7F"/>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top/>
      <bottom style="medium">
        <color indexed="18"/>
      </bottom>
      <diagonal/>
    </border>
  </borders>
  <cellStyleXfs count="9">
    <xf numFmtId="0" fontId="0" fillId="0" borderId="0"/>
    <xf numFmtId="0" fontId="1" fillId="0" borderId="0" applyNumberFormat="0" applyFill="0" applyBorder="0" applyAlignment="0" applyProtection="0"/>
    <xf numFmtId="0" fontId="2" fillId="2" borderId="1" applyNumberFormat="0" applyAlignment="0" applyProtection="0"/>
    <xf numFmtId="0" fontId="8" fillId="0" borderId="0"/>
    <xf numFmtId="0" fontId="12" fillId="0" borderId="0"/>
    <xf numFmtId="0" fontId="6" fillId="0" borderId="0"/>
    <xf numFmtId="0" fontId="16" fillId="0" borderId="0"/>
    <xf numFmtId="0" fontId="16" fillId="0" borderId="0"/>
    <xf numFmtId="0" fontId="16" fillId="0" borderId="0"/>
  </cellStyleXfs>
  <cellXfs count="314">
    <xf numFmtId="0" fontId="0" fillId="0" borderId="0" xfId="0"/>
    <xf numFmtId="0" fontId="3" fillId="0" borderId="3" xfId="0" applyFont="1" applyBorder="1" applyAlignment="1">
      <alignment horizontal="left"/>
    </xf>
    <xf numFmtId="0" fontId="0" fillId="0" borderId="4" xfId="0" applyBorder="1"/>
    <xf numFmtId="0" fontId="3" fillId="0" borderId="5" xfId="0" applyFont="1" applyBorder="1"/>
    <xf numFmtId="0" fontId="2" fillId="2" borderId="6" xfId="2" applyBorder="1"/>
    <xf numFmtId="0" fontId="0" fillId="0" borderId="7" xfId="0" applyBorder="1"/>
    <xf numFmtId="0" fontId="0" fillId="0" borderId="5" xfId="0" applyBorder="1"/>
    <xf numFmtId="0" fontId="0" fillId="0" borderId="8" xfId="0" applyBorder="1"/>
    <xf numFmtId="0" fontId="3" fillId="0" borderId="5" xfId="0" applyFont="1" applyBorder="1" applyAlignment="1">
      <alignment horizontal="left"/>
    </xf>
    <xf numFmtId="0" fontId="2" fillId="2" borderId="6" xfId="2" applyBorder="1" applyAlignment="1">
      <alignment wrapText="1"/>
    </xf>
    <xf numFmtId="0" fontId="0" fillId="0" borderId="5" xfId="0" applyBorder="1" applyAlignment="1">
      <alignment horizontal="right" vertical="top"/>
    </xf>
    <xf numFmtId="0" fontId="0" fillId="0" borderId="5" xfId="0" applyBorder="1" applyAlignment="1">
      <alignment horizontal="right"/>
    </xf>
    <xf numFmtId="0" fontId="2" fillId="2" borderId="7" xfId="2" applyBorder="1" applyAlignment="1">
      <alignment wrapText="1"/>
    </xf>
    <xf numFmtId="0" fontId="2" fillId="2" borderId="11" xfId="2" applyBorder="1"/>
    <xf numFmtId="0" fontId="0" fillId="5" borderId="5" xfId="0" applyFill="1" applyBorder="1"/>
    <xf numFmtId="0" fontId="2" fillId="2" borderId="14" xfId="2" applyBorder="1"/>
    <xf numFmtId="0" fontId="0" fillId="0" borderId="2" xfId="0" applyBorder="1"/>
    <xf numFmtId="0" fontId="0" fillId="0" borderId="0" xfId="0" applyAlignment="1">
      <alignment horizontal="center"/>
    </xf>
    <xf numFmtId="0" fontId="2" fillId="2" borderId="10" xfId="2" applyBorder="1" applyAlignment="1">
      <alignment wrapText="1"/>
    </xf>
    <xf numFmtId="0" fontId="2" fillId="2" borderId="13" xfId="2" applyBorder="1" applyAlignment="1">
      <alignment wrapText="1"/>
    </xf>
    <xf numFmtId="0" fontId="0" fillId="0" borderId="5" xfId="0" applyBorder="1" applyAlignment="1">
      <alignment horizontal="right" vertical="top" wrapText="1"/>
    </xf>
    <xf numFmtId="0" fontId="0" fillId="0" borderId="5" xfId="0" applyBorder="1" applyAlignment="1">
      <alignment horizontal="center" vertical="top"/>
    </xf>
    <xf numFmtId="0" fontId="3" fillId="0" borderId="2" xfId="0" applyFont="1" applyBorder="1" applyAlignment="1">
      <alignment horizontal="center"/>
    </xf>
    <xf numFmtId="2" fontId="3" fillId="0" borderId="2" xfId="0" applyNumberFormat="1" applyFont="1" applyBorder="1" applyAlignment="1">
      <alignment horizontal="center"/>
    </xf>
    <xf numFmtId="2" fontId="0" fillId="0" borderId="0" xfId="0" applyNumberFormat="1"/>
    <xf numFmtId="0" fontId="4" fillId="0" borderId="2" xfId="0" applyFont="1" applyBorder="1" applyAlignment="1">
      <alignment horizontal="center"/>
    </xf>
    <xf numFmtId="0" fontId="5" fillId="0" borderId="0" xfId="0" applyFont="1"/>
    <xf numFmtId="0" fontId="7" fillId="2" borderId="6" xfId="2" applyFont="1" applyBorder="1"/>
    <xf numFmtId="0" fontId="5" fillId="6" borderId="12" xfId="0" applyFont="1" applyFill="1" applyBorder="1"/>
    <xf numFmtId="0" fontId="4" fillId="0" borderId="0" xfId="0" applyFont="1"/>
    <xf numFmtId="0" fontId="4" fillId="7" borderId="12" xfId="3" applyFont="1" applyFill="1" applyBorder="1" applyAlignment="1">
      <alignment horizontal="centerContinuous"/>
    </xf>
    <xf numFmtId="0" fontId="5" fillId="7" borderId="12" xfId="3" applyFont="1" applyFill="1" applyBorder="1" applyAlignment="1">
      <alignment horizontal="centerContinuous"/>
    </xf>
    <xf numFmtId="0" fontId="5" fillId="7" borderId="12" xfId="3" applyFont="1" applyFill="1" applyBorder="1"/>
    <xf numFmtId="0" fontId="2" fillId="2" borderId="6" xfId="2" applyBorder="1" applyAlignment="1">
      <alignment horizontal="left"/>
    </xf>
    <xf numFmtId="0" fontId="3" fillId="0" borderId="3" xfId="0" applyFont="1" applyBorder="1"/>
    <xf numFmtId="0" fontId="3" fillId="0" borderId="2" xfId="3" applyFont="1" applyBorder="1" applyAlignment="1">
      <alignment horizontal="center"/>
    </xf>
    <xf numFmtId="0" fontId="4" fillId="0" borderId="2" xfId="3" applyFont="1" applyBorder="1" applyAlignment="1">
      <alignment horizontal="center"/>
    </xf>
    <xf numFmtId="0" fontId="5" fillId="0" borderId="0" xfId="3" applyFont="1"/>
    <xf numFmtId="0" fontId="4" fillId="0" borderId="0" xfId="3" applyFont="1" applyAlignment="1">
      <alignment horizontal="left"/>
    </xf>
    <xf numFmtId="0" fontId="5" fillId="0" borderId="0" xfId="3" applyFont="1" applyAlignment="1">
      <alignment horizontal="centerContinuous"/>
    </xf>
    <xf numFmtId="0" fontId="4" fillId="0" borderId="0" xfId="3" applyFont="1"/>
    <xf numFmtId="0" fontId="5" fillId="6" borderId="12" xfId="3" applyFont="1" applyFill="1" applyBorder="1"/>
    <xf numFmtId="0" fontId="5" fillId="0" borderId="5" xfId="3" applyFont="1" applyBorder="1"/>
    <xf numFmtId="0" fontId="5" fillId="0" borderId="7" xfId="3" applyFont="1" applyBorder="1"/>
    <xf numFmtId="0" fontId="4" fillId="6" borderId="12" xfId="3" applyFont="1" applyFill="1" applyBorder="1" applyAlignment="1">
      <alignment horizontal="centerContinuous"/>
    </xf>
    <xf numFmtId="0" fontId="5" fillId="6" borderId="12" xfId="3" applyFont="1" applyFill="1" applyBorder="1" applyAlignment="1">
      <alignment horizontal="centerContinuous"/>
    </xf>
    <xf numFmtId="0" fontId="5" fillId="6" borderId="16" xfId="3" applyFont="1" applyFill="1" applyBorder="1" applyAlignment="1">
      <alignment horizontal="left"/>
    </xf>
    <xf numFmtId="9" fontId="5" fillId="6" borderId="13" xfId="3" applyNumberFormat="1" applyFont="1" applyFill="1" applyBorder="1"/>
    <xf numFmtId="165" fontId="5" fillId="6" borderId="12" xfId="3" applyNumberFormat="1" applyFont="1" applyFill="1" applyBorder="1"/>
    <xf numFmtId="0" fontId="5" fillId="0" borderId="16" xfId="3" applyFont="1" applyBorder="1"/>
    <xf numFmtId="0" fontId="5" fillId="0" borderId="13" xfId="3" applyFont="1" applyBorder="1"/>
    <xf numFmtId="0" fontId="11" fillId="0" borderId="16" xfId="3" applyFont="1" applyBorder="1"/>
    <xf numFmtId="165" fontId="5" fillId="0" borderId="13" xfId="3" applyNumberFormat="1" applyFont="1" applyBorder="1"/>
    <xf numFmtId="0" fontId="5" fillId="7" borderId="16" xfId="3" applyFont="1" applyFill="1" applyBorder="1"/>
    <xf numFmtId="165" fontId="5" fillId="7" borderId="13" xfId="3" applyNumberFormat="1" applyFont="1" applyFill="1" applyBorder="1"/>
    <xf numFmtId="0" fontId="5" fillId="0" borderId="12" xfId="3" applyFont="1" applyBorder="1"/>
    <xf numFmtId="0" fontId="5" fillId="7" borderId="17" xfId="3" applyFont="1" applyFill="1" applyBorder="1"/>
    <xf numFmtId="165" fontId="5" fillId="7" borderId="18" xfId="3" applyNumberFormat="1" applyFont="1" applyFill="1" applyBorder="1"/>
    <xf numFmtId="165" fontId="5" fillId="0" borderId="12" xfId="3" applyNumberFormat="1" applyFont="1" applyBorder="1"/>
    <xf numFmtId="0" fontId="11" fillId="7" borderId="12" xfId="3" applyFont="1" applyFill="1" applyBorder="1"/>
    <xf numFmtId="165" fontId="5" fillId="7" borderId="12" xfId="3" applyNumberFormat="1" applyFont="1" applyFill="1" applyBorder="1"/>
    <xf numFmtId="0" fontId="11" fillId="0" borderId="0" xfId="3" applyFont="1"/>
    <xf numFmtId="0" fontId="5" fillId="0" borderId="12" xfId="3" applyFont="1" applyBorder="1" applyAlignment="1">
      <alignment horizontal="centerContinuous"/>
    </xf>
    <xf numFmtId="0" fontId="5" fillId="0" borderId="12" xfId="3" applyFont="1" applyBorder="1" applyAlignment="1">
      <alignment horizontal="left"/>
    </xf>
    <xf numFmtId="0" fontId="4" fillId="0" borderId="0" xfId="3" applyFont="1" applyAlignment="1">
      <alignment horizontal="center"/>
    </xf>
    <xf numFmtId="0" fontId="5" fillId="0" borderId="0" xfId="3" applyFont="1" applyAlignment="1">
      <alignment horizontal="center"/>
    </xf>
    <xf numFmtId="0" fontId="4" fillId="0" borderId="0" xfId="4" applyFont="1" applyAlignment="1">
      <alignment horizontal="left"/>
    </xf>
    <xf numFmtId="0" fontId="5" fillId="0" borderId="0" xfId="4" applyFont="1" applyAlignment="1">
      <alignment horizontal="centerContinuous"/>
    </xf>
    <xf numFmtId="0" fontId="5" fillId="0" borderId="0" xfId="4" applyFont="1"/>
    <xf numFmtId="0" fontId="5" fillId="6" borderId="12" xfId="4" applyFont="1" applyFill="1" applyBorder="1"/>
    <xf numFmtId="0" fontId="4" fillId="6" borderId="12" xfId="4" applyFont="1" applyFill="1" applyBorder="1" applyAlignment="1">
      <alignment horizontal="centerContinuous"/>
    </xf>
    <xf numFmtId="0" fontId="5" fillId="6" borderId="12" xfId="4" applyFont="1" applyFill="1" applyBorder="1" applyAlignment="1">
      <alignment horizontal="centerContinuous"/>
    </xf>
    <xf numFmtId="0" fontId="4" fillId="0" borderId="0" xfId="4" applyFont="1"/>
    <xf numFmtId="165" fontId="5" fillId="6" borderId="12" xfId="4" applyNumberFormat="1" applyFont="1" applyFill="1" applyBorder="1"/>
    <xf numFmtId="0" fontId="5" fillId="6" borderId="0" xfId="4" applyFont="1" applyFill="1"/>
    <xf numFmtId="165" fontId="5" fillId="6" borderId="0" xfId="4" applyNumberFormat="1" applyFont="1" applyFill="1"/>
    <xf numFmtId="0" fontId="5" fillId="0" borderId="12" xfId="4" applyFont="1" applyBorder="1"/>
    <xf numFmtId="1" fontId="5" fillId="0" borderId="12" xfId="4" applyNumberFormat="1" applyFont="1" applyBorder="1"/>
    <xf numFmtId="0" fontId="9" fillId="7" borderId="12" xfId="4" applyFont="1" applyFill="1" applyBorder="1"/>
    <xf numFmtId="165" fontId="5" fillId="7" borderId="12" xfId="4" applyNumberFormat="1" applyFont="1" applyFill="1" applyBorder="1"/>
    <xf numFmtId="0" fontId="11" fillId="0" borderId="0" xfId="4" applyFont="1"/>
    <xf numFmtId="0" fontId="4" fillId="7" borderId="12" xfId="4" applyFont="1" applyFill="1" applyBorder="1" applyAlignment="1">
      <alignment horizontal="centerContinuous"/>
    </xf>
    <xf numFmtId="0" fontId="5" fillId="7" borderId="12" xfId="4" applyFont="1" applyFill="1" applyBorder="1" applyAlignment="1">
      <alignment horizontal="centerContinuous"/>
    </xf>
    <xf numFmtId="0" fontId="5" fillId="7" borderId="12" xfId="4" applyFont="1" applyFill="1" applyBorder="1"/>
    <xf numFmtId="0" fontId="11" fillId="7" borderId="12" xfId="4" applyFont="1" applyFill="1" applyBorder="1"/>
    <xf numFmtId="165" fontId="5" fillId="0" borderId="12" xfId="4" applyNumberFormat="1" applyFont="1" applyBorder="1"/>
    <xf numFmtId="165" fontId="5" fillId="0" borderId="0" xfId="3" applyNumberFormat="1" applyFont="1"/>
    <xf numFmtId="0" fontId="4" fillId="0" borderId="2" xfId="0" quotePrefix="1" applyFont="1" applyBorder="1"/>
    <xf numFmtId="0" fontId="3" fillId="0" borderId="2" xfId="5" applyFont="1" applyBorder="1" applyAlignment="1">
      <alignment horizontal="center"/>
    </xf>
    <xf numFmtId="0" fontId="6" fillId="0" borderId="0" xfId="5"/>
    <xf numFmtId="2" fontId="0" fillId="0" borderId="2" xfId="0" applyNumberFormat="1" applyBorder="1"/>
    <xf numFmtId="0" fontId="6" fillId="0" borderId="2" xfId="5" applyBorder="1"/>
    <xf numFmtId="0" fontId="17" fillId="0" borderId="0" xfId="6" applyFont="1"/>
    <xf numFmtId="0" fontId="16" fillId="0" borderId="0" xfId="6"/>
    <xf numFmtId="0" fontId="16" fillId="9" borderId="12" xfId="6" applyFill="1" applyBorder="1"/>
    <xf numFmtId="0" fontId="16" fillId="0" borderId="12" xfId="6" applyBorder="1"/>
    <xf numFmtId="165" fontId="16" fillId="0" borderId="12" xfId="6" applyNumberFormat="1" applyBorder="1"/>
    <xf numFmtId="0" fontId="19" fillId="0" borderId="12" xfId="6" applyFont="1" applyBorder="1"/>
    <xf numFmtId="0" fontId="19" fillId="7" borderId="12" xfId="6" applyFont="1" applyFill="1" applyBorder="1"/>
    <xf numFmtId="165" fontId="16" fillId="7" borderId="12" xfId="6" applyNumberFormat="1" applyFill="1" applyBorder="1"/>
    <xf numFmtId="0" fontId="16" fillId="7" borderId="12" xfId="6" applyFill="1" applyBorder="1"/>
    <xf numFmtId="0" fontId="16" fillId="0" borderId="0" xfId="6" applyAlignment="1">
      <alignment horizontal="center"/>
    </xf>
    <xf numFmtId="0" fontId="16" fillId="0" borderId="0" xfId="7"/>
    <xf numFmtId="165" fontId="16" fillId="0" borderId="0" xfId="6" applyNumberFormat="1"/>
    <xf numFmtId="0" fontId="16" fillId="6" borderId="12" xfId="6" applyFill="1" applyBorder="1"/>
    <xf numFmtId="0" fontId="16" fillId="0" borderId="12" xfId="7" applyBorder="1"/>
    <xf numFmtId="0" fontId="17" fillId="0" borderId="0" xfId="7" applyFont="1"/>
    <xf numFmtId="0" fontId="16" fillId="6" borderId="12" xfId="7" applyFill="1" applyBorder="1"/>
    <xf numFmtId="0" fontId="19" fillId="0" borderId="12" xfId="7" applyFont="1" applyBorder="1"/>
    <xf numFmtId="0" fontId="19" fillId="7" borderId="12" xfId="7" applyFont="1" applyFill="1" applyBorder="1"/>
    <xf numFmtId="165" fontId="16" fillId="7" borderId="12" xfId="7" applyNumberFormat="1" applyFill="1" applyBorder="1"/>
    <xf numFmtId="0" fontId="16" fillId="7" borderId="12" xfId="7" applyFill="1" applyBorder="1"/>
    <xf numFmtId="165" fontId="16" fillId="0" borderId="12" xfId="7" applyNumberFormat="1" applyBorder="1"/>
    <xf numFmtId="0" fontId="5" fillId="0" borderId="5" xfId="4" applyFont="1" applyBorder="1"/>
    <xf numFmtId="0" fontId="5" fillId="0" borderId="7" xfId="4" applyFont="1" applyBorder="1"/>
    <xf numFmtId="0" fontId="4" fillId="0" borderId="0" xfId="4" applyFont="1" applyAlignment="1">
      <alignment horizontal="center"/>
    </xf>
    <xf numFmtId="0" fontId="5" fillId="6" borderId="16" xfId="4" applyFont="1" applyFill="1" applyBorder="1" applyAlignment="1">
      <alignment horizontal="left"/>
    </xf>
    <xf numFmtId="9" fontId="5" fillId="6" borderId="13" xfId="4" applyNumberFormat="1" applyFont="1" applyFill="1" applyBorder="1"/>
    <xf numFmtId="0" fontId="11" fillId="0" borderId="16" xfId="4" applyFont="1" applyBorder="1"/>
    <xf numFmtId="165" fontId="5" fillId="0" borderId="13" xfId="4" applyNumberFormat="1" applyFont="1" applyBorder="1"/>
    <xf numFmtId="0" fontId="5" fillId="0" borderId="16" xfId="4" applyFont="1" applyBorder="1"/>
    <xf numFmtId="0" fontId="5" fillId="7" borderId="16" xfId="4" applyFont="1" applyFill="1" applyBorder="1"/>
    <xf numFmtId="165" fontId="5" fillId="7" borderId="13" xfId="4" applyNumberFormat="1" applyFont="1" applyFill="1" applyBorder="1"/>
    <xf numFmtId="0" fontId="5" fillId="7" borderId="17" xfId="4" applyFont="1" applyFill="1" applyBorder="1"/>
    <xf numFmtId="165" fontId="5" fillId="7" borderId="18" xfId="4" applyNumberFormat="1" applyFont="1" applyFill="1" applyBorder="1"/>
    <xf numFmtId="0" fontId="5" fillId="0" borderId="21" xfId="4" applyFont="1" applyBorder="1"/>
    <xf numFmtId="165" fontId="5" fillId="0" borderId="21" xfId="4" applyNumberFormat="1" applyFont="1" applyBorder="1"/>
    <xf numFmtId="0" fontId="4" fillId="0" borderId="0" xfId="0" applyFont="1" applyAlignment="1">
      <alignment horizontal="left"/>
    </xf>
    <xf numFmtId="0" fontId="5" fillId="0" borderId="0" xfId="0" applyFont="1" applyAlignment="1">
      <alignment horizontal="centerContinuous"/>
    </xf>
    <xf numFmtId="0" fontId="4" fillId="0" borderId="0" xfId="0" applyFont="1" applyAlignment="1">
      <alignment horizontal="centerContinuous"/>
    </xf>
    <xf numFmtId="0" fontId="4" fillId="6" borderId="12" xfId="0" applyFont="1" applyFill="1" applyBorder="1" applyAlignment="1">
      <alignment horizontal="centerContinuous"/>
    </xf>
    <xf numFmtId="0" fontId="11" fillId="7" borderId="12" xfId="0" applyFont="1" applyFill="1" applyBorder="1"/>
    <xf numFmtId="165" fontId="5" fillId="7" borderId="12" xfId="0" applyNumberFormat="1" applyFont="1" applyFill="1" applyBorder="1"/>
    <xf numFmtId="0" fontId="5" fillId="0" borderId="12" xfId="0" applyFont="1" applyBorder="1"/>
    <xf numFmtId="0" fontId="5" fillId="0" borderId="21" xfId="0" applyFont="1" applyBorder="1"/>
    <xf numFmtId="0" fontId="4" fillId="7" borderId="12" xfId="0" applyFont="1" applyFill="1" applyBorder="1" applyAlignment="1">
      <alignment horizontal="centerContinuous"/>
    </xf>
    <xf numFmtId="0" fontId="5" fillId="7" borderId="12" xfId="0" applyFont="1" applyFill="1" applyBorder="1"/>
    <xf numFmtId="0" fontId="5" fillId="7" borderId="12" xfId="0" applyFont="1" applyFill="1" applyBorder="1" applyAlignment="1">
      <alignment horizontal="centerContinuous"/>
    </xf>
    <xf numFmtId="0" fontId="4" fillId="0" borderId="21" xfId="0" applyFont="1" applyBorder="1"/>
    <xf numFmtId="0" fontId="4" fillId="0" borderId="2" xfId="4" applyFont="1" applyBorder="1" applyAlignment="1">
      <alignment horizontal="center"/>
    </xf>
    <xf numFmtId="0" fontId="12" fillId="0" borderId="0" xfId="4"/>
    <xf numFmtId="2" fontId="5" fillId="0" borderId="0" xfId="4" applyNumberFormat="1" applyFont="1"/>
    <xf numFmtId="0" fontId="11" fillId="0" borderId="24" xfId="3" applyFont="1" applyBorder="1"/>
    <xf numFmtId="0" fontId="5" fillId="0" borderId="25" xfId="3" applyFont="1" applyBorder="1"/>
    <xf numFmtId="0" fontId="22" fillId="0" borderId="0" xfId="3" applyFont="1"/>
    <xf numFmtId="0" fontId="11" fillId="0" borderId="26" xfId="3" applyFont="1" applyBorder="1"/>
    <xf numFmtId="0" fontId="5" fillId="0" borderId="27" xfId="3" applyFont="1" applyBorder="1"/>
    <xf numFmtId="0" fontId="21" fillId="0" borderId="15" xfId="3" applyFont="1" applyBorder="1" applyAlignment="1">
      <alignment horizontal="center"/>
    </xf>
    <xf numFmtId="0" fontId="5" fillId="0" borderId="9" xfId="3" applyFont="1" applyBorder="1"/>
    <xf numFmtId="0" fontId="24" fillId="8" borderId="28" xfId="8" applyFont="1" applyFill="1" applyBorder="1"/>
    <xf numFmtId="165" fontId="5" fillId="0" borderId="9" xfId="3" applyNumberFormat="1" applyFont="1" applyBorder="1"/>
    <xf numFmtId="0" fontId="11" fillId="6" borderId="12" xfId="3" applyFont="1" applyFill="1" applyBorder="1" applyProtection="1">
      <protection locked="0"/>
    </xf>
    <xf numFmtId="0" fontId="5" fillId="6" borderId="12" xfId="3" applyFont="1" applyFill="1" applyBorder="1" applyProtection="1">
      <protection locked="0"/>
    </xf>
    <xf numFmtId="0" fontId="5" fillId="6" borderId="12" xfId="3" quotePrefix="1" applyFont="1" applyFill="1" applyBorder="1" applyAlignment="1">
      <alignment horizontal="center"/>
    </xf>
    <xf numFmtId="2" fontId="3" fillId="0" borderId="2" xfId="3" applyNumberFormat="1" applyFont="1" applyBorder="1" applyAlignment="1">
      <alignment horizontal="center"/>
    </xf>
    <xf numFmtId="0" fontId="8" fillId="0" borderId="0" xfId="3" applyAlignment="1">
      <alignment horizontal="center" vertical="center"/>
    </xf>
    <xf numFmtId="2" fontId="25" fillId="0" borderId="0" xfId="3" applyNumberFormat="1" applyFont="1" applyAlignment="1">
      <alignment horizontal="right" vertical="center"/>
    </xf>
    <xf numFmtId="2" fontId="5" fillId="0" borderId="0" xfId="3" applyNumberFormat="1" applyFont="1"/>
    <xf numFmtId="0" fontId="22" fillId="0" borderId="0" xfId="8" applyFont="1"/>
    <xf numFmtId="0" fontId="21" fillId="0" borderId="9" xfId="8" applyFont="1" applyBorder="1" applyAlignment="1">
      <alignment horizontal="right"/>
    </xf>
    <xf numFmtId="0" fontId="26" fillId="0" borderId="9" xfId="8" applyFont="1" applyBorder="1" applyAlignment="1">
      <alignment horizontal="right"/>
    </xf>
    <xf numFmtId="0" fontId="24" fillId="0" borderId="0" xfId="8" applyFont="1"/>
    <xf numFmtId="165" fontId="24" fillId="0" borderId="0" xfId="8" applyNumberFormat="1" applyFont="1"/>
    <xf numFmtId="0" fontId="26" fillId="0" borderId="15" xfId="8" applyFont="1" applyBorder="1" applyAlignment="1">
      <alignment horizontal="center"/>
    </xf>
    <xf numFmtId="0" fontId="24" fillId="0" borderId="9" xfId="8" applyFont="1" applyBorder="1"/>
    <xf numFmtId="165" fontId="24" fillId="0" borderId="9" xfId="8" applyNumberFormat="1" applyFont="1" applyBorder="1"/>
    <xf numFmtId="0" fontId="24" fillId="8" borderId="31" xfId="8" applyFont="1" applyFill="1" applyBorder="1"/>
    <xf numFmtId="165" fontId="2" fillId="2" borderId="6" xfId="2" applyNumberFormat="1" applyBorder="1" applyAlignment="1">
      <alignment horizontal="left"/>
    </xf>
    <xf numFmtId="2" fontId="2" fillId="2" borderId="6" xfId="2" applyNumberFormat="1" applyBorder="1" applyAlignment="1">
      <alignment horizontal="left"/>
    </xf>
    <xf numFmtId="0" fontId="0" fillId="0" borderId="8" xfId="0" applyBorder="1" applyAlignment="1">
      <alignment horizontal="left" vertical="top" wrapText="1"/>
    </xf>
    <xf numFmtId="0" fontId="0" fillId="0" borderId="8" xfId="0" applyBorder="1" applyAlignment="1">
      <alignment horizontal="right" vertical="top" wrapText="1"/>
    </xf>
    <xf numFmtId="0" fontId="0" fillId="0" borderId="0" xfId="0" applyAlignment="1">
      <alignment vertical="top"/>
    </xf>
    <xf numFmtId="0" fontId="0" fillId="0" borderId="7" xfId="0" applyBorder="1" applyAlignment="1">
      <alignment horizontal="left"/>
    </xf>
    <xf numFmtId="49" fontId="7" fillId="2" borderId="6" xfId="2" applyNumberFormat="1" applyFont="1" applyBorder="1" applyAlignment="1">
      <alignment horizontal="left"/>
    </xf>
    <xf numFmtId="49" fontId="2" fillId="2" borderId="6" xfId="2" applyNumberFormat="1" applyBorder="1" applyAlignment="1">
      <alignment horizontal="left"/>
    </xf>
    <xf numFmtId="49" fontId="0" fillId="0" borderId="7" xfId="0" applyNumberFormat="1" applyBorder="1" applyAlignment="1">
      <alignment horizontal="left"/>
    </xf>
    <xf numFmtId="49" fontId="2" fillId="2" borderId="6" xfId="2" applyNumberFormat="1" applyBorder="1" applyAlignment="1">
      <alignment horizontal="left" wrapText="1"/>
    </xf>
    <xf numFmtId="0" fontId="0" fillId="0" borderId="5" xfId="0" applyBorder="1" applyAlignment="1">
      <alignment horizontal="left" vertical="top" wrapText="1"/>
    </xf>
    <xf numFmtId="0" fontId="0" fillId="10" borderId="0" xfId="0" applyFill="1" applyAlignment="1">
      <alignment horizontal="center"/>
    </xf>
    <xf numFmtId="0" fontId="7" fillId="2" borderId="6" xfId="2" applyFont="1" applyBorder="1" applyAlignment="1">
      <alignment horizontal="left"/>
    </xf>
    <xf numFmtId="0" fontId="0" fillId="0" borderId="0" xfId="0" applyAlignment="1">
      <alignment horizontal="left"/>
    </xf>
    <xf numFmtId="0" fontId="2" fillId="2" borderId="1" xfId="2"/>
    <xf numFmtId="0" fontId="0" fillId="0" borderId="5" xfId="0" applyBorder="1" applyAlignment="1">
      <alignment horizontal="left"/>
    </xf>
    <xf numFmtId="0" fontId="0" fillId="0" borderId="3" xfId="0" applyBorder="1" applyAlignment="1">
      <alignment horizontal="right"/>
    </xf>
    <xf numFmtId="0" fontId="7" fillId="2" borderId="32" xfId="2" applyFont="1" applyBorder="1"/>
    <xf numFmtId="0" fontId="2" fillId="2" borderId="10" xfId="2" applyBorder="1"/>
    <xf numFmtId="0" fontId="10" fillId="0" borderId="7" xfId="0" applyFont="1" applyBorder="1"/>
    <xf numFmtId="0" fontId="0" fillId="11" borderId="0" xfId="0" applyFill="1" applyAlignment="1">
      <alignment wrapText="1"/>
    </xf>
    <xf numFmtId="0" fontId="0" fillId="0" borderId="33" xfId="0" applyBorder="1"/>
    <xf numFmtId="0" fontId="5" fillId="0" borderId="33" xfId="0" applyFont="1" applyBorder="1"/>
    <xf numFmtId="0" fontId="0" fillId="0" borderId="34" xfId="0" applyBorder="1"/>
    <xf numFmtId="0" fontId="0" fillId="0" borderId="5" xfId="0" applyBorder="1" applyAlignment="1">
      <alignment vertical="top" wrapText="1"/>
    </xf>
    <xf numFmtId="0" fontId="0" fillId="0" borderId="35" xfId="0" applyBorder="1"/>
    <xf numFmtId="0" fontId="0" fillId="0" borderId="4" xfId="0" applyBorder="1" applyAlignment="1">
      <alignment horizontal="left"/>
    </xf>
    <xf numFmtId="0" fontId="0" fillId="5" borderId="7" xfId="0" applyFill="1" applyBorder="1" applyAlignment="1">
      <alignment horizontal="left"/>
    </xf>
    <xf numFmtId="0" fontId="10" fillId="0" borderId="0" xfId="0" applyFont="1" applyAlignment="1">
      <alignment horizontal="left"/>
    </xf>
    <xf numFmtId="0" fontId="2" fillId="2" borderId="14" xfId="2" applyBorder="1" applyAlignment="1">
      <alignment horizontal="left"/>
    </xf>
    <xf numFmtId="0" fontId="2" fillId="2" borderId="7" xfId="2" applyBorder="1" applyAlignment="1">
      <alignment horizontal="left" wrapText="1"/>
    </xf>
    <xf numFmtId="0" fontId="3" fillId="0" borderId="15" xfId="0" applyFont="1" applyBorder="1" applyAlignment="1">
      <alignment horizontal="center"/>
    </xf>
    <xf numFmtId="0" fontId="3" fillId="0" borderId="37" xfId="0" applyFont="1" applyBorder="1" applyAlignment="1">
      <alignment horizontal="center"/>
    </xf>
    <xf numFmtId="166" fontId="27" fillId="0" borderId="0" xfId="0" applyNumberFormat="1" applyFont="1" applyAlignment="1">
      <alignment horizontal="right" vertical="center" wrapText="1"/>
    </xf>
    <xf numFmtId="166" fontId="27" fillId="0" borderId="0" xfId="0" applyNumberFormat="1" applyFont="1" applyAlignment="1">
      <alignment horizontal="right" vertical="center" wrapText="1" indent="1"/>
    </xf>
    <xf numFmtId="166" fontId="27" fillId="0" borderId="7" xfId="0" applyNumberFormat="1" applyFont="1" applyBorder="1" applyAlignment="1">
      <alignment horizontal="right" vertical="center" wrapText="1" indent="1"/>
    </xf>
    <xf numFmtId="166" fontId="27" fillId="0" borderId="9" xfId="0" applyNumberFormat="1" applyFont="1" applyBorder="1" applyAlignment="1">
      <alignment horizontal="right" vertical="center" wrapText="1"/>
    </xf>
    <xf numFmtId="166" fontId="27" fillId="0" borderId="9" xfId="0" applyNumberFormat="1" applyFont="1" applyBorder="1" applyAlignment="1">
      <alignment horizontal="right" vertical="center" wrapText="1" indent="1"/>
    </xf>
    <xf numFmtId="166" fontId="27" fillId="0" borderId="38" xfId="0" applyNumberFormat="1" applyFont="1" applyBorder="1" applyAlignment="1">
      <alignment horizontal="right" vertical="center" wrapText="1" indent="1"/>
    </xf>
    <xf numFmtId="0" fontId="0" fillId="0" borderId="39" xfId="0"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0" fillId="0" borderId="33" xfId="0" applyBorder="1" applyAlignment="1">
      <alignment horizontal="left" wrapText="1"/>
    </xf>
    <xf numFmtId="0" fontId="3" fillId="0" borderId="33" xfId="0" applyFont="1" applyBorder="1"/>
    <xf numFmtId="0" fontId="0" fillId="0" borderId="33" xfId="0" applyBorder="1" applyAlignment="1">
      <alignment horizontal="right"/>
    </xf>
    <xf numFmtId="0" fontId="2" fillId="2" borderId="40" xfId="2" applyBorder="1"/>
    <xf numFmtId="0" fontId="2" fillId="2" borderId="41" xfId="2" applyBorder="1"/>
    <xf numFmtId="165" fontId="2" fillId="2" borderId="41" xfId="2" applyNumberFormat="1" applyBorder="1" applyAlignment="1">
      <alignment horizontal="left"/>
    </xf>
    <xf numFmtId="0" fontId="2" fillId="2" borderId="33" xfId="2" applyBorder="1"/>
    <xf numFmtId="0" fontId="2" fillId="2" borderId="33" xfId="2" applyBorder="1" applyAlignment="1">
      <alignment wrapText="1"/>
    </xf>
    <xf numFmtId="0" fontId="2" fillId="2" borderId="34" xfId="2" applyBorder="1" applyAlignment="1">
      <alignment wrapText="1"/>
    </xf>
    <xf numFmtId="0" fontId="3" fillId="4" borderId="0" xfId="0" applyFont="1" applyFill="1" applyAlignment="1">
      <alignment horizontal="left" vertical="center"/>
    </xf>
    <xf numFmtId="0" fontId="2" fillId="2" borderId="36" xfId="2" applyBorder="1" applyAlignment="1">
      <alignment horizontal="left"/>
    </xf>
    <xf numFmtId="0" fontId="0" fillId="0" borderId="0" xfId="0" applyAlignment="1">
      <alignment horizontal="right"/>
    </xf>
    <xf numFmtId="166" fontId="0" fillId="12" borderId="0" xfId="0" applyNumberFormat="1" applyFill="1"/>
    <xf numFmtId="166" fontId="0" fillId="13" borderId="0" xfId="0" applyNumberFormat="1" applyFill="1"/>
    <xf numFmtId="164" fontId="0" fillId="14" borderId="0" xfId="0" applyNumberFormat="1" applyFill="1" applyAlignment="1">
      <alignment horizontal="center"/>
    </xf>
    <xf numFmtId="0" fontId="0" fillId="14" borderId="0" xfId="0" applyFill="1" applyAlignment="1">
      <alignment horizontal="center"/>
    </xf>
    <xf numFmtId="0" fontId="2" fillId="2" borderId="18" xfId="2" applyBorder="1" applyAlignment="1">
      <alignment horizontal="left" vertical="top" wrapText="1"/>
    </xf>
    <xf numFmtId="0" fontId="7" fillId="4" borderId="6" xfId="2" applyFont="1" applyFill="1" applyBorder="1" applyAlignment="1">
      <alignment horizontal="left"/>
    </xf>
    <xf numFmtId="0" fontId="7" fillId="2" borderId="43" xfId="2" applyFont="1" applyBorder="1" applyAlignment="1">
      <alignment horizontal="left"/>
    </xf>
    <xf numFmtId="0" fontId="0" fillId="4" borderId="0" xfId="0" applyFill="1" applyAlignment="1">
      <alignment horizontal="right"/>
    </xf>
    <xf numFmtId="0" fontId="2" fillId="3" borderId="44" xfId="2" applyFill="1" applyBorder="1" applyAlignment="1">
      <alignment horizontal="left"/>
    </xf>
    <xf numFmtId="0" fontId="2" fillId="3" borderId="0" xfId="2" applyFill="1" applyBorder="1" applyAlignment="1">
      <alignment horizontal="left"/>
    </xf>
    <xf numFmtId="0" fontId="3" fillId="0" borderId="0" xfId="0" applyFont="1" applyAlignment="1">
      <alignment horizontal="left"/>
    </xf>
    <xf numFmtId="0" fontId="2" fillId="2" borderId="43" xfId="2" applyBorder="1" applyAlignment="1">
      <alignment horizontal="left"/>
    </xf>
    <xf numFmtId="0" fontId="3" fillId="0" borderId="5" xfId="0" applyFont="1" applyBorder="1" applyAlignment="1">
      <alignment horizontal="right"/>
    </xf>
    <xf numFmtId="0" fontId="3" fillId="0" borderId="5" xfId="0" applyFont="1" applyBorder="1" applyAlignment="1">
      <alignment horizontal="left" vertical="top"/>
    </xf>
    <xf numFmtId="0" fontId="2" fillId="4" borderId="43" xfId="2" applyFill="1" applyBorder="1" applyAlignment="1">
      <alignment horizontal="left"/>
    </xf>
    <xf numFmtId="0" fontId="2" fillId="2" borderId="1" xfId="2" applyAlignment="1">
      <alignment horizontal="left"/>
    </xf>
    <xf numFmtId="0" fontId="3" fillId="5" borderId="5" xfId="0" applyFont="1" applyFill="1" applyBorder="1" applyAlignment="1">
      <alignment horizontal="left"/>
    </xf>
    <xf numFmtId="0" fontId="2" fillId="5" borderId="10" xfId="2" applyFill="1" applyBorder="1" applyAlignment="1">
      <alignment horizontal="left"/>
    </xf>
    <xf numFmtId="0" fontId="3" fillId="0" borderId="8" xfId="0" applyFont="1" applyBorder="1" applyAlignment="1">
      <alignment horizontal="left" vertical="top"/>
    </xf>
    <xf numFmtId="0" fontId="0" fillId="12" borderId="46" xfId="0" applyFill="1" applyBorder="1"/>
    <xf numFmtId="0" fontId="0" fillId="12" borderId="47" xfId="0" applyFill="1" applyBorder="1"/>
    <xf numFmtId="0" fontId="0" fillId="13" borderId="47" xfId="0" applyFill="1" applyBorder="1"/>
    <xf numFmtId="0" fontId="0" fillId="12" borderId="0" xfId="0" applyFill="1"/>
    <xf numFmtId="0" fontId="0" fillId="13" borderId="0" xfId="0" applyFill="1"/>
    <xf numFmtId="0" fontId="0" fillId="12" borderId="48" xfId="0" applyFill="1" applyBorder="1"/>
    <xf numFmtId="0" fontId="0" fillId="13" borderId="28" xfId="0" applyFill="1" applyBorder="1"/>
    <xf numFmtId="0" fontId="3" fillId="0" borderId="12" xfId="0" applyFont="1" applyBorder="1" applyAlignment="1">
      <alignment horizontal="center"/>
    </xf>
    <xf numFmtId="2" fontId="3" fillId="0" borderId="12" xfId="0" applyNumberFormat="1" applyFont="1" applyBorder="1" applyAlignment="1">
      <alignment horizontal="center"/>
    </xf>
    <xf numFmtId="0" fontId="3" fillId="0" borderId="12" xfId="0" applyFont="1" applyBorder="1"/>
    <xf numFmtId="165" fontId="0" fillId="0" borderId="0" xfId="0" applyNumberFormat="1"/>
    <xf numFmtId="0" fontId="0" fillId="0" borderId="9" xfId="0" applyBorder="1"/>
    <xf numFmtId="0" fontId="28" fillId="0" borderId="15" xfId="0" applyFont="1" applyBorder="1" applyAlignment="1">
      <alignment horizontal="center"/>
    </xf>
    <xf numFmtId="0" fontId="5" fillId="15" borderId="0" xfId="3" applyFont="1" applyFill="1"/>
    <xf numFmtId="0" fontId="29" fillId="0" borderId="0" xfId="0" applyFont="1"/>
    <xf numFmtId="0" fontId="2" fillId="2" borderId="6" xfId="2" applyNumberFormat="1" applyBorder="1" applyAlignment="1">
      <alignment horizontal="left"/>
    </xf>
    <xf numFmtId="165" fontId="2" fillId="2" borderId="10" xfId="2" applyNumberFormat="1" applyBorder="1" applyAlignment="1">
      <alignment horizontal="left"/>
    </xf>
    <xf numFmtId="164" fontId="5" fillId="6" borderId="12" xfId="3" applyNumberFormat="1" applyFont="1" applyFill="1" applyBorder="1"/>
    <xf numFmtId="0" fontId="0" fillId="0" borderId="42" xfId="0" applyBorder="1"/>
    <xf numFmtId="165" fontId="2" fillId="2" borderId="33" xfId="2" applyNumberFormat="1" applyBorder="1" applyAlignment="1">
      <alignment horizontal="left"/>
    </xf>
    <xf numFmtId="0" fontId="0" fillId="0" borderId="41" xfId="0" applyBorder="1"/>
    <xf numFmtId="166" fontId="0" fillId="0" borderId="0" xfId="0" applyNumberFormat="1"/>
    <xf numFmtId="0" fontId="30" fillId="0" borderId="49" xfId="0" applyFont="1" applyBorder="1" applyAlignment="1">
      <alignment horizontal="right"/>
    </xf>
    <xf numFmtId="0" fontId="1" fillId="0" borderId="9" xfId="1" applyBorder="1" applyAlignment="1">
      <alignment horizontal="center"/>
    </xf>
    <xf numFmtId="0" fontId="0" fillId="0" borderId="45" xfId="0" applyBorder="1" applyAlignment="1">
      <alignment horizontal="center"/>
    </xf>
    <xf numFmtId="0" fontId="5" fillId="0" borderId="12" xfId="3" applyFont="1" applyBorder="1" applyAlignment="1">
      <alignment horizontal="center"/>
    </xf>
    <xf numFmtId="0" fontId="4" fillId="6" borderId="12" xfId="3" applyFont="1" applyFill="1" applyBorder="1" applyAlignment="1">
      <alignment horizontal="center"/>
    </xf>
    <xf numFmtId="0" fontId="5" fillId="0" borderId="3" xfId="3" applyFont="1" applyBorder="1" applyAlignment="1">
      <alignment horizontal="center"/>
    </xf>
    <xf numFmtId="0" fontId="5" fillId="0" borderId="4" xfId="3" applyFont="1" applyBorder="1" applyAlignment="1">
      <alignment horizontal="center"/>
    </xf>
    <xf numFmtId="0" fontId="5" fillId="0" borderId="5" xfId="3" applyFont="1" applyBorder="1" applyAlignment="1">
      <alignment horizontal="center"/>
    </xf>
    <xf numFmtId="0" fontId="5" fillId="0" borderId="7" xfId="3" applyFont="1" applyBorder="1" applyAlignment="1">
      <alignment horizontal="center"/>
    </xf>
    <xf numFmtId="0" fontId="4" fillId="6" borderId="16" xfId="3" applyFont="1" applyFill="1" applyBorder="1" applyAlignment="1">
      <alignment horizontal="center"/>
    </xf>
    <xf numFmtId="0" fontId="4" fillId="6" borderId="13" xfId="3" applyFont="1" applyFill="1" applyBorder="1" applyAlignment="1">
      <alignment horizontal="center"/>
    </xf>
    <xf numFmtId="0" fontId="5" fillId="0" borderId="16" xfId="3" applyFont="1" applyBorder="1" applyAlignment="1">
      <alignment horizontal="center"/>
    </xf>
    <xf numFmtId="0" fontId="5" fillId="0" borderId="13" xfId="3" applyFont="1" applyBorder="1" applyAlignment="1">
      <alignment horizontal="center"/>
    </xf>
    <xf numFmtId="0" fontId="4" fillId="7" borderId="16" xfId="3" applyFont="1" applyFill="1" applyBorder="1" applyAlignment="1">
      <alignment horizontal="center"/>
    </xf>
    <xf numFmtId="0" fontId="4" fillId="7" borderId="13" xfId="3" applyFont="1" applyFill="1" applyBorder="1" applyAlignment="1">
      <alignment horizontal="center"/>
    </xf>
    <xf numFmtId="0" fontId="17" fillId="9" borderId="12" xfId="6" applyFont="1" applyFill="1" applyBorder="1" applyAlignment="1">
      <alignment horizontal="center"/>
    </xf>
    <xf numFmtId="0" fontId="16" fillId="0" borderId="12" xfId="6" applyBorder="1" applyAlignment="1">
      <alignment horizontal="center"/>
    </xf>
    <xf numFmtId="0" fontId="17" fillId="7" borderId="12" xfId="6" applyFont="1" applyFill="1" applyBorder="1" applyAlignment="1">
      <alignment horizontal="center"/>
    </xf>
    <xf numFmtId="0" fontId="16" fillId="7" borderId="12" xfId="6" applyFill="1" applyBorder="1" applyAlignment="1">
      <alignment horizontal="left"/>
    </xf>
    <xf numFmtId="0" fontId="3" fillId="0" borderId="5" xfId="0" applyFont="1" applyBorder="1" applyAlignment="1">
      <alignment horizontal="left" wrapText="1"/>
    </xf>
    <xf numFmtId="0" fontId="3" fillId="0" borderId="7" xfId="0" applyFont="1" applyBorder="1" applyAlignment="1">
      <alignment horizontal="left" wrapText="1"/>
    </xf>
    <xf numFmtId="0" fontId="4" fillId="0" borderId="12" xfId="3" applyFont="1" applyBorder="1" applyAlignment="1">
      <alignment horizontal="center"/>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0" xfId="0" applyAlignment="1">
      <alignment horizontal="center"/>
    </xf>
    <xf numFmtId="0" fontId="17" fillId="6" borderId="12" xfId="6" applyFont="1" applyFill="1" applyBorder="1" applyAlignment="1">
      <alignment horizontal="center"/>
    </xf>
    <xf numFmtId="0" fontId="16" fillId="7" borderId="19" xfId="6" applyFill="1" applyBorder="1" applyAlignment="1">
      <alignment horizontal="left"/>
    </xf>
    <xf numFmtId="0" fontId="16" fillId="7" borderId="20" xfId="6" applyFill="1" applyBorder="1" applyAlignment="1">
      <alignment horizontal="left"/>
    </xf>
    <xf numFmtId="0" fontId="17" fillId="6" borderId="12" xfId="7" applyFont="1" applyFill="1" applyBorder="1" applyAlignment="1">
      <alignment horizontal="center"/>
    </xf>
    <xf numFmtId="0" fontId="16" fillId="0" borderId="12" xfId="7" applyBorder="1" applyAlignment="1">
      <alignment horizontal="center"/>
    </xf>
    <xf numFmtId="0" fontId="17" fillId="7" borderId="12" xfId="7" applyFont="1" applyFill="1" applyBorder="1" applyAlignment="1">
      <alignment horizontal="center"/>
    </xf>
    <xf numFmtId="0" fontId="16" fillId="7" borderId="19" xfId="7" applyFill="1" applyBorder="1" applyAlignment="1">
      <alignment horizontal="left"/>
    </xf>
    <xf numFmtId="0" fontId="16" fillId="7" borderId="20" xfId="7" applyFill="1" applyBorder="1" applyAlignment="1">
      <alignment horizontal="left"/>
    </xf>
    <xf numFmtId="0" fontId="4" fillId="6" borderId="12" xfId="4" applyFont="1" applyFill="1" applyBorder="1" applyAlignment="1">
      <alignment horizontal="center"/>
    </xf>
    <xf numFmtId="0" fontId="5" fillId="0" borderId="12" xfId="4" applyFont="1" applyBorder="1" applyAlignment="1">
      <alignment horizontal="center"/>
    </xf>
    <xf numFmtId="0" fontId="4" fillId="7" borderId="16" xfId="4" applyFont="1" applyFill="1" applyBorder="1" applyAlignment="1">
      <alignment horizontal="center"/>
    </xf>
    <xf numFmtId="0" fontId="4" fillId="7" borderId="13" xfId="4" applyFont="1" applyFill="1" applyBorder="1" applyAlignment="1">
      <alignment horizontal="center"/>
    </xf>
    <xf numFmtId="0" fontId="5" fillId="0" borderId="3" xfId="4" applyFont="1" applyBorder="1" applyAlignment="1">
      <alignment horizontal="center"/>
    </xf>
    <xf numFmtId="0" fontId="5" fillId="0" borderId="4" xfId="4" applyFont="1" applyBorder="1" applyAlignment="1">
      <alignment horizontal="center"/>
    </xf>
    <xf numFmtId="0" fontId="5" fillId="0" borderId="5" xfId="4" applyFont="1" applyBorder="1" applyAlignment="1">
      <alignment horizontal="center"/>
    </xf>
    <xf numFmtId="0" fontId="5" fillId="0" borderId="7" xfId="4" applyFont="1" applyBorder="1" applyAlignment="1">
      <alignment horizontal="center"/>
    </xf>
    <xf numFmtId="0" fontId="4" fillId="6" borderId="16" xfId="4" applyFont="1" applyFill="1" applyBorder="1" applyAlignment="1">
      <alignment horizontal="center"/>
    </xf>
    <xf numFmtId="0" fontId="4" fillId="6" borderId="13" xfId="4" applyFont="1" applyFill="1" applyBorder="1" applyAlignment="1">
      <alignment horizontal="center"/>
    </xf>
    <xf numFmtId="0" fontId="5" fillId="0" borderId="16" xfId="4" applyFont="1" applyBorder="1" applyAlignment="1">
      <alignment horizontal="center"/>
    </xf>
    <xf numFmtId="0" fontId="5" fillId="0" borderId="13" xfId="4" applyFont="1" applyBorder="1" applyAlignment="1">
      <alignment horizontal="center"/>
    </xf>
    <xf numFmtId="0" fontId="4" fillId="6" borderId="12" xfId="0" applyFont="1" applyFill="1" applyBorder="1" applyAlignment="1">
      <alignment horizontal="center"/>
    </xf>
    <xf numFmtId="0" fontId="5" fillId="0" borderId="12" xfId="0" applyFont="1" applyBorder="1" applyAlignment="1">
      <alignment horizontal="center"/>
    </xf>
    <xf numFmtId="0" fontId="5" fillId="0" borderId="22" xfId="3" applyFont="1" applyBorder="1" applyAlignment="1">
      <alignment horizontal="center"/>
    </xf>
    <xf numFmtId="0" fontId="5" fillId="0" borderId="23" xfId="3" applyFont="1" applyBorder="1" applyAlignment="1">
      <alignment horizontal="center"/>
    </xf>
    <xf numFmtId="0" fontId="23" fillId="8" borderId="28" xfId="8" applyFont="1" applyFill="1" applyBorder="1" applyAlignment="1">
      <alignment horizontal="right"/>
    </xf>
    <xf numFmtId="0" fontId="23" fillId="8" borderId="29" xfId="8" applyFont="1" applyFill="1" applyBorder="1" applyAlignment="1">
      <alignment horizontal="right"/>
    </xf>
    <xf numFmtId="0" fontId="23" fillId="8" borderId="30" xfId="8" applyFont="1" applyFill="1" applyBorder="1" applyAlignment="1">
      <alignment horizontal="right"/>
    </xf>
  </cellXfs>
  <cellStyles count="9">
    <cellStyle name="Input" xfId="2" builtinId="20"/>
    <cellStyle name="Normal" xfId="0" builtinId="0"/>
    <cellStyle name="Normal 2" xfId="3" xr:uid="{00000000-0005-0000-0000-000002000000}"/>
    <cellStyle name="Normal 3" xfId="4" xr:uid="{4DA22D27-CFCC-4216-9725-141087C16A94}"/>
    <cellStyle name="Normal 4" xfId="5" xr:uid="{CD819663-CA10-4552-8EB6-1E125BB5681F}"/>
    <cellStyle name="Normal_ASF-TFP" xfId="8" xr:uid="{52D68F6B-D4B1-4623-8253-9626E74B2348}"/>
    <cellStyle name="Normal_Paired t test" xfId="6" xr:uid="{CC84146C-323D-4D6E-8E23-CE87595F3B0D}"/>
    <cellStyle name="Normal_Paired t test 2" xfId="7" xr:uid="{06115201-0885-49EC-9240-39924E3441BE}"/>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'11.3'!$B$13:$B$16</c:f>
              <c:strCache>
                <c:ptCount val="4"/>
                <c:pt idx="0">
                  <c:v>None</c:v>
                </c:pt>
                <c:pt idx="1">
                  <c:v>Low</c:v>
                </c:pt>
                <c:pt idx="2">
                  <c:v>Med</c:v>
                </c:pt>
                <c:pt idx="3">
                  <c:v>High</c:v>
                </c:pt>
              </c:strCache>
            </c:strRef>
          </c:cat>
          <c:val>
            <c:numRef>
              <c:f>'11.3'!$C$13:$C$16</c:f>
              <c:numCache>
                <c:formatCode>0.0</c:formatCode>
                <c:ptCount val="4"/>
                <c:pt idx="0" formatCode="General">
                  <c:v>4.0699999999999994</c:v>
                </c:pt>
                <c:pt idx="1">
                  <c:v>5.0999999999999996</c:v>
                </c:pt>
                <c:pt idx="2">
                  <c:v>5.85</c:v>
                </c:pt>
                <c:pt idx="3">
                  <c:v>5.55</c:v>
                </c:pt>
              </c:numCache>
            </c:numRef>
          </c:val>
          <c:smooth val="0"/>
          <c:extLst>
            <c:ext xmlns:c16="http://schemas.microsoft.com/office/drawing/2014/chart" uri="{C3380CC4-5D6E-409C-BE32-E72D297353CC}">
              <c16:uniqueId val="{00000000-0CDD-5F42-B134-427B5D87987E}"/>
            </c:ext>
          </c:extLst>
        </c:ser>
        <c:dLbls>
          <c:showLegendKey val="0"/>
          <c:showVal val="0"/>
          <c:showCatName val="0"/>
          <c:showSerName val="0"/>
          <c:showPercent val="0"/>
          <c:showBubbleSize val="0"/>
        </c:dLbls>
        <c:smooth val="0"/>
        <c:axId val="186220064"/>
        <c:axId val="208286320"/>
      </c:lineChart>
      <c:catAx>
        <c:axId val="1862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86320"/>
        <c:crosses val="autoZero"/>
        <c:auto val="1"/>
        <c:lblAlgn val="ctr"/>
        <c:lblOffset val="100"/>
        <c:noMultiLvlLbl val="0"/>
      </c:catAx>
      <c:valAx>
        <c:axId val="20828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279400</xdr:colOff>
      <xdr:row>2</xdr:row>
      <xdr:rowOff>12700</xdr:rowOff>
    </xdr:from>
    <xdr:to>
      <xdr:col>15</xdr:col>
      <xdr:colOff>101600</xdr:colOff>
      <xdr:row>14</xdr:row>
      <xdr:rowOff>95250</xdr:rowOff>
    </xdr:to>
    <xdr:sp macro="" textlink="">
      <xdr:nvSpPr>
        <xdr:cNvPr id="2" name="TextBox 1">
          <a:extLst>
            <a:ext uri="{FF2B5EF4-FFF2-40B4-BE49-F238E27FC236}">
              <a16:creationId xmlns:a16="http://schemas.microsoft.com/office/drawing/2014/main" id="{0B02C61A-2438-4C7D-A27C-1EC33DC886BD}"/>
            </a:ext>
          </a:extLst>
        </xdr:cNvPr>
        <xdr:cNvSpPr txBox="1"/>
      </xdr:nvSpPr>
      <xdr:spPr>
        <a:xfrm>
          <a:off x="279400" y="393700"/>
          <a:ext cx="8966200" cy="236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a:t>
          </a:r>
          <a:r>
            <a:rPr lang="en-US" sz="1100" baseline="0"/>
            <a:t> have placed all of the different templates from the Excel Guide that are described at the end of each chapter. </a:t>
          </a:r>
          <a:r>
            <a:rPr lang="en-US" sz="1100" b="1" baseline="0">
              <a:solidFill>
                <a:srgbClr val="FF0000"/>
              </a:solidFill>
            </a:rPr>
            <a:t> For tthe ANOVA problems  I highly recommend you use the data analysis tool .  DO NOT USE THE BOOK'S TEMPLATE</a:t>
          </a:r>
          <a:br>
            <a:rPr lang="en-US" sz="1100" baseline="0"/>
          </a:br>
          <a:endParaRPr lang="en-US" sz="1100" baseline="0"/>
        </a:p>
        <a:p>
          <a:r>
            <a:rPr lang="en-US" sz="1100" baseline="0"/>
            <a:t>While you are completing your homework here are some things to think about:</a:t>
          </a:r>
        </a:p>
        <a:p>
          <a:r>
            <a:rPr lang="en-US" b="1" baseline="0">
              <a:solidFill>
                <a:schemeClr val="tx1"/>
              </a:solidFill>
            </a:rPr>
            <a:t>You need to determine If the variances are equal.   if they are then use P</a:t>
          </a:r>
          <a:r>
            <a:rPr lang="en-US" b="1">
              <a:solidFill>
                <a:schemeClr val="tx1"/>
              </a:solidFill>
            </a:rPr>
            <a:t>ooled,</a:t>
          </a:r>
          <a:r>
            <a:rPr lang="en-US" b="1" baseline="0">
              <a:solidFill>
                <a:schemeClr val="tx1"/>
              </a:solidFill>
            </a:rPr>
            <a:t>   If </a:t>
          </a:r>
          <a:r>
            <a:rPr lang="en-US" b="1">
              <a:solidFill>
                <a:schemeClr val="tx1"/>
              </a:solidFill>
            </a:rPr>
            <a:t>S1 does not equal S2</a:t>
          </a:r>
          <a:r>
            <a:rPr lang="en-US" b="1" baseline="0">
              <a:solidFill>
                <a:schemeClr val="tx1"/>
              </a:solidFill>
            </a:rPr>
            <a:t> use separate Variance.  Hint:  You are not necessarily going to do every test for homework.</a:t>
          </a:r>
          <a:br>
            <a:rPr lang="en-US" b="1" baseline="0">
              <a:solidFill>
                <a:srgbClr val="FF0000"/>
              </a:solidFill>
            </a:rPr>
          </a:br>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Is this a lower or</a:t>
          </a:r>
          <a:r>
            <a:rPr lang="en-US" sz="1100" baseline="0">
              <a:solidFill>
                <a:schemeClr val="dk1"/>
              </a:solidFill>
              <a:effectLst/>
              <a:latin typeface="+mn-lt"/>
              <a:ea typeface="+mn-ea"/>
              <a:cs typeface="+mn-cs"/>
            </a:rPr>
            <a:t> upper tailed Test?   The </a:t>
          </a:r>
          <a:r>
            <a:rPr lang="en-US" sz="1100" b="1" baseline="0">
              <a:solidFill>
                <a:schemeClr val="dk1"/>
              </a:solidFill>
              <a:effectLst/>
              <a:latin typeface="+mn-lt"/>
              <a:ea typeface="+mn-ea"/>
              <a:cs typeface="+mn-cs"/>
            </a:rPr>
            <a:t>Alternative Hypothesis</a:t>
          </a:r>
          <a:r>
            <a:rPr lang="en-US" sz="1100" baseline="0">
              <a:solidFill>
                <a:schemeClr val="dk1"/>
              </a:solidFill>
              <a:effectLst/>
              <a:latin typeface="+mn-lt"/>
              <a:ea typeface="+mn-ea"/>
              <a:cs typeface="+mn-cs"/>
            </a:rPr>
            <a:t> is based on what you are trying to prove.</a:t>
          </a:r>
        </a:p>
        <a:p>
          <a:r>
            <a:rPr lang="en-US" sz="1100" baseline="0">
              <a:solidFill>
                <a:schemeClr val="dk1"/>
              </a:solidFill>
              <a:effectLst/>
              <a:latin typeface="+mn-lt"/>
              <a:ea typeface="+mn-ea"/>
              <a:cs typeface="+mn-cs"/>
            </a:rPr>
            <a:t>	</a:t>
          </a:r>
        </a:p>
        <a:p>
          <a:r>
            <a:rPr lang="en-US" sz="1100" baseline="0">
              <a:solidFill>
                <a:schemeClr val="dk1"/>
              </a:solidFill>
              <a:effectLst/>
              <a:latin typeface="+mn-lt"/>
              <a:ea typeface="+mn-ea"/>
              <a:cs typeface="+mn-cs"/>
            </a:rPr>
            <a:t>Do you know the population standard deviations ?  If the standard deviation is from a sample and not stated as the population standard deviation you do not know the population standard deviation.</a:t>
          </a:r>
          <a:endParaRPr lang="en-US">
            <a:effectLst/>
          </a:endParaRPr>
        </a:p>
        <a:p>
          <a:r>
            <a:rPr lang="en-US" sz="1100" baseline="0">
              <a:solidFill>
                <a:schemeClr val="dk1"/>
              </a:solidFill>
              <a:effectLst/>
              <a:latin typeface="+mn-lt"/>
              <a:ea typeface="+mn-ea"/>
              <a:cs typeface="+mn-cs"/>
            </a:rPr>
            <a:t>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br>
            <a:rPr lang="en-US" sz="1100" baseline="0"/>
          </a:br>
          <a:endParaRPr lang="en-US" sz="1100"/>
        </a:p>
      </xdr:txBody>
    </xdr:sp>
    <xdr:clientData/>
  </xdr:twoCellAnchor>
  <xdr:twoCellAnchor>
    <xdr:from>
      <xdr:col>4</xdr:col>
      <xdr:colOff>257175</xdr:colOff>
      <xdr:row>14</xdr:row>
      <xdr:rowOff>171450</xdr:rowOff>
    </xdr:from>
    <xdr:to>
      <xdr:col>9</xdr:col>
      <xdr:colOff>422275</xdr:colOff>
      <xdr:row>18</xdr:row>
      <xdr:rowOff>38100</xdr:rowOff>
    </xdr:to>
    <xdr:sp macro="" textlink="">
      <xdr:nvSpPr>
        <xdr:cNvPr id="4" name="TextBox 3">
          <a:extLst>
            <a:ext uri="{FF2B5EF4-FFF2-40B4-BE49-F238E27FC236}">
              <a16:creationId xmlns:a16="http://schemas.microsoft.com/office/drawing/2014/main" id="{4EA6145A-9713-4B63-B5B7-D608284B3922}"/>
            </a:ext>
          </a:extLst>
        </xdr:cNvPr>
        <xdr:cNvSpPr txBox="1"/>
      </xdr:nvSpPr>
      <xdr:spPr>
        <a:xfrm>
          <a:off x="2695575" y="2838450"/>
          <a:ext cx="321310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YOU MUST SHOW</a:t>
          </a:r>
          <a:r>
            <a:rPr lang="en-US" sz="1100" b="1" baseline="0">
              <a:solidFill>
                <a:srgbClr val="FF0000"/>
              </a:solidFill>
            </a:rPr>
            <a:t> YOUR WORK IN THE OTHER SHEETS TO RECEIVE CREDIT!</a:t>
          </a:r>
          <a:endParaRPr lang="en-US" sz="11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5</xdr:row>
      <xdr:rowOff>323850</xdr:rowOff>
    </xdr:from>
    <xdr:to>
      <xdr:col>9</xdr:col>
      <xdr:colOff>476250</xdr:colOff>
      <xdr:row>7</xdr:row>
      <xdr:rowOff>196850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762750" y="1250950"/>
          <a:ext cx="3505200" cy="57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YOU MUST SHOW</a:t>
          </a:r>
          <a:r>
            <a:rPr lang="en-US" sz="1100" b="1" baseline="0">
              <a:solidFill>
                <a:srgbClr val="FF0000"/>
              </a:solidFill>
            </a:rPr>
            <a:t> YOUR WORK IN THE OTHER SHEETS TO RECEIVE CREDIT!</a:t>
          </a:r>
          <a:endParaRPr lang="en-US" sz="1100" b="1">
            <a:solidFill>
              <a:srgbClr val="FF0000"/>
            </a:solidFill>
          </a:endParaRPr>
        </a:p>
      </xdr:txBody>
    </xdr:sp>
    <xdr:clientData/>
  </xdr:twoCellAnchor>
  <xdr:twoCellAnchor>
    <xdr:from>
      <xdr:col>3</xdr:col>
      <xdr:colOff>596900</xdr:colOff>
      <xdr:row>0</xdr:row>
      <xdr:rowOff>0</xdr:rowOff>
    </xdr:from>
    <xdr:to>
      <xdr:col>9</xdr:col>
      <xdr:colOff>508000</xdr:colOff>
      <xdr:row>5</xdr:row>
      <xdr:rowOff>292100</xdr:rowOff>
    </xdr:to>
    <xdr:sp macro="" textlink="">
      <xdr:nvSpPr>
        <xdr:cNvPr id="5" name="TextBox 4">
          <a:extLst>
            <a:ext uri="{FF2B5EF4-FFF2-40B4-BE49-F238E27FC236}">
              <a16:creationId xmlns:a16="http://schemas.microsoft.com/office/drawing/2014/main" id="{6AF1E9D2-4EA0-4F68-9FF8-F682E65DB2CF}"/>
            </a:ext>
          </a:extLst>
        </xdr:cNvPr>
        <xdr:cNvSpPr txBox="1"/>
      </xdr:nvSpPr>
      <xdr:spPr>
        <a:xfrm>
          <a:off x="6731000" y="0"/>
          <a:ext cx="3568700"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F0000"/>
              </a:solidFill>
            </a:rPr>
            <a:t>Week 5 Homework Answer</a:t>
          </a:r>
          <a:r>
            <a:rPr lang="en-US" sz="1600" baseline="0">
              <a:solidFill>
                <a:srgbClr val="FF0000"/>
              </a:solidFill>
            </a:rPr>
            <a:t> Sheet for Grading</a:t>
          </a:r>
          <a:r>
            <a:rPr lang="en-US" sz="1600">
              <a:solidFill>
                <a:srgbClr val="FF0000"/>
              </a:solidFill>
            </a:rPr>
            <a:t>-  DO NOT EDIT.  Place your Answers on the Individual Problem Sheets where indicated.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488950</xdr:colOff>
      <xdr:row>6</xdr:row>
      <xdr:rowOff>0</xdr:rowOff>
    </xdr:from>
    <xdr:to>
      <xdr:col>8</xdr:col>
      <xdr:colOff>44450</xdr:colOff>
      <xdr:row>8</xdr:row>
      <xdr:rowOff>152400</xdr:rowOff>
    </xdr:to>
    <xdr:sp macro="" textlink="">
      <xdr:nvSpPr>
        <xdr:cNvPr id="5" name="TextBox 4">
          <a:extLst>
            <a:ext uri="{FF2B5EF4-FFF2-40B4-BE49-F238E27FC236}">
              <a16:creationId xmlns:a16="http://schemas.microsoft.com/office/drawing/2014/main" id="{F3B3B748-B29F-44A6-8580-D893DB13F452}"/>
            </a:ext>
          </a:extLst>
        </xdr:cNvPr>
        <xdr:cNvSpPr txBox="1"/>
      </xdr:nvSpPr>
      <xdr:spPr>
        <a:xfrm>
          <a:off x="7016750" y="1225550"/>
          <a:ext cx="3213100" cy="52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YOU MUST SHOW</a:t>
          </a:r>
          <a:r>
            <a:rPr lang="en-US" sz="1100" b="1" baseline="0">
              <a:solidFill>
                <a:srgbClr val="FF0000"/>
              </a:solidFill>
            </a:rPr>
            <a:t> YOUR WORK IN THE OTHER SHEETS TO RECEIVE CREDIT!</a:t>
          </a:r>
          <a:endParaRPr lang="en-US" sz="1100" b="1">
            <a:solidFill>
              <a:srgbClr val="FF0000"/>
            </a:solidFill>
          </a:endParaRPr>
        </a:p>
      </xdr:txBody>
    </xdr:sp>
    <xdr:clientData/>
  </xdr:twoCellAnchor>
  <xdr:twoCellAnchor>
    <xdr:from>
      <xdr:col>2</xdr:col>
      <xdr:colOff>488950</xdr:colOff>
      <xdr:row>0</xdr:row>
      <xdr:rowOff>0</xdr:rowOff>
    </xdr:from>
    <xdr:to>
      <xdr:col>8</xdr:col>
      <xdr:colOff>400050</xdr:colOff>
      <xdr:row>5</xdr:row>
      <xdr:rowOff>171450</xdr:rowOff>
    </xdr:to>
    <xdr:sp macro="" textlink="">
      <xdr:nvSpPr>
        <xdr:cNvPr id="7" name="TextBox 6">
          <a:extLst>
            <a:ext uri="{FF2B5EF4-FFF2-40B4-BE49-F238E27FC236}">
              <a16:creationId xmlns:a16="http://schemas.microsoft.com/office/drawing/2014/main" id="{B916B7D0-5D37-4404-8881-432782B53CBB}"/>
            </a:ext>
          </a:extLst>
        </xdr:cNvPr>
        <xdr:cNvSpPr txBox="1"/>
      </xdr:nvSpPr>
      <xdr:spPr>
        <a:xfrm>
          <a:off x="7016750" y="0"/>
          <a:ext cx="3568700" cy="1212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F0000"/>
              </a:solidFill>
            </a:rPr>
            <a:t>Week 5 Homework Answer</a:t>
          </a:r>
          <a:r>
            <a:rPr lang="en-US" sz="1600" baseline="0">
              <a:solidFill>
                <a:srgbClr val="FF0000"/>
              </a:solidFill>
            </a:rPr>
            <a:t> Sheet for Grading</a:t>
          </a:r>
          <a:r>
            <a:rPr lang="en-US" sz="1600">
              <a:solidFill>
                <a:srgbClr val="FF0000"/>
              </a:solidFill>
            </a:rPr>
            <a:t>-  DO NOT EDIT.  Place your Answers on the Individual Problem Sheets where indicated.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82550</xdr:colOff>
      <xdr:row>0</xdr:row>
      <xdr:rowOff>50800</xdr:rowOff>
    </xdr:from>
    <xdr:to>
      <xdr:col>14</xdr:col>
      <xdr:colOff>25400</xdr:colOff>
      <xdr:row>8</xdr:row>
      <xdr:rowOff>0</xdr:rowOff>
    </xdr:to>
    <xdr:sp macro="" textlink="">
      <xdr:nvSpPr>
        <xdr:cNvPr id="2" name="TextBox 1">
          <a:extLst>
            <a:ext uri="{FF2B5EF4-FFF2-40B4-BE49-F238E27FC236}">
              <a16:creationId xmlns:a16="http://schemas.microsoft.com/office/drawing/2014/main" id="{5FE5ED4A-6B0B-43C7-A09A-9B4490741243}"/>
            </a:ext>
          </a:extLst>
        </xdr:cNvPr>
        <xdr:cNvSpPr txBox="1"/>
      </xdr:nvSpPr>
      <xdr:spPr>
        <a:xfrm>
          <a:off x="4768850" y="50800"/>
          <a:ext cx="5991225" cy="2597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10.1 The Acme Company has developed a new battery. The engineer in charge claims that the new battery will operate</a:t>
          </a:r>
          <a:r>
            <a:rPr lang="en-US" sz="1100" b="0" i="0" baseline="0">
              <a:solidFill>
                <a:schemeClr val="dk1"/>
              </a:solidFill>
              <a:effectLst/>
              <a:latin typeface="+mn-lt"/>
              <a:ea typeface="+mn-ea"/>
              <a:cs typeface="+mn-cs"/>
            </a:rPr>
            <a:t> longer than </a:t>
          </a:r>
          <a:r>
            <a:rPr lang="en-US" sz="1100" b="0" i="0">
              <a:solidFill>
                <a:schemeClr val="dk1"/>
              </a:solidFill>
              <a:effectLst/>
              <a:latin typeface="+mn-lt"/>
              <a:ea typeface="+mn-ea"/>
              <a:cs typeface="+mn-cs"/>
            </a:rPr>
            <a:t>the old battery.    To test the claim, the company selects a simple random sample of 95 old  batteries and 99 new batteries.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old batteries run continuously for 12 hours with a standard deviation of 8.4 hours;</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the new batteries, 16</a:t>
          </a:r>
          <a:r>
            <a:rPr lang="en-US" sz="1100" b="0" i="0" baseline="0">
              <a:solidFill>
                <a:schemeClr val="dk1"/>
              </a:solidFill>
              <a:effectLst/>
              <a:latin typeface="+mn-lt"/>
              <a:ea typeface="+mn-ea"/>
              <a:cs typeface="+mn-cs"/>
            </a:rPr>
            <a:t> hours</a:t>
          </a:r>
          <a:r>
            <a:rPr lang="en-US" sz="1100" b="0" i="0">
              <a:solidFill>
                <a:schemeClr val="dk1"/>
              </a:solidFill>
              <a:effectLst/>
              <a:latin typeface="+mn-lt"/>
              <a:ea typeface="+mn-ea"/>
              <a:cs typeface="+mn-cs"/>
            </a:rPr>
            <a:t> with a standard deviation of 10 hours. In</a:t>
          </a:r>
          <a:r>
            <a:rPr lang="en-US" sz="1100" b="0" i="0" baseline="0">
              <a:solidFill>
                <a:schemeClr val="dk1"/>
              </a:solidFill>
              <a:effectLst/>
              <a:latin typeface="+mn-lt"/>
              <a:ea typeface="+mn-ea"/>
              <a:cs typeface="+mn-cs"/>
            </a:rPr>
            <a:t> this case you can assume S1 = S2.  This will help determine what test to run.  (See hints if you are unsure) </a:t>
          </a:r>
          <a:r>
            <a:rPr lang="en-US" sz="1100" b="0" i="0">
              <a:solidFill>
                <a:schemeClr val="dk1"/>
              </a:solidFill>
              <a:effectLst/>
              <a:latin typeface="+mn-lt"/>
              <a:ea typeface="+mn-ea"/>
              <a:cs typeface="+mn-cs"/>
            </a:rPr>
            <a:t>(16 pts)</a:t>
          </a:r>
        </a:p>
        <a:p>
          <a:r>
            <a:rPr lang="en-US" sz="1100" b="0" i="0">
              <a:solidFill>
                <a:schemeClr val="dk1"/>
              </a:solidFill>
              <a:effectLst/>
              <a:latin typeface="+mn-lt"/>
              <a:ea typeface="+mn-ea"/>
              <a:cs typeface="+mn-cs"/>
            </a:rPr>
            <a:t>A)  State</a:t>
          </a:r>
          <a:r>
            <a:rPr lang="en-US" sz="1100" b="0" i="0" baseline="0">
              <a:solidFill>
                <a:schemeClr val="dk1"/>
              </a:solidFill>
              <a:effectLst/>
              <a:latin typeface="+mn-lt"/>
              <a:ea typeface="+mn-ea"/>
              <a:cs typeface="+mn-cs"/>
            </a:rPr>
            <a:t> the hypothesis.  </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B)  </a:t>
          </a:r>
          <a:r>
            <a:rPr lang="en-US" sz="1100" b="1" i="0" baseline="0">
              <a:solidFill>
                <a:schemeClr val="dk1"/>
              </a:solidFill>
              <a:effectLst/>
              <a:latin typeface="+mn-lt"/>
              <a:ea typeface="+mn-ea"/>
              <a:cs typeface="+mn-cs"/>
            </a:rPr>
            <a:t>In the context of this problem</a:t>
          </a:r>
          <a:r>
            <a:rPr lang="en-US" sz="1100" b="0" i="0" baseline="0">
              <a:solidFill>
                <a:schemeClr val="dk1"/>
              </a:solidFill>
              <a:effectLst/>
              <a:latin typeface="+mn-lt"/>
              <a:ea typeface="+mn-ea"/>
              <a:cs typeface="+mn-cs"/>
            </a:rPr>
            <a:t>, what is a type I error.</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C)  </a:t>
          </a:r>
          <a:r>
            <a:rPr lang="en-US" sz="1100" b="1" i="0" baseline="0">
              <a:solidFill>
                <a:schemeClr val="dk1"/>
              </a:solidFill>
              <a:effectLst/>
              <a:latin typeface="+mn-lt"/>
              <a:ea typeface="+mn-ea"/>
              <a:cs typeface="+mn-cs"/>
            </a:rPr>
            <a:t>In the context of this problem</a:t>
          </a:r>
          <a:r>
            <a:rPr lang="en-US" sz="1100" b="0" i="0" baseline="0">
              <a:solidFill>
                <a:schemeClr val="dk1"/>
              </a:solidFill>
              <a:effectLst/>
              <a:latin typeface="+mn-lt"/>
              <a:ea typeface="+mn-ea"/>
              <a:cs typeface="+mn-cs"/>
            </a:rPr>
            <a:t>, what is a type II error.</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D) What type of test is this?  Pooled, Paired or Separate Variance?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E) Test the engineer's claim that the new batteries runs longer than the old. Use a 0.05 level of significance. Be sure to answer all of the</a:t>
          </a:r>
          <a:r>
            <a:rPr lang="en-US" sz="1100" b="0" i="0" baseline="0">
              <a:solidFill>
                <a:schemeClr val="dk1"/>
              </a:solidFill>
              <a:effectLst/>
              <a:latin typeface="+mn-lt"/>
              <a:ea typeface="+mn-ea"/>
              <a:cs typeface="+mn-cs"/>
            </a:rPr>
            <a:t> questions.  Is this an upper or lower tailed test?  Be careful what you are setting at sample 1 and sample2.</a:t>
          </a:r>
          <a:endParaRPr lang="en-US">
            <a:effectLst/>
          </a:endParaRPr>
        </a:p>
        <a:p>
          <a:endParaRPr lang="en-US" sz="1100" b="0" i="0">
            <a:solidFill>
              <a:schemeClr val="dk1"/>
            </a:solidFill>
            <a:effectLst/>
            <a:latin typeface="+mn-lt"/>
            <a:ea typeface="+mn-ea"/>
            <a:cs typeface="+mn-cs"/>
          </a:endParaRP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44449</xdr:colOff>
      <xdr:row>0</xdr:row>
      <xdr:rowOff>76201</xdr:rowOff>
    </xdr:from>
    <xdr:to>
      <xdr:col>11</xdr:col>
      <xdr:colOff>85724</xdr:colOff>
      <xdr:row>9</xdr:row>
      <xdr:rowOff>1</xdr:rowOff>
    </xdr:to>
    <xdr:sp macro="" textlink="">
      <xdr:nvSpPr>
        <xdr:cNvPr id="2" name="TextBox 1">
          <a:extLst>
            <a:ext uri="{FF2B5EF4-FFF2-40B4-BE49-F238E27FC236}">
              <a16:creationId xmlns:a16="http://schemas.microsoft.com/office/drawing/2014/main" id="{13A045C9-EE7B-48E3-AC08-113297CA4C61}"/>
            </a:ext>
          </a:extLst>
        </xdr:cNvPr>
        <xdr:cNvSpPr txBox="1"/>
      </xdr:nvSpPr>
      <xdr:spPr>
        <a:xfrm>
          <a:off x="6550024" y="76201"/>
          <a:ext cx="43084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10.2 You have data on the Ph levels of samples</a:t>
          </a:r>
          <a:r>
            <a:rPr lang="en-US" sz="1100" b="0" i="0" baseline="0">
              <a:solidFill>
                <a:schemeClr val="dk1"/>
              </a:solidFill>
              <a:effectLst/>
              <a:latin typeface="+mn-lt"/>
              <a:ea typeface="+mn-ea"/>
              <a:cs typeface="+mn-cs"/>
            </a:rPr>
            <a:t> from two different rivers (located in cells C1:D13)  You want to see if the mean of the Phlevels are different between the two rivers. </a:t>
          </a:r>
        </a:p>
        <a:p>
          <a:r>
            <a:rPr lang="en-US" sz="1100" b="0" i="0" baseline="0">
              <a:solidFill>
                <a:schemeClr val="dk1"/>
              </a:solidFill>
              <a:effectLst/>
              <a:latin typeface="+mn-lt"/>
              <a:ea typeface="+mn-ea"/>
              <a:cs typeface="+mn-cs"/>
            </a:rPr>
            <a:t>Part A.  In order to determine if the variances are equal you need to first perform an F test.</a:t>
          </a:r>
        </a:p>
        <a:p>
          <a:r>
            <a:rPr lang="en-US" sz="1100" b="0" i="0" baseline="0">
              <a:solidFill>
                <a:schemeClr val="dk1"/>
              </a:solidFill>
              <a:effectLst/>
              <a:latin typeface="+mn-lt"/>
              <a:ea typeface="+mn-ea"/>
              <a:cs typeface="+mn-cs"/>
            </a:rPr>
            <a:t>Part B. Given the results in Part A what type of test should you perform?</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Part C.  Complete the test on the mean PhLevels.  Be sure to answer all of the questions on the left.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19050</xdr:colOff>
      <xdr:row>0</xdr:row>
      <xdr:rowOff>0</xdr:rowOff>
    </xdr:from>
    <xdr:to>
      <xdr:col>16</xdr:col>
      <xdr:colOff>0</xdr:colOff>
      <xdr:row>16</xdr:row>
      <xdr:rowOff>184354</xdr:rowOff>
    </xdr:to>
    <xdr:sp macro="" textlink="">
      <xdr:nvSpPr>
        <xdr:cNvPr id="2" name="TextBox 1">
          <a:extLst>
            <a:ext uri="{FF2B5EF4-FFF2-40B4-BE49-F238E27FC236}">
              <a16:creationId xmlns:a16="http://schemas.microsoft.com/office/drawing/2014/main" id="{C2CE281A-0FAE-4F76-B5AE-AF06505E1F8F}"/>
            </a:ext>
          </a:extLst>
        </xdr:cNvPr>
        <xdr:cNvSpPr txBox="1"/>
      </xdr:nvSpPr>
      <xdr:spPr>
        <a:xfrm>
          <a:off x="3759917" y="0"/>
          <a:ext cx="9452180" cy="34105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10.3 A company researcher wants to test a new formula for a sports drink that has been designed to improve running performance. Instead of the regular "carbohydrate-only" drink that the company produces, this new sports drink contains a "carbohydrate-protein" formula. The researcher would like to know whether this new carbohydrate-protein sports drink leads to a difference in running performance compared to the carbohydrate-only sports drink. </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To carry out the experiment, the researcher recruited 20 middle distance runners. All of these participants performed two trials in which they had to run as far as possible for 2 hours on a treadmill. </a:t>
          </a:r>
        </a:p>
        <a:p>
          <a:r>
            <a:rPr lang="en-US" sz="1100" b="0" i="0">
              <a:solidFill>
                <a:schemeClr val="dk1"/>
              </a:solidFill>
              <a:effectLst/>
              <a:latin typeface="+mn-lt"/>
              <a:ea typeface="+mn-ea"/>
              <a:cs typeface="+mn-cs"/>
            </a:rPr>
            <a:t>In one of the trials, all 20 participants drank from a bottle containing the carbohydrate-only formula. In the other trial, </a:t>
          </a:r>
          <a:r>
            <a:rPr lang="en-US" sz="1100" b="1" i="0">
              <a:solidFill>
                <a:schemeClr val="dk1"/>
              </a:solidFill>
              <a:effectLst/>
              <a:latin typeface="+mn-lt"/>
              <a:ea typeface="+mn-ea"/>
              <a:cs typeface="+mn-cs"/>
            </a:rPr>
            <a:t>the same 20 participants </a:t>
          </a:r>
          <a:r>
            <a:rPr lang="en-US" sz="1100" b="0" i="0">
              <a:solidFill>
                <a:schemeClr val="dk1"/>
              </a:solidFill>
              <a:effectLst/>
              <a:latin typeface="+mn-lt"/>
              <a:ea typeface="+mn-ea"/>
              <a:cs typeface="+mn-cs"/>
            </a:rPr>
            <a:t>drank from a bottle containing the carbohydrate-protein formula. </a:t>
          </a:r>
          <a:r>
            <a:rPr lang="en-US" sz="1100" b="1" i="0">
              <a:solidFill>
                <a:schemeClr val="dk1"/>
              </a:solidFill>
              <a:effectLst/>
              <a:latin typeface="+mn-lt"/>
              <a:ea typeface="+mn-ea"/>
              <a:cs typeface="+mn-cs"/>
            </a:rPr>
            <a:t>Whilst all participants completed both trials</a:t>
          </a:r>
          <a:r>
            <a:rPr lang="en-US" sz="1100" b="0" i="0">
              <a:solidFill>
                <a:schemeClr val="dk1"/>
              </a:solidFill>
              <a:effectLst/>
              <a:latin typeface="+mn-lt"/>
              <a:ea typeface="+mn-ea"/>
              <a:cs typeface="+mn-cs"/>
            </a:rPr>
            <a:t>, the order in which they underwent the trials differed, which is known as counterbalancing.</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the end of the two trials, the distance each participant ran (in km) was recorded.</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A) Determine whether there is a statistically significant difference in distance run between the two trials (i.e., when using the carbohydrate-protein drink compared to the carbohydrate-only drink).</a:t>
          </a:r>
        </a:p>
        <a:p>
          <a:r>
            <a:rPr lang="en-US" sz="1100"/>
            <a:t>B)  What assumptions</a:t>
          </a:r>
          <a:r>
            <a:rPr lang="en-US" sz="1100" baseline="0"/>
            <a:t> is necessaray about the population dsitribution in order to perform this test?</a:t>
          </a:r>
          <a:br>
            <a:rPr lang="en-US" sz="1100" baseline="0"/>
          </a:br>
          <a:r>
            <a:rPr lang="en-US" sz="1100" baseline="0"/>
            <a:t>C)  Use a graphical method to test the validity of the assumption.</a:t>
          </a:r>
          <a:br>
            <a:rPr lang="en-US" sz="1100" baseline="0"/>
          </a:br>
          <a:r>
            <a:rPr lang="en-US" sz="1100" baseline="0"/>
            <a:t>D)  Construct and interpret a 95% confidence interval estimate of the difference in the mean run time between the two sets of runners  (HInt:  You may need to look in your book for the formula to calculate this.  It is not on the template.)</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12700</xdr:colOff>
      <xdr:row>0</xdr:row>
      <xdr:rowOff>6349</xdr:rowOff>
    </xdr:from>
    <xdr:to>
      <xdr:col>14</xdr:col>
      <xdr:colOff>31750</xdr:colOff>
      <xdr:row>7</xdr:row>
      <xdr:rowOff>19050</xdr:rowOff>
    </xdr:to>
    <xdr:sp macro="" textlink="">
      <xdr:nvSpPr>
        <xdr:cNvPr id="2" name="TextBox 1">
          <a:extLst>
            <a:ext uri="{FF2B5EF4-FFF2-40B4-BE49-F238E27FC236}">
              <a16:creationId xmlns:a16="http://schemas.microsoft.com/office/drawing/2014/main" id="{E7ECA5DF-1E82-4EE9-8D18-6A4D6DD95F11}"/>
            </a:ext>
          </a:extLst>
        </xdr:cNvPr>
        <xdr:cNvSpPr txBox="1"/>
      </xdr:nvSpPr>
      <xdr:spPr>
        <a:xfrm>
          <a:off x="4022725" y="6349"/>
          <a:ext cx="6677025" cy="1536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11.1  Columns C- F contains data on the number of partners in accounting firms in 4 geographical regions:  Capital, Great Lakes, Mid-Atlantic, and New England.</a:t>
          </a:r>
          <a:br>
            <a:rPr lang="en-US" sz="1100" baseline="0"/>
          </a:br>
          <a:r>
            <a:rPr lang="en-US" sz="1100" baseline="0"/>
            <a:t>A)  At the .05 level of significance, is there evidence of a difference among the 4 region accounting firms with respect to the mean number of partners? </a:t>
          </a:r>
          <a:r>
            <a:rPr lang="en-US" sz="1100" b="1" i="1" baseline="0">
              <a:solidFill>
                <a:srgbClr val="FF0000"/>
              </a:solidFill>
            </a:rPr>
            <a:t>**single factor anova**</a:t>
          </a:r>
          <a:br>
            <a:rPr lang="en-US" sz="1100" baseline="0"/>
          </a:br>
          <a:r>
            <a:rPr lang="en-US" sz="1100" baseline="0"/>
            <a:t>B)  If the results in part A indicate that it is appropriate to do so, use the Tukey-Kramer procedure to determine which regions differ in the mean number of partners</a:t>
          </a:r>
          <a:br>
            <a:rPr lang="en-US" sz="1100" baseline="0"/>
          </a:br>
          <a:r>
            <a:rPr lang="en-US"/>
            <a:t>Please use a Q value of 3.74</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152400</xdr:colOff>
      <xdr:row>0</xdr:row>
      <xdr:rowOff>107950</xdr:rowOff>
    </xdr:from>
    <xdr:to>
      <xdr:col>21</xdr:col>
      <xdr:colOff>285750</xdr:colOff>
      <xdr:row>6</xdr:row>
      <xdr:rowOff>47626</xdr:rowOff>
    </xdr:to>
    <xdr:sp macro="" textlink="">
      <xdr:nvSpPr>
        <xdr:cNvPr id="2" name="TextBox 1">
          <a:extLst>
            <a:ext uri="{FF2B5EF4-FFF2-40B4-BE49-F238E27FC236}">
              <a16:creationId xmlns:a16="http://schemas.microsoft.com/office/drawing/2014/main" id="{112E5E88-012C-4D0B-AEAA-61F3807EAD10}"/>
            </a:ext>
          </a:extLst>
        </xdr:cNvPr>
        <xdr:cNvSpPr txBox="1"/>
      </xdr:nvSpPr>
      <xdr:spPr>
        <a:xfrm>
          <a:off x="5953125" y="107950"/>
          <a:ext cx="9277350" cy="1082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11.2 The data to the left contains the U.S.</a:t>
          </a:r>
          <a:r>
            <a:rPr lang="en-US" sz="1100" baseline="0">
              <a:solidFill>
                <a:schemeClr val="dk1"/>
              </a:solidFill>
              <a:effectLst/>
              <a:latin typeface="+mn-lt"/>
              <a:ea typeface="+mn-ea"/>
              <a:cs typeface="+mn-cs"/>
            </a:rPr>
            <a:t> mean </a:t>
          </a:r>
          <a:r>
            <a:rPr lang="en-US" sz="1100">
              <a:solidFill>
                <a:schemeClr val="dk1"/>
              </a:solidFill>
              <a:effectLst/>
              <a:latin typeface="+mn-lt"/>
              <a:ea typeface="+mn-ea"/>
              <a:cs typeface="+mn-cs"/>
            </a:rPr>
            <a:t>sales </a:t>
          </a:r>
          <a:r>
            <a:rPr lang="en-US" sz="1100" baseline="0">
              <a:solidFill>
                <a:schemeClr val="dk1"/>
              </a:solidFill>
              <a:effectLst/>
              <a:latin typeface="+mn-lt"/>
              <a:ea typeface="+mn-ea"/>
              <a:cs typeface="+mn-cs"/>
            </a:rPr>
            <a:t>per unit( $thousands) of 38 quick service brands for </a:t>
          </a:r>
          <a:r>
            <a:rPr lang="en-US" sz="1100">
              <a:solidFill>
                <a:schemeClr val="dk1"/>
              </a:solidFill>
              <a:effectLst/>
              <a:latin typeface="+mn-lt"/>
              <a:ea typeface="+mn-ea"/>
              <a:cs typeface="+mn-cs"/>
            </a:rPr>
            <a:t>four</a:t>
          </a:r>
          <a:r>
            <a:rPr lang="en-US" sz="1100" baseline="0">
              <a:solidFill>
                <a:schemeClr val="dk1"/>
              </a:solidFill>
              <a:effectLst/>
              <a:latin typeface="+mn-lt"/>
              <a:ea typeface="+mn-ea"/>
              <a:cs typeface="+mn-cs"/>
            </a:rPr>
            <a:t> type of products.</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A) At the  0.05 level of significance, is there evidence of a difference in the mean U.S. mean sales per unit ($thousands) among the food product types?</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B) ) At the  0.05 level of significance, is there a difference in the variantion in  U.S. average sales per unit ($thousands) among the food product types?</a:t>
          </a:r>
        </a:p>
        <a:p>
          <a:r>
            <a:rPr lang="en-US" sz="1100" baseline="0">
              <a:solidFill>
                <a:schemeClr val="dk1"/>
              </a:solidFill>
              <a:effectLst/>
              <a:latin typeface="+mn-lt"/>
              <a:ea typeface="+mn-ea"/>
              <a:cs typeface="+mn-cs"/>
            </a:rPr>
            <a:t>C) Do the results in Part B indicate a possible violation of the homogeniety of variance assumption?  Are your results in Part A valid (assuming normality)</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D) IF appropriate, determine which food types that differ in mean sales</a:t>
          </a:r>
          <a:br>
            <a:rPr lang="en-US" sz="1100" baseline="0">
              <a:solidFill>
                <a:schemeClr val="dk1"/>
              </a:solidFill>
              <a:effectLst/>
              <a:latin typeface="+mn-lt"/>
              <a:ea typeface="+mn-ea"/>
              <a:cs typeface="+mn-cs"/>
            </a:rPr>
          </a:br>
          <a:endParaRPr lang="en-US">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130175</xdr:colOff>
      <xdr:row>1</xdr:row>
      <xdr:rowOff>12700</xdr:rowOff>
    </xdr:from>
    <xdr:to>
      <xdr:col>18</xdr:col>
      <xdr:colOff>85725</xdr:colOff>
      <xdr:row>12</xdr:row>
      <xdr:rowOff>171450</xdr:rowOff>
    </xdr:to>
    <xdr:sp macro="" textlink="">
      <xdr:nvSpPr>
        <xdr:cNvPr id="2" name="TextBox 1">
          <a:extLst>
            <a:ext uri="{FF2B5EF4-FFF2-40B4-BE49-F238E27FC236}">
              <a16:creationId xmlns:a16="http://schemas.microsoft.com/office/drawing/2014/main" id="{91D9762B-F53F-4649-A4B6-341FEE57A612}"/>
            </a:ext>
          </a:extLst>
        </xdr:cNvPr>
        <xdr:cNvSpPr txBox="1"/>
      </xdr:nvSpPr>
      <xdr:spPr>
        <a:xfrm>
          <a:off x="8328025" y="196850"/>
          <a:ext cx="6051550" cy="2254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11. 3 You are looking to see the effect on growth</a:t>
          </a:r>
          <a:r>
            <a:rPr lang="en-US" baseline="0"/>
            <a:t> based on </a:t>
          </a:r>
          <a:r>
            <a:rPr lang="en-US"/>
            <a:t>watering frequency  and on  4 different</a:t>
          </a:r>
          <a:r>
            <a:rPr lang="en-US" baseline="0"/>
            <a:t> sun light exposures. You are </a:t>
          </a:r>
          <a:r>
            <a:rPr lang="en-US" sz="1100" b="0" i="0">
              <a:solidFill>
                <a:schemeClr val="dk1"/>
              </a:solidFill>
              <a:effectLst/>
              <a:latin typeface="+mn-lt"/>
              <a:ea typeface="+mn-ea"/>
              <a:cs typeface="+mn-cs"/>
            </a:rPr>
            <a:t>consider the </a:t>
          </a:r>
          <a:r>
            <a:rPr lang="en-US" sz="1100" b="1" i="0">
              <a:solidFill>
                <a:schemeClr val="dk1"/>
              </a:solidFill>
              <a:effectLst/>
              <a:latin typeface="+mn-lt"/>
              <a:ea typeface="+mn-ea"/>
              <a:cs typeface="+mn-cs"/>
            </a:rPr>
            <a:t>Height </a:t>
          </a:r>
          <a:r>
            <a:rPr lang="en-US" sz="1100" b="0" i="0">
              <a:solidFill>
                <a:schemeClr val="dk1"/>
              </a:solidFill>
              <a:effectLst/>
              <a:latin typeface="+mn-lt"/>
              <a:ea typeface="+mn-ea"/>
              <a:cs typeface="+mn-cs"/>
            </a:rPr>
            <a:t>growth in </a:t>
          </a:r>
          <a:r>
            <a:rPr lang="en-US" sz="1100" b="1" i="0">
              <a:solidFill>
                <a:schemeClr val="dk1"/>
              </a:solidFill>
              <a:effectLst/>
              <a:latin typeface="+mn-lt"/>
              <a:ea typeface="+mn-ea"/>
              <a:cs typeface="+mn-cs"/>
            </a:rPr>
            <a:t>inches </a:t>
          </a:r>
          <a:r>
            <a:rPr lang="en-US" sz="1100" b="0" i="0">
              <a:solidFill>
                <a:schemeClr val="dk1"/>
              </a:solidFill>
              <a:effectLst/>
              <a:latin typeface="+mn-lt"/>
              <a:ea typeface="+mn-ea"/>
              <a:cs typeface="+mn-cs"/>
            </a:rPr>
            <a:t>for a sample of </a:t>
          </a:r>
          <a:r>
            <a:rPr lang="en-US" sz="1100" b="1" i="0">
              <a:solidFill>
                <a:schemeClr val="dk1"/>
              </a:solidFill>
              <a:effectLst/>
              <a:latin typeface="+mn-lt"/>
              <a:ea typeface="+mn-ea"/>
              <a:cs typeface="+mn-cs"/>
            </a:rPr>
            <a:t>5 </a:t>
          </a:r>
          <a:r>
            <a:rPr lang="en-US" sz="1100" b="0" i="0">
              <a:solidFill>
                <a:schemeClr val="dk1"/>
              </a:solidFill>
              <a:effectLst/>
              <a:latin typeface="+mn-lt"/>
              <a:ea typeface="+mn-ea"/>
              <a:cs typeface="+mn-cs"/>
            </a:rPr>
            <a:t>plants over some time.</a:t>
          </a:r>
          <a:r>
            <a:rPr lang="en-US" sz="1100" b="0" i="0" baseline="0">
              <a:solidFill>
                <a:schemeClr val="dk1"/>
              </a:solidFill>
              <a:effectLst/>
              <a:latin typeface="+mn-lt"/>
              <a:ea typeface="+mn-ea"/>
              <a:cs typeface="+mn-cs"/>
            </a:rPr>
            <a:t> </a:t>
          </a:r>
          <a:r>
            <a:rPr lang="en-US" u="sng"/>
            <a:t>Note you are replicating this 5</a:t>
          </a:r>
          <a:r>
            <a:rPr lang="en-US" u="sng" baseline="0"/>
            <a:t> </a:t>
          </a:r>
          <a:r>
            <a:rPr lang="en-US" u="sng"/>
            <a:t>times.</a:t>
          </a:r>
          <a:br>
            <a:rPr lang="en-US" u="sng"/>
          </a:br>
          <a:endParaRPr lang="en-US" u="sng"/>
        </a:p>
        <a:p>
          <a:r>
            <a:rPr lang="en-US"/>
            <a:t>At the 0.05 level of significance,</a:t>
          </a:r>
          <a:br>
            <a:rPr lang="en-US"/>
          </a:br>
          <a:r>
            <a:rPr lang="en-US"/>
            <a:t>A. is there an interaction between water frequency and sunlight exposure?  What was the p-value you based your decision on?</a:t>
          </a:r>
        </a:p>
        <a:p>
          <a:pPr marL="0" marR="0" lvl="0" indent="0" defTabSz="914400" eaLnBrk="1" fontAlgn="auto" latinLnBrk="0" hangingPunct="1">
            <a:lnSpc>
              <a:spcPct val="100000"/>
            </a:lnSpc>
            <a:spcBef>
              <a:spcPts val="0"/>
            </a:spcBef>
            <a:spcAft>
              <a:spcPts val="0"/>
            </a:spcAft>
            <a:buClrTx/>
            <a:buSzTx/>
            <a:buFontTx/>
            <a:buNone/>
            <a:tabLst/>
            <a:defRPr/>
          </a:pPr>
          <a:r>
            <a:rPr lang="en-US"/>
            <a:t>B. is there an effect due to</a:t>
          </a:r>
          <a:r>
            <a:rPr lang="en-US" baseline="0"/>
            <a:t> sunlight</a:t>
          </a:r>
          <a:r>
            <a:rPr lang="en-US"/>
            <a:t>? </a:t>
          </a:r>
          <a:r>
            <a:rPr lang="en-US" sz="1100">
              <a:solidFill>
                <a:schemeClr val="dk1"/>
              </a:solidFill>
              <a:effectLst/>
              <a:latin typeface="+mn-lt"/>
              <a:ea typeface="+mn-ea"/>
              <a:cs typeface="+mn-cs"/>
            </a:rPr>
            <a:t>What was the p-value you based your decision on?</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t>C. is there an effect due to water exposure? </a:t>
          </a:r>
          <a:r>
            <a:rPr lang="en-US" sz="1100">
              <a:solidFill>
                <a:schemeClr val="dk1"/>
              </a:solidFill>
              <a:effectLst/>
              <a:latin typeface="+mn-lt"/>
              <a:ea typeface="+mn-ea"/>
              <a:cs typeface="+mn-cs"/>
            </a:rPr>
            <a:t>What was the p-value you based your decision on?</a:t>
          </a:r>
          <a:endParaRPr lang="en-US">
            <a:effectLst/>
          </a:endParaRPr>
        </a:p>
        <a:p>
          <a:r>
            <a:rPr lang="en-US"/>
            <a:t>D. Plot the mean growth for each water frequency</a:t>
          </a:r>
          <a:r>
            <a:rPr lang="en-US" baseline="0"/>
            <a:t> </a:t>
          </a:r>
          <a:r>
            <a:rPr lang="en-US"/>
            <a:t>and sunlight - be sure</a:t>
          </a:r>
          <a:r>
            <a:rPr lang="en-US" baseline="0"/>
            <a:t> to check out the video on 11-24 in the two way anova if you are unsure how to create the chart.</a:t>
          </a:r>
          <a:endParaRPr lang="en-US"/>
        </a:p>
      </xdr:txBody>
    </xdr:sp>
    <xdr:clientData/>
  </xdr:twoCellAnchor>
  <xdr:twoCellAnchor>
    <xdr:from>
      <xdr:col>0</xdr:col>
      <xdr:colOff>1979403</xdr:colOff>
      <xdr:row>16</xdr:row>
      <xdr:rowOff>20270</xdr:rowOff>
    </xdr:from>
    <xdr:to>
      <xdr:col>3</xdr:col>
      <xdr:colOff>1214837</xdr:colOff>
      <xdr:row>30</xdr:row>
      <xdr:rowOff>43874</xdr:rowOff>
    </xdr:to>
    <xdr:graphicFrame macro="">
      <xdr:nvGraphicFramePr>
        <xdr:cNvPr id="3" name="Chart 2">
          <a:extLst>
            <a:ext uri="{FF2B5EF4-FFF2-40B4-BE49-F238E27FC236}">
              <a16:creationId xmlns:a16="http://schemas.microsoft.com/office/drawing/2014/main" id="{13828931-E3D2-E5E4-A591-0FC2E9A18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eccucci/OneDrive%20-%20Quinnipiac%20University/Documents/BAN610/Excel%20Guide%20Files/Excel%20Guide%20Workbooks/Separate-Variance%20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eccucci/OneDrive%20-%20Quinnipiac%20University/Documents/BAN610/Excel%20Guide%20Files/Excel%20Guide%20Workbooks/One-Way%20ANOV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Copy"/>
      <sheetName val="Short"/>
      <sheetName val="Compute"/>
      <sheetName val="COMPUTE_LOWER"/>
      <sheetName val="COMPUTE_UPPER"/>
      <sheetName val="COMPUTE_ALL"/>
      <sheetName val="COMPUTE_ALL_FORMULAS"/>
      <sheetName val="COMPUTE_OLDER"/>
      <sheetName val="COMPUTE_OLDER_FORMULAS"/>
    </sheetNames>
    <sheetDataSet>
      <sheetData sheetId="0">
        <row r="1">
          <cell r="B1" t="str">
            <v>In-Aisle</v>
          </cell>
        </row>
        <row r="2">
          <cell r="B2">
            <v>192</v>
          </cell>
        </row>
        <row r="3">
          <cell r="B3">
            <v>236</v>
          </cell>
        </row>
        <row r="4">
          <cell r="B4">
            <v>164</v>
          </cell>
        </row>
        <row r="5">
          <cell r="B5">
            <v>154</v>
          </cell>
        </row>
        <row r="6">
          <cell r="B6">
            <v>189</v>
          </cell>
        </row>
        <row r="7">
          <cell r="B7">
            <v>220</v>
          </cell>
        </row>
        <row r="8">
          <cell r="B8">
            <v>261</v>
          </cell>
        </row>
        <row r="9">
          <cell r="B9">
            <v>186</v>
          </cell>
        </row>
        <row r="10">
          <cell r="B10">
            <v>219</v>
          </cell>
        </row>
        <row r="11">
          <cell r="B11">
            <v>202</v>
          </cell>
        </row>
      </sheetData>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FData"/>
      <sheetName val="COMPUTE"/>
      <sheetName val="COMPUTE_FORMULAS"/>
      <sheetName val="TK4"/>
      <sheetName val="TK4_FORMULAS"/>
      <sheetName val="TK3"/>
      <sheetName val="TK5"/>
      <sheetName val="TK6"/>
      <sheetName val="TK7"/>
      <sheetName val="COMPUTE_OLDER"/>
      <sheetName val="COMPUTE_OLDER_FORMULAS"/>
      <sheetName val="TK4_OLDER"/>
      <sheetName val="TK4_OLDER_FORMULAS"/>
    </sheetNames>
    <sheetDataSet>
      <sheetData sheetId="0"/>
      <sheetData sheetId="1">
        <row r="14">
          <cell r="D14">
            <v>4.3912500000000132E-2</v>
          </cell>
        </row>
      </sheetData>
      <sheetData sheetId="2">
        <row r="2">
          <cell r="J2" t="str">
            <v>=COUNTA(ASFData!$1:$1)</v>
          </cell>
        </row>
        <row r="5">
          <cell r="A5" t="str">
            <v>=ASFData!A1</v>
          </cell>
          <cell r="B5" t="str">
            <v>=COUNT(ASFData!$A:$A)</v>
          </cell>
          <cell r="D5" t="str">
            <v>=AVERAGE(ASFData!$A:$A)</v>
          </cell>
        </row>
        <row r="6">
          <cell r="A6" t="str">
            <v>=ASFData!B1</v>
          </cell>
          <cell r="B6" t="str">
            <v>=COUNT(ASFData!$B:$B)</v>
          </cell>
          <cell r="D6" t="str">
            <v>=AVERAGE(ASFData!$B:$B)</v>
          </cell>
        </row>
        <row r="7">
          <cell r="A7" t="str">
            <v>=ASFData!C1</v>
          </cell>
          <cell r="B7" t="str">
            <v>=COUNT(ASFData!$C:$C)</v>
          </cell>
          <cell r="D7" t="str">
            <v>=AVERAGE(ASFData!$C:$C)</v>
          </cell>
        </row>
        <row r="8">
          <cell r="A8" t="str">
            <v>=ASFData!D1</v>
          </cell>
          <cell r="B8" t="str">
            <v>=COUNT(ASFData!$D:$D)</v>
          </cell>
          <cell r="D8" t="str">
            <v>=AVERAGE(ASFData!$D:$D)</v>
          </cell>
        </row>
        <row r="14">
          <cell r="C14" t="str">
            <v>=J3-J2</v>
          </cell>
        </row>
        <row r="17">
          <cell r="G17">
            <v>0.05</v>
          </cell>
        </row>
      </sheetData>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62DB790-3ADB-264E-A01E-3716B8183C5C}">
  <we:reference id="wa200005502" version="1.0.0.11" store="en-GB" storeType="OMEX"/>
  <we:alternateReferences>
    <we:reference id="wa200005502" version="1.0.0.11" store="" storeType="OMEX"/>
  </we:alternateReferences>
  <we:properties>
    <we:property name="docId" value="&quot;yGHRzkS33CZsv0eP66k5i&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6AE0B-C01E-454D-B4A5-C6B2E0753823}">
  <dimension ref="A1"/>
  <sheetViews>
    <sheetView showGridLines="0" workbookViewId="0">
      <selection activeCell="L23" sqref="L23"/>
    </sheetView>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C49"/>
  <sheetViews>
    <sheetView showGridLines="0" topLeftCell="A28" workbookViewId="0">
      <selection activeCell="B49" sqref="B49"/>
    </sheetView>
  </sheetViews>
  <sheetFormatPr baseColWidth="10" defaultColWidth="8.83203125" defaultRowHeight="15" x14ac:dyDescent="0.2"/>
  <cols>
    <col min="1" max="1" width="22.33203125" customWidth="1"/>
    <col min="2" max="2" width="66.1640625" style="180" customWidth="1"/>
    <col min="3" max="3" width="8" customWidth="1"/>
  </cols>
  <sheetData>
    <row r="1" spans="1:3" ht="16" thickBot="1" x14ac:dyDescent="0.25">
      <c r="A1" s="1">
        <f>'10.1'!A1</f>
        <v>10.1</v>
      </c>
      <c r="B1" s="193"/>
      <c r="C1" s="192" t="s">
        <v>191</v>
      </c>
    </row>
    <row r="2" spans="1:3" x14ac:dyDescent="0.2">
      <c r="A2" s="3" t="str">
        <f>'10.1'!A2</f>
        <v xml:space="preserve">Part A. </v>
      </c>
      <c r="B2" s="172"/>
    </row>
    <row r="3" spans="1:3" x14ac:dyDescent="0.2">
      <c r="A3" s="11" t="str">
        <f>'10.1'!A3</f>
        <v>Null Hypothesis</v>
      </c>
      <c r="B3" s="173" t="str">
        <f>'10.1'!$B3</f>
        <v>u new battery &lt;= u old battery</v>
      </c>
      <c r="C3">
        <v>2</v>
      </c>
    </row>
    <row r="4" spans="1:3" x14ac:dyDescent="0.2">
      <c r="A4" s="11" t="str">
        <f>'10.1'!A4</f>
        <v>Alternative Hypothesis</v>
      </c>
      <c r="B4" s="174" t="str">
        <f>'10.1'!$B4</f>
        <v>u new battery &gt;= u old battery</v>
      </c>
    </row>
    <row r="5" spans="1:3" x14ac:dyDescent="0.2">
      <c r="A5" s="3" t="str">
        <f>'10.1'!A5</f>
        <v xml:space="preserve">Part B. </v>
      </c>
      <c r="B5" s="175"/>
    </row>
    <row r="6" spans="1:3" ht="41.25" customHeight="1" x14ac:dyDescent="0.2">
      <c r="A6" s="10" t="str">
        <f>'10.1'!A6</f>
        <v>Type I Error</v>
      </c>
      <c r="B6" s="176" t="str">
        <f>'10.1'!$B6</f>
        <v>Type I error would occur if we reject the null hypothesis when it is actually true. This means concluding that the new battery operates longer than the old battery when it does not.</v>
      </c>
      <c r="C6" s="171">
        <v>2</v>
      </c>
    </row>
    <row r="7" spans="1:3" x14ac:dyDescent="0.2">
      <c r="A7" s="3" t="str">
        <f>'10.1'!A7</f>
        <v>Part C.</v>
      </c>
      <c r="B7" s="175"/>
    </row>
    <row r="8" spans="1:3" ht="45" customHeight="1" x14ac:dyDescent="0.2">
      <c r="A8" s="10" t="str">
        <f>'10.1'!A8</f>
        <v>Type II Error</v>
      </c>
      <c r="B8" s="176" t="str">
        <f>'10.1'!$B8</f>
        <v>Type II error would occur if we fail to reject the null hypothesis when it is actually false. This means concluding that the new battery does not operate longer than the old battery when it does.</v>
      </c>
      <c r="C8" s="171">
        <v>2</v>
      </c>
    </row>
    <row r="9" spans="1:3" x14ac:dyDescent="0.2">
      <c r="A9" s="8" t="str">
        <f>'10.1'!A9</f>
        <v>Parts D &amp; E</v>
      </c>
      <c r="B9" s="172"/>
    </row>
    <row r="10" spans="1:3" x14ac:dyDescent="0.2">
      <c r="A10" s="11" t="str">
        <f>'10.1'!A10</f>
        <v>type of test</v>
      </c>
      <c r="B10" s="33" t="str">
        <f>'10.1'!$B10</f>
        <v>Pooled-Variance t test</v>
      </c>
      <c r="C10">
        <v>2</v>
      </c>
    </row>
    <row r="11" spans="1:3" x14ac:dyDescent="0.2">
      <c r="A11" s="11" t="str">
        <f>'10.1'!A11</f>
        <v>Upper or Lower Tailed Test</v>
      </c>
      <c r="B11" s="33" t="str">
        <f>'10.1'!$B11</f>
        <v>Upper Tailed</v>
      </c>
      <c r="C11">
        <v>2</v>
      </c>
    </row>
    <row r="12" spans="1:3" x14ac:dyDescent="0.2">
      <c r="A12" s="11" t="str">
        <f>'10.1'!A12</f>
        <v>test Statistic Value</v>
      </c>
      <c r="B12" s="33">
        <f>'10.1'!$B12</f>
        <v>-3.0104780855836193</v>
      </c>
      <c r="C12">
        <v>1</v>
      </c>
    </row>
    <row r="13" spans="1:3" x14ac:dyDescent="0.2">
      <c r="A13" s="11" t="str">
        <f>'10.1'!A13</f>
        <v>p-Value</v>
      </c>
      <c r="B13" s="33">
        <f>'10.1'!$B13</f>
        <v>0.99850000000000005</v>
      </c>
      <c r="C13">
        <v>2</v>
      </c>
    </row>
    <row r="14" spans="1:3" ht="15.75" customHeight="1" x14ac:dyDescent="0.2">
      <c r="A14" s="11" t="str">
        <f>'10.1'!A14</f>
        <v>Decision</v>
      </c>
      <c r="B14" s="33" t="str">
        <f>'10.1'!$B14</f>
        <v>Do Not Reject the Null Hypothesis</v>
      </c>
      <c r="C14">
        <v>1</v>
      </c>
    </row>
    <row r="15" spans="1:3" ht="36.75" customHeight="1" x14ac:dyDescent="0.2">
      <c r="A15" s="191" t="str">
        <f>'10.1'!A15</f>
        <v>State your decision Relative to the Problem</v>
      </c>
      <c r="B15" s="33" t="str">
        <f>'10.1'!$B15</f>
        <v>There is not enough evidence to conclude that the new battery operates longer than the old battery.</v>
      </c>
      <c r="C15" s="171">
        <v>2</v>
      </c>
    </row>
    <row r="16" spans="1:3" ht="16.5" customHeight="1" thickBot="1" x14ac:dyDescent="0.25">
      <c r="A16" s="230"/>
      <c r="B16" s="229"/>
    </row>
    <row r="17" spans="1:3" x14ac:dyDescent="0.2">
      <c r="A17" s="231" t="str">
        <f>'10.2'!A1</f>
        <v>10.2 Part A F Test</v>
      </c>
      <c r="B17" s="193"/>
    </row>
    <row r="18" spans="1:3" x14ac:dyDescent="0.2">
      <c r="A18" s="220" t="str">
        <f>'10.2'!A2</f>
        <v>p-value</v>
      </c>
      <c r="B18" s="227">
        <f>'10.2'!B2</f>
        <v>2.0617461617674065E-2</v>
      </c>
      <c r="C18">
        <v>2</v>
      </c>
    </row>
    <row r="19" spans="1:3" x14ac:dyDescent="0.2">
      <c r="A19" s="220" t="str">
        <f>'10.2'!A3</f>
        <v>Are the variances equal?</v>
      </c>
      <c r="B19" s="227" t="str">
        <f>'10.2'!B3</f>
        <v>No</v>
      </c>
      <c r="C19">
        <v>2</v>
      </c>
    </row>
    <row r="20" spans="1:3" x14ac:dyDescent="0.2">
      <c r="A20" s="231" t="str">
        <f>'10.2'!A4</f>
        <v>Part B</v>
      </c>
      <c r="B20" s="172"/>
    </row>
    <row r="21" spans="1:3" x14ac:dyDescent="0.2">
      <c r="A21" s="220" t="str">
        <f>'10.2'!A5</f>
        <v xml:space="preserve">                                          type of test</v>
      </c>
      <c r="B21" s="179" t="str">
        <f>'10.2'!B5</f>
        <v>Pooled-Variance t test</v>
      </c>
      <c r="C21">
        <v>2</v>
      </c>
    </row>
    <row r="22" spans="1:3" x14ac:dyDescent="0.2">
      <c r="A22" s="220" t="str">
        <f>'10.2'!A6</f>
        <v>Part C</v>
      </c>
      <c r="B22" s="179">
        <f>'10.2'!B6</f>
        <v>0</v>
      </c>
    </row>
    <row r="23" spans="1:3" x14ac:dyDescent="0.2">
      <c r="A23" s="220" t="str">
        <f>'10.2'!A7</f>
        <v>Ho</v>
      </c>
      <c r="B23" s="179" t="str">
        <f>'10.2'!B7</f>
        <v>U = U</v>
      </c>
      <c r="C23">
        <v>2</v>
      </c>
    </row>
    <row r="24" spans="1:3" x14ac:dyDescent="0.2">
      <c r="A24" s="220" t="str">
        <f>'10.2'!A8</f>
        <v>Ha</v>
      </c>
      <c r="B24" s="226"/>
      <c r="C24">
        <v>1</v>
      </c>
    </row>
    <row r="25" spans="1:3" ht="32.25" customHeight="1" x14ac:dyDescent="0.2">
      <c r="A25" s="220" t="str">
        <f>'10.2'!A9</f>
        <v>test Statistic Value</v>
      </c>
      <c r="B25" s="179">
        <f>'10.2'!B9</f>
        <v>2.2509999999999999</v>
      </c>
      <c r="C25">
        <v>1</v>
      </c>
    </row>
    <row r="26" spans="1:3" ht="13.5" customHeight="1" x14ac:dyDescent="0.2">
      <c r="A26" s="220" t="str">
        <f>'10.2'!A10</f>
        <v>p -value</v>
      </c>
      <c r="B26" s="179">
        <f>'10.2'!B10</f>
        <v>3.7100000000000001E-2</v>
      </c>
      <c r="C26">
        <v>1</v>
      </c>
    </row>
    <row r="27" spans="1:3" x14ac:dyDescent="0.2">
      <c r="A27" s="220" t="str">
        <f>'10.2'!A11</f>
        <v>Decision</v>
      </c>
      <c r="B27" s="179" t="str">
        <f>'10.2'!B11</f>
        <v>Reject The Null Hypothesis</v>
      </c>
      <c r="C27">
        <v>1</v>
      </c>
    </row>
    <row r="28" spans="1:3" x14ac:dyDescent="0.2">
      <c r="A28" s="220" t="str">
        <f>'10.2'!A12</f>
        <v>State your decision Relative to the Problem</v>
      </c>
      <c r="B28" s="179" t="str">
        <f>'10.2'!B12</f>
        <v>There is a significant difference between the variances of the two rivers. We can conclude that the variability in measurements between River A and River B is are not the same.</v>
      </c>
      <c r="C28">
        <v>2</v>
      </c>
    </row>
    <row r="29" spans="1:3" x14ac:dyDescent="0.2">
      <c r="A29" s="194"/>
      <c r="B29" s="194"/>
    </row>
    <row r="30" spans="1:3" x14ac:dyDescent="0.2">
      <c r="A30" s="177">
        <v>10.3</v>
      </c>
      <c r="B30" s="172"/>
    </row>
    <row r="31" spans="1:3" x14ac:dyDescent="0.2">
      <c r="A31" s="228" t="str">
        <f>'10.3'!A1</f>
        <v>Null Hypothesis</v>
      </c>
      <c r="B31" s="232" t="str">
        <f>'10.3'!B1</f>
        <v>U1 - U2 = 0</v>
      </c>
      <c r="C31">
        <v>2</v>
      </c>
    </row>
    <row r="32" spans="1:3" x14ac:dyDescent="0.2">
      <c r="A32" s="11" t="str">
        <f>'10.3'!A2</f>
        <v>Alternative Hypothesis</v>
      </c>
      <c r="B32" s="232" t="str">
        <f>'10.3'!B2</f>
        <v>U 1- U2 &lt;&gt; 0</v>
      </c>
    </row>
    <row r="33" spans="1:3" x14ac:dyDescent="0.2">
      <c r="A33" s="11"/>
      <c r="B33" s="235"/>
    </row>
    <row r="34" spans="1:3" x14ac:dyDescent="0.2">
      <c r="A34" s="11" t="str">
        <f>'10.3'!A4</f>
        <v>type of test</v>
      </c>
      <c r="B34" s="232" t="str">
        <f>'10.3'!B4</f>
        <v>Paired Difference Test</v>
      </c>
      <c r="C34">
        <v>2</v>
      </c>
    </row>
    <row r="35" spans="1:3" ht="18.75" customHeight="1" x14ac:dyDescent="0.2">
      <c r="A35" s="11" t="str">
        <f>'10.3'!A5</f>
        <v>Tail?</v>
      </c>
      <c r="B35" s="232" t="str">
        <f>'10.3'!B5</f>
        <v>Two Tailed</v>
      </c>
      <c r="C35">
        <v>2</v>
      </c>
    </row>
    <row r="36" spans="1:3" x14ac:dyDescent="0.2">
      <c r="A36" s="11" t="str">
        <f>'10.3'!A6</f>
        <v>test Statistic Value</v>
      </c>
      <c r="B36" s="232">
        <f>'10.3'!B6</f>
        <v>0.86229549776092407</v>
      </c>
      <c r="C36">
        <v>2</v>
      </c>
    </row>
    <row r="37" spans="1:3" x14ac:dyDescent="0.2">
      <c r="A37" s="11" t="str">
        <f>'10.3'!A7</f>
        <v>p -value</v>
      </c>
      <c r="B37" s="232">
        <f>'10.3'!B7</f>
        <v>0.39927810934077412</v>
      </c>
      <c r="C37">
        <v>1</v>
      </c>
    </row>
    <row r="38" spans="1:3" x14ac:dyDescent="0.2">
      <c r="A38" s="11" t="str">
        <f>'10.3'!A8</f>
        <v>Decision</v>
      </c>
      <c r="B38" s="232" t="str">
        <f>'10.3'!B8</f>
        <v>Do Not Reject the Null Hypothesis</v>
      </c>
      <c r="C38">
        <v>1</v>
      </c>
    </row>
    <row r="39" spans="1:3" x14ac:dyDescent="0.2">
      <c r="A39" s="11" t="str">
        <f>'10.3'!A9</f>
        <v>State your decision Relative to the Problem</v>
      </c>
      <c r="B39" s="232" t="str">
        <f>'10.3'!B9</f>
        <v>The mean run times for the two sets of runners are not significantly different. We do not have sufficient evidence to conclude that the new carbohydrate-protein formula leads to a different mean run time compared to the carbohydrate-only formula.</v>
      </c>
      <c r="C39">
        <v>2</v>
      </c>
    </row>
    <row r="40" spans="1:3" x14ac:dyDescent="0.2">
      <c r="A40" s="8" t="str">
        <f>'10.3'!A10</f>
        <v>Part B.</v>
      </c>
      <c r="B40" s="232">
        <f>'10.3'!B10</f>
        <v>0</v>
      </c>
    </row>
    <row r="41" spans="1:3" x14ac:dyDescent="0.2">
      <c r="A41" s="11" t="str">
        <f>'10.3'!A11</f>
        <v>Assumption:</v>
      </c>
      <c r="B41" s="232" t="str">
        <f>'10.3'!B11</f>
        <v>The differences in the distances run are normally distributed.</v>
      </c>
      <c r="C41">
        <v>2</v>
      </c>
    </row>
    <row r="42" spans="1:3" x14ac:dyDescent="0.2">
      <c r="A42" s="234" t="str">
        <f>'10.3'!A12</f>
        <v>Part C.</v>
      </c>
      <c r="B42" s="232">
        <f>'10.3'!B12</f>
        <v>0</v>
      </c>
    </row>
    <row r="43" spans="1:3" x14ac:dyDescent="0.2">
      <c r="A43" s="234"/>
      <c r="B43" s="232" t="str">
        <f>'10.3'!B13</f>
        <v>Show graph on right</v>
      </c>
      <c r="C43">
        <v>2</v>
      </c>
    </row>
    <row r="44" spans="1:3" ht="17.25" customHeight="1" x14ac:dyDescent="0.2">
      <c r="A44" s="234" t="str">
        <f>'10.3'!A14</f>
        <v>Part D.</v>
      </c>
      <c r="B44" s="232">
        <f>'10.3'!B14</f>
        <v>0</v>
      </c>
    </row>
    <row r="45" spans="1:3" x14ac:dyDescent="0.2">
      <c r="A45" s="10" t="str">
        <f>'10.3'!A15</f>
        <v>CI. Lower Bound</v>
      </c>
      <c r="B45" s="232">
        <f>'10.3'!B15</f>
        <v>-2.0930240544083096</v>
      </c>
      <c r="C45">
        <v>1</v>
      </c>
    </row>
    <row r="46" spans="1:3" x14ac:dyDescent="0.2">
      <c r="A46" s="10" t="str">
        <f>'10.3'!A16</f>
        <v>CI Upper Bound</v>
      </c>
      <c r="B46" s="232">
        <f>'10.3'!B16</f>
        <v>2.0930240544083096</v>
      </c>
      <c r="C46">
        <v>1</v>
      </c>
    </row>
    <row r="47" spans="1:3" x14ac:dyDescent="0.2">
      <c r="A47" s="10" t="str">
        <f>'10.3'!A17</f>
        <v>Interpretation of CI</v>
      </c>
      <c r="B47" s="232">
        <f>'10.3'!B17</f>
        <v>0</v>
      </c>
      <c r="C47">
        <v>2</v>
      </c>
    </row>
    <row r="48" spans="1:3" x14ac:dyDescent="0.2">
      <c r="A48" s="234"/>
      <c r="B48"/>
    </row>
    <row r="49" spans="1:3" x14ac:dyDescent="0.2">
      <c r="A49" s="6"/>
      <c r="C49">
        <f>SUM(C3:C48)</f>
        <v>50</v>
      </c>
    </row>
  </sheetData>
  <pageMargins left="0.7" right="0.7" top="0.75" bottom="0.75" header="0.3" footer="0.3"/>
  <pageSetup orientation="portrait"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C50"/>
  <sheetViews>
    <sheetView showGridLines="0" topLeftCell="A26" workbookViewId="0">
      <selection activeCell="B48" sqref="B48"/>
    </sheetView>
  </sheetViews>
  <sheetFormatPr baseColWidth="10" defaultColWidth="8.83203125" defaultRowHeight="15" x14ac:dyDescent="0.2"/>
  <cols>
    <col min="1" max="1" width="36.1640625" customWidth="1"/>
    <col min="2" max="2" width="57.5" style="180" customWidth="1"/>
    <col min="3" max="3" width="8.6640625" style="17"/>
  </cols>
  <sheetData>
    <row r="1" spans="1:3" ht="25" thickBot="1" x14ac:dyDescent="0.35">
      <c r="A1" s="263" t="s">
        <v>24</v>
      </c>
      <c r="B1" s="263"/>
      <c r="C1" s="17" t="s">
        <v>202</v>
      </c>
    </row>
    <row r="2" spans="1:3" x14ac:dyDescent="0.2">
      <c r="A2" s="1" t="str">
        <f>'11.1'!A1</f>
        <v>11.1A</v>
      </c>
      <c r="B2" s="193"/>
    </row>
    <row r="3" spans="1:3" x14ac:dyDescent="0.2">
      <c r="A3" s="11" t="str">
        <f>'11.1'!A2</f>
        <v>Null Hypothesis</v>
      </c>
      <c r="B3" s="236" t="str">
        <f>'11.1'!B2</f>
        <v>U1=U2=U3=U4</v>
      </c>
      <c r="C3" s="17">
        <v>2</v>
      </c>
    </row>
    <row r="4" spans="1:3" x14ac:dyDescent="0.2">
      <c r="A4" s="11" t="str">
        <f>'11.1'!A3</f>
        <v>Alternative Hypothesis</v>
      </c>
      <c r="B4" s="236" t="str">
        <f>'11.1'!B3</f>
        <v>Not all means are equal</v>
      </c>
    </row>
    <row r="5" spans="1:3" x14ac:dyDescent="0.2">
      <c r="A5" s="8"/>
      <c r="B5" s="195"/>
    </row>
    <row r="6" spans="1:3" x14ac:dyDescent="0.2">
      <c r="A6" s="11" t="str">
        <f>'11.1'!A5</f>
        <v>F Statistic Value</v>
      </c>
      <c r="B6" s="167">
        <f>'11.1'!B5</f>
        <v>5.0999999999999996</v>
      </c>
      <c r="C6" s="17">
        <v>2</v>
      </c>
    </row>
    <row r="7" spans="1:3" x14ac:dyDescent="0.2">
      <c r="A7" s="11" t="str">
        <f>'11.1'!A6</f>
        <v>pvalue</v>
      </c>
      <c r="B7" s="167">
        <f>'11.1'!B6</f>
        <v>2.8300000000000001E-3</v>
      </c>
      <c r="C7" s="17">
        <v>2</v>
      </c>
    </row>
    <row r="8" spans="1:3" x14ac:dyDescent="0.2">
      <c r="A8" s="11" t="str">
        <f>'11.1'!A7</f>
        <v>Decision</v>
      </c>
      <c r="B8" s="196" t="str">
        <f>'11.1'!B7</f>
        <v>Reject The Null Hypothesis</v>
      </c>
      <c r="C8" s="17">
        <v>2</v>
      </c>
    </row>
    <row r="9" spans="1:3" ht="29.5" customHeight="1" x14ac:dyDescent="0.2">
      <c r="A9" s="21" t="str">
        <f>'11.1'!A8</f>
        <v>State your decision Relative to the Problem</v>
      </c>
      <c r="B9" s="197" t="str">
        <f>'11.1'!B8</f>
        <v>Not all the means are equal</v>
      </c>
      <c r="C9" s="17">
        <v>2</v>
      </c>
    </row>
    <row r="10" spans="1:3" x14ac:dyDescent="0.2">
      <c r="A10" s="234" t="str">
        <f>'11.1'!A9</f>
        <v>Part B.</v>
      </c>
      <c r="B10" s="172"/>
    </row>
    <row r="11" spans="1:3" ht="17.25" customHeight="1" x14ac:dyDescent="0.2">
      <c r="A11" s="8" t="str">
        <f>'11.1'!A11</f>
        <v>Capital Area and Great Lakes</v>
      </c>
      <c r="B11" s="236">
        <f>'11.1'!B11</f>
        <v>0</v>
      </c>
    </row>
    <row r="12" spans="1:3" ht="14.5" customHeight="1" x14ac:dyDescent="0.2">
      <c r="A12" s="8" t="str">
        <f>'11.1'!A12</f>
        <v>Capital Area and Mid-Atlantic</v>
      </c>
      <c r="B12" s="33" t="str">
        <f>'11.1'!B12</f>
        <v>x</v>
      </c>
      <c r="C12" s="17">
        <v>4</v>
      </c>
    </row>
    <row r="13" spans="1:3" x14ac:dyDescent="0.2">
      <c r="A13" s="8" t="str">
        <f>'11.1'!A13</f>
        <v>Capital Area and New England</v>
      </c>
      <c r="B13" s="33">
        <f>'11.1'!B13</f>
        <v>0</v>
      </c>
    </row>
    <row r="14" spans="1:3" x14ac:dyDescent="0.2">
      <c r="A14" s="8" t="str">
        <f>'11.1'!A14</f>
        <v>Great Lakes and Mid-Atlantic</v>
      </c>
      <c r="B14" s="33">
        <f>'11.1'!B14</f>
        <v>0</v>
      </c>
    </row>
    <row r="15" spans="1:3" x14ac:dyDescent="0.2">
      <c r="A15" s="8" t="str">
        <f>'11.1'!A15</f>
        <v>Great Lakes and New England</v>
      </c>
      <c r="B15" s="33" t="str">
        <f>'11.1'!B15</f>
        <v>x</v>
      </c>
    </row>
    <row r="16" spans="1:3" x14ac:dyDescent="0.2">
      <c r="A16" s="8" t="str">
        <f>'11.1'!A16</f>
        <v>Mid-Atlantic and New England</v>
      </c>
      <c r="B16" s="33" t="str">
        <f>'11.1'!B16</f>
        <v>x</v>
      </c>
    </row>
    <row r="17" spans="1:3" ht="16" thickBot="1" x14ac:dyDescent="0.25">
      <c r="A17" s="237"/>
      <c r="B17" s="238"/>
    </row>
    <row r="18" spans="1:3" ht="18" customHeight="1" x14ac:dyDescent="0.2">
      <c r="A18" s="3" t="str">
        <f>'11.2'!A1</f>
        <v>11.2A</v>
      </c>
    </row>
    <row r="19" spans="1:3" x14ac:dyDescent="0.2">
      <c r="A19" s="11" t="str">
        <f>'11.2'!A2</f>
        <v>Null Hypothesis</v>
      </c>
      <c r="B19" s="33" t="str">
        <f>'11.2'!B2</f>
        <v>U1=U2=U3=U4</v>
      </c>
      <c r="C19" s="17">
        <v>2</v>
      </c>
    </row>
    <row r="20" spans="1:3" x14ac:dyDescent="0.2">
      <c r="A20" s="11" t="str">
        <f>'11.2'!A3</f>
        <v>Decision</v>
      </c>
      <c r="B20" s="219" t="str">
        <f>'11.2'!B3</f>
        <v>Reject the Null</v>
      </c>
      <c r="C20"/>
    </row>
    <row r="21" spans="1:3" x14ac:dyDescent="0.2">
      <c r="A21" s="11"/>
      <c r="B21" s="182"/>
    </row>
    <row r="22" spans="1:3" x14ac:dyDescent="0.2">
      <c r="A22" s="11" t="str">
        <f>'11.2'!A5</f>
        <v xml:space="preserve">Part B. </v>
      </c>
      <c r="B22" s="33">
        <f>'11.2'!B5</f>
        <v>0</v>
      </c>
      <c r="C22" s="17">
        <v>2</v>
      </c>
    </row>
    <row r="23" spans="1:3" x14ac:dyDescent="0.2">
      <c r="A23" s="11">
        <f>'11.2'!A6</f>
        <v>0</v>
      </c>
      <c r="B23" s="33">
        <f>'11.2'!B6</f>
        <v>0</v>
      </c>
      <c r="C23" s="17">
        <v>2</v>
      </c>
    </row>
    <row r="24" spans="1:3" x14ac:dyDescent="0.2">
      <c r="A24" s="11" t="str">
        <f>'11.2'!A7</f>
        <v>Conclusion relative to the problem</v>
      </c>
      <c r="B24" s="33" t="str">
        <f>'11.2'!B7</f>
        <v>There is no significant evidence to suggest a difference in the mean sales among the food product types.</v>
      </c>
      <c r="C24" s="17">
        <v>2</v>
      </c>
    </row>
    <row r="25" spans="1:3" x14ac:dyDescent="0.2">
      <c r="A25" s="8" t="str">
        <f>'11.2'!A8</f>
        <v>Alternative Hypothesis</v>
      </c>
      <c r="B25" s="182"/>
      <c r="C25"/>
    </row>
    <row r="26" spans="1:3" x14ac:dyDescent="0.2">
      <c r="A26" s="11" t="str">
        <f>'11.2'!A9</f>
        <v>Null Hypothesis</v>
      </c>
      <c r="B26" s="33" t="str">
        <f>'11.2'!B9</f>
        <v>Var1=Var2=Var3=Var4</v>
      </c>
      <c r="C26" s="17">
        <v>2</v>
      </c>
    </row>
    <row r="27" spans="1:3" x14ac:dyDescent="0.2">
      <c r="A27" s="11" t="str">
        <f>'11.2'!A10</f>
        <v>Alternative Hypothesis</v>
      </c>
      <c r="B27" s="33" t="str">
        <f>'11.2'!B10</f>
        <v>All the var are not equal</v>
      </c>
    </row>
    <row r="28" spans="1:3" x14ac:dyDescent="0.2">
      <c r="A28" s="11"/>
      <c r="B28" s="182"/>
    </row>
    <row r="29" spans="1:3" x14ac:dyDescent="0.2">
      <c r="A29" s="11" t="str">
        <f>'11.2'!A12</f>
        <v>F Statistic value</v>
      </c>
      <c r="B29" s="33">
        <f>'11.2'!B12</f>
        <v>0.23155296933079286</v>
      </c>
      <c r="C29" s="17">
        <v>2</v>
      </c>
    </row>
    <row r="30" spans="1:3" x14ac:dyDescent="0.2">
      <c r="A30" s="11" t="str">
        <f>'11.2'!A13</f>
        <v>Decision</v>
      </c>
      <c r="B30" s="33" t="str">
        <f>'11.2'!B13</f>
        <v>Fail to reject the null</v>
      </c>
      <c r="C30" s="17">
        <v>2</v>
      </c>
    </row>
    <row r="31" spans="1:3" x14ac:dyDescent="0.2">
      <c r="A31" s="11" t="str">
        <f>'11.2'!A14</f>
        <v>Conclusion relative to the problem</v>
      </c>
      <c r="B31" s="33" t="str">
        <f>'11.2'!B14</f>
        <v>Ther is no significant evidence to suggest a difference in the variation of sales among the food product types.</v>
      </c>
      <c r="C31" s="17">
        <v>2</v>
      </c>
    </row>
    <row r="32" spans="1:3" x14ac:dyDescent="0.2">
      <c r="A32" s="8" t="str">
        <f>'11.2'!A15</f>
        <v>Part C.</v>
      </c>
      <c r="B32" s="182"/>
    </row>
    <row r="33" spans="1:3" x14ac:dyDescent="0.2">
      <c r="A33" s="264" t="str">
        <f>'11.2'!A16</f>
        <v>Select the most appropriate answers:</v>
      </c>
      <c r="B33" s="33" t="str">
        <f>'11.2'!B16</f>
        <v>No violation</v>
      </c>
      <c r="C33" s="17">
        <v>2</v>
      </c>
    </row>
    <row r="34" spans="1:3" x14ac:dyDescent="0.2">
      <c r="A34" s="264"/>
      <c r="B34" s="33" t="str">
        <f>'11.2'!B17</f>
        <v>valid</v>
      </c>
      <c r="C34" s="17">
        <v>2</v>
      </c>
    </row>
    <row r="35" spans="1:3" ht="15" customHeight="1" x14ac:dyDescent="0.2">
      <c r="A35" s="8" t="str">
        <f>'11.2'!A18</f>
        <v>Part D</v>
      </c>
      <c r="B35" s="182"/>
    </row>
    <row r="36" spans="1:3" ht="20.25" customHeight="1" x14ac:dyDescent="0.2">
      <c r="A36" s="11" t="str">
        <f>'11.2'!A19</f>
        <v>If Appropriate, Highlight the food type that differ in mean sales</v>
      </c>
      <c r="B36" s="33" t="str">
        <f>'11.2'!B19</f>
        <v>Burger</v>
      </c>
      <c r="C36" s="17">
        <v>2</v>
      </c>
    </row>
    <row r="37" spans="1:3" ht="20.25" customHeight="1" x14ac:dyDescent="0.2">
      <c r="A37" s="11"/>
      <c r="B37" s="33" t="str">
        <f>'11.2'!B20</f>
        <v>Chicken</v>
      </c>
    </row>
    <row r="38" spans="1:3" ht="20.25" customHeight="1" x14ac:dyDescent="0.2">
      <c r="A38" s="11"/>
      <c r="B38" s="33" t="str">
        <f>'11.2'!B21</f>
        <v>Sandwich</v>
      </c>
    </row>
    <row r="39" spans="1:3" ht="20.25" customHeight="1" x14ac:dyDescent="0.2">
      <c r="A39" s="11"/>
      <c r="B39" s="33" t="str">
        <f>'11.2'!B22</f>
        <v>Snack</v>
      </c>
    </row>
    <row r="40" spans="1:3" ht="13.5" customHeight="1" thickBot="1" x14ac:dyDescent="0.25">
      <c r="A40" s="14"/>
      <c r="B40" s="194"/>
    </row>
    <row r="41" spans="1:3" ht="13.5" customHeight="1" x14ac:dyDescent="0.2">
      <c r="A41" s="1">
        <f>'11.3'!A1</f>
        <v>11.3</v>
      </c>
      <c r="B41" s="193"/>
    </row>
    <row r="42" spans="1:3" x14ac:dyDescent="0.2">
      <c r="A42" s="3" t="str">
        <f>'11.3'!A2</f>
        <v>Parts A, B,  &amp; C</v>
      </c>
      <c r="B42" s="172"/>
    </row>
    <row r="43" spans="1:3" ht="16" x14ac:dyDescent="0.2">
      <c r="A43" s="20" t="str">
        <f>'11.3'!A3</f>
        <v>Sunlight &amp; Water Interaction?</v>
      </c>
      <c r="B43" s="33" t="str">
        <f>'11.3'!B3</f>
        <v>No</v>
      </c>
      <c r="C43" s="17">
        <v>2</v>
      </c>
    </row>
    <row r="44" spans="1:3" x14ac:dyDescent="0.2">
      <c r="A44" s="11" t="str">
        <f>'11.3'!A4</f>
        <v>P-value?</v>
      </c>
      <c r="B44" s="33">
        <f>'11.3'!B4</f>
        <v>0.23394201202637407</v>
      </c>
      <c r="C44" s="17">
        <v>2</v>
      </c>
    </row>
    <row r="45" spans="1:3" ht="14.25" customHeight="1" x14ac:dyDescent="0.2">
      <c r="A45" s="11" t="str">
        <f>'11.3'!A5</f>
        <v>Sunlight?</v>
      </c>
      <c r="B45" s="33" t="str">
        <f>'11.3'!B5</f>
        <v>Yes</v>
      </c>
      <c r="C45" s="17">
        <v>2</v>
      </c>
    </row>
    <row r="46" spans="1:3" x14ac:dyDescent="0.2">
      <c r="A46" s="233" t="str">
        <f>'11.3'!A6</f>
        <v>P-value?</v>
      </c>
      <c r="B46" s="236">
        <f>'11.3'!B6</f>
        <v>2.9011195838408388</v>
      </c>
      <c r="C46" s="17">
        <v>2</v>
      </c>
    </row>
    <row r="47" spans="1:3" x14ac:dyDescent="0.2">
      <c r="A47" s="11" t="str">
        <f>'11.3'!A7</f>
        <v>Water Frequency?</v>
      </c>
      <c r="B47" s="236" t="str">
        <f>'11.3'!B7</f>
        <v>No</v>
      </c>
      <c r="C47" s="17">
        <v>2</v>
      </c>
    </row>
    <row r="48" spans="1:3" x14ac:dyDescent="0.2">
      <c r="A48" s="233" t="str">
        <f>'11.3'!A8</f>
        <v>P-value?</v>
      </c>
      <c r="B48" s="236">
        <f>'11.3'!B8</f>
        <v>0.92623266053877962</v>
      </c>
      <c r="C48" s="17">
        <v>2</v>
      </c>
    </row>
    <row r="49" spans="1:3" ht="29.5" customHeight="1" thickBot="1" x14ac:dyDescent="0.25">
      <c r="A49" s="239" t="str">
        <f>'11.3'!A9</f>
        <v>Part D</v>
      </c>
      <c r="B49" s="236" t="s">
        <v>233</v>
      </c>
      <c r="C49" s="17">
        <v>2</v>
      </c>
    </row>
    <row r="50" spans="1:3" x14ac:dyDescent="0.2">
      <c r="C50" s="17">
        <f>SUM(C2:C49)</f>
        <v>50</v>
      </c>
    </row>
  </sheetData>
  <mergeCells count="2">
    <mergeCell ref="A1:B1"/>
    <mergeCell ref="A33:A34"/>
  </mergeCells>
  <pageMargins left="0.7" right="0.7" top="0.75" bottom="0.75" header="0.3" footer="0.3"/>
  <pageSetup orientation="portrait"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showGridLines="0" workbookViewId="0">
      <selection activeCell="E31" sqref="E31"/>
    </sheetView>
  </sheetViews>
  <sheetFormatPr baseColWidth="10" defaultColWidth="9" defaultRowHeight="15" x14ac:dyDescent="0.2"/>
  <cols>
    <col min="1" max="1" width="29.5" customWidth="1"/>
    <col min="2" max="2" width="40.83203125" customWidth="1"/>
    <col min="3" max="3" width="7.5" customWidth="1"/>
    <col min="4" max="4" width="45.33203125" bestFit="1" customWidth="1"/>
    <col min="5" max="6" width="7.5" customWidth="1"/>
    <col min="7" max="7" width="17.83203125" bestFit="1" customWidth="1"/>
    <col min="8" max="13" width="7.5" customWidth="1"/>
  </cols>
  <sheetData>
    <row r="1" spans="1:8" x14ac:dyDescent="0.2">
      <c r="A1" s="1">
        <v>10.1</v>
      </c>
      <c r="B1" s="2"/>
    </row>
    <row r="2" spans="1:8" x14ac:dyDescent="0.2">
      <c r="A2" s="3" t="s">
        <v>0</v>
      </c>
      <c r="B2" s="5"/>
    </row>
    <row r="3" spans="1:8" x14ac:dyDescent="0.2">
      <c r="A3" s="11" t="s">
        <v>8</v>
      </c>
      <c r="B3" s="27" t="s">
        <v>242</v>
      </c>
    </row>
    <row r="4" spans="1:8" x14ac:dyDescent="0.2">
      <c r="A4" s="11" t="s">
        <v>9</v>
      </c>
      <c r="B4" s="4" t="s">
        <v>241</v>
      </c>
    </row>
    <row r="5" spans="1:8" x14ac:dyDescent="0.2">
      <c r="A5" s="3" t="s">
        <v>1</v>
      </c>
      <c r="B5" s="5"/>
    </row>
    <row r="6" spans="1:8" ht="59.25" customHeight="1" x14ac:dyDescent="0.2">
      <c r="A6" s="10" t="s">
        <v>10</v>
      </c>
      <c r="B6" s="9" t="s">
        <v>243</v>
      </c>
    </row>
    <row r="7" spans="1:8" x14ac:dyDescent="0.2">
      <c r="A7" s="3" t="s">
        <v>2</v>
      </c>
      <c r="B7" s="5"/>
    </row>
    <row r="8" spans="1:8" ht="60" customHeight="1" x14ac:dyDescent="0.2">
      <c r="A8" s="10" t="s">
        <v>11</v>
      </c>
      <c r="B8" s="9" t="s">
        <v>244</v>
      </c>
    </row>
    <row r="9" spans="1:8" x14ac:dyDescent="0.2">
      <c r="A9" s="8" t="s">
        <v>188</v>
      </c>
      <c r="B9" s="5"/>
    </row>
    <row r="10" spans="1:8" x14ac:dyDescent="0.2">
      <c r="A10" s="11" t="s">
        <v>14</v>
      </c>
      <c r="B10" s="4" t="s">
        <v>245</v>
      </c>
      <c r="D10" s="38" t="s">
        <v>94</v>
      </c>
      <c r="E10" s="39"/>
      <c r="F10" s="39"/>
      <c r="G10" s="40"/>
      <c r="H10" s="37"/>
    </row>
    <row r="11" spans="1:8" ht="16" thickBot="1" x14ac:dyDescent="0.25">
      <c r="A11" s="11" t="s">
        <v>230</v>
      </c>
      <c r="B11" s="168" t="s">
        <v>246</v>
      </c>
      <c r="D11" s="37" t="s">
        <v>95</v>
      </c>
      <c r="E11" s="37"/>
      <c r="F11" s="37"/>
      <c r="G11" s="37"/>
      <c r="H11" s="37"/>
    </row>
    <row r="12" spans="1:8" x14ac:dyDescent="0.2">
      <c r="A12" s="11" t="s">
        <v>12</v>
      </c>
      <c r="B12" s="168">
        <f>E31</f>
        <v>-3.0104780855836193</v>
      </c>
      <c r="D12" s="266" t="s">
        <v>33</v>
      </c>
      <c r="E12" s="266"/>
      <c r="F12" s="37"/>
      <c r="G12" s="267" t="s">
        <v>96</v>
      </c>
      <c r="H12" s="268"/>
    </row>
    <row r="13" spans="1:8" x14ac:dyDescent="0.2">
      <c r="A13" s="11" t="s">
        <v>16</v>
      </c>
      <c r="B13" s="255">
        <v>0.99850000000000005</v>
      </c>
      <c r="D13" s="41" t="s">
        <v>34</v>
      </c>
      <c r="E13" s="41">
        <v>0</v>
      </c>
      <c r="F13" s="37"/>
      <c r="G13" s="269" t="s">
        <v>55</v>
      </c>
      <c r="H13" s="270"/>
    </row>
    <row r="14" spans="1:8" ht="59.5" customHeight="1" x14ac:dyDescent="0.2">
      <c r="A14" s="11" t="s">
        <v>5</v>
      </c>
      <c r="B14" s="4" t="s">
        <v>248</v>
      </c>
      <c r="D14" s="41" t="s">
        <v>35</v>
      </c>
      <c r="E14" s="41">
        <v>0.05</v>
      </c>
      <c r="F14" s="37"/>
      <c r="G14" s="42"/>
      <c r="H14" s="43"/>
    </row>
    <row r="15" spans="1:8" ht="33" thickBot="1" x14ac:dyDescent="0.25">
      <c r="A15" s="170" t="s">
        <v>13</v>
      </c>
      <c r="B15" s="18" t="s">
        <v>247</v>
      </c>
      <c r="D15" s="44" t="s">
        <v>36</v>
      </c>
      <c r="E15" s="45"/>
      <c r="F15" s="37"/>
      <c r="G15" s="271" t="s">
        <v>33</v>
      </c>
      <c r="H15" s="272"/>
    </row>
    <row r="16" spans="1:8" x14ac:dyDescent="0.2">
      <c r="D16" s="41" t="s">
        <v>37</v>
      </c>
      <c r="E16" s="41">
        <v>95</v>
      </c>
      <c r="F16" s="37"/>
      <c r="G16" s="46" t="s">
        <v>56</v>
      </c>
      <c r="H16" s="47">
        <v>0.95</v>
      </c>
    </row>
    <row r="17" spans="4:8" x14ac:dyDescent="0.2">
      <c r="D17" s="41" t="s">
        <v>38</v>
      </c>
      <c r="E17" s="41">
        <v>12</v>
      </c>
      <c r="F17" s="40"/>
      <c r="G17" s="42"/>
      <c r="H17" s="43"/>
    </row>
    <row r="18" spans="4:8" x14ac:dyDescent="0.2">
      <c r="D18" s="41" t="s">
        <v>39</v>
      </c>
      <c r="E18" s="48">
        <f>8.4</f>
        <v>8.4</v>
      </c>
      <c r="F18" s="40"/>
      <c r="G18" s="273" t="s">
        <v>41</v>
      </c>
      <c r="H18" s="274"/>
    </row>
    <row r="19" spans="4:8" x14ac:dyDescent="0.2">
      <c r="D19" s="44" t="s">
        <v>40</v>
      </c>
      <c r="E19" s="45"/>
      <c r="F19" s="40"/>
      <c r="G19" s="49" t="s">
        <v>43</v>
      </c>
      <c r="H19" s="50">
        <f>E25 + E26</f>
        <v>192</v>
      </c>
    </row>
    <row r="20" spans="4:8" x14ac:dyDescent="0.2">
      <c r="D20" s="41" t="s">
        <v>37</v>
      </c>
      <c r="E20" s="41">
        <v>99</v>
      </c>
      <c r="F20" s="40"/>
      <c r="G20" s="51" t="s">
        <v>97</v>
      </c>
      <c r="H20" s="52">
        <f>_xlfn.T.INV.2T(1 - H16, H19)</f>
        <v>1.9723964913155825</v>
      </c>
    </row>
    <row r="21" spans="4:8" x14ac:dyDescent="0.2">
      <c r="D21" s="41" t="s">
        <v>38</v>
      </c>
      <c r="E21" s="41">
        <v>16</v>
      </c>
      <c r="F21" s="37"/>
      <c r="G21" s="49" t="s">
        <v>57</v>
      </c>
      <c r="H21" s="52">
        <f>(H20 * SQRT(E28 * (1/E16 + 1/E20)))</f>
        <v>2.6207086519059759</v>
      </c>
    </row>
    <row r="22" spans="4:8" x14ac:dyDescent="0.2">
      <c r="D22" s="41" t="s">
        <v>39</v>
      </c>
      <c r="E22" s="48">
        <v>10</v>
      </c>
      <c r="F22" s="37"/>
      <c r="G22" s="42"/>
      <c r="H22" s="43"/>
    </row>
    <row r="23" spans="4:8" x14ac:dyDescent="0.2">
      <c r="D23" s="40"/>
      <c r="E23" s="40"/>
      <c r="F23" s="40"/>
      <c r="G23" s="275" t="s">
        <v>58</v>
      </c>
      <c r="H23" s="276"/>
    </row>
    <row r="24" spans="4:8" x14ac:dyDescent="0.2">
      <c r="D24" s="265" t="s">
        <v>41</v>
      </c>
      <c r="E24" s="265"/>
      <c r="F24" s="37"/>
      <c r="G24" s="53" t="s">
        <v>59</v>
      </c>
      <c r="H24" s="54">
        <f>E30 - H21</f>
        <v>-6.6207086519059759</v>
      </c>
    </row>
    <row r="25" spans="4:8" ht="16" thickBot="1" x14ac:dyDescent="0.25">
      <c r="D25" s="55" t="s">
        <v>51</v>
      </c>
      <c r="E25" s="55">
        <f>E16 - 1</f>
        <v>94</v>
      </c>
      <c r="F25" s="37"/>
      <c r="G25" s="56" t="s">
        <v>60</v>
      </c>
      <c r="H25" s="57">
        <f>E30 + H21</f>
        <v>-1.3792913480940241</v>
      </c>
    </row>
    <row r="26" spans="4:8" x14ac:dyDescent="0.2">
      <c r="D26" s="55" t="s">
        <v>52</v>
      </c>
      <c r="E26" s="55">
        <f>E20 - 1</f>
        <v>98</v>
      </c>
      <c r="F26" s="37"/>
      <c r="G26" s="40"/>
      <c r="H26" s="40"/>
    </row>
    <row r="27" spans="4:8" x14ac:dyDescent="0.2">
      <c r="D27" s="55" t="s">
        <v>42</v>
      </c>
      <c r="E27" s="55">
        <f>E25 + E26</f>
        <v>192</v>
      </c>
      <c r="F27" s="40"/>
      <c r="G27" s="37"/>
      <c r="H27" s="37"/>
    </row>
    <row r="28" spans="4:8" x14ac:dyDescent="0.2">
      <c r="D28" s="55" t="s">
        <v>53</v>
      </c>
      <c r="E28" s="58">
        <f>((E25 * E18^2) + (E26 * E22^2))/E27</f>
        <v>85.586666666666659</v>
      </c>
      <c r="F28" s="40"/>
      <c r="G28" s="37"/>
      <c r="H28" s="37"/>
    </row>
    <row r="29" spans="4:8" x14ac:dyDescent="0.2">
      <c r="D29" s="55" t="s">
        <v>54</v>
      </c>
      <c r="E29" s="58">
        <f>SQRT(E28 * (1/E16 + 1/E20))</f>
        <v>1.3286926150218261</v>
      </c>
      <c r="F29" s="40"/>
      <c r="G29" s="37"/>
      <c r="H29" s="37"/>
    </row>
    <row r="30" spans="4:8" x14ac:dyDescent="0.2">
      <c r="D30" s="55" t="s">
        <v>44</v>
      </c>
      <c r="E30" s="55">
        <f>E17 - E21</f>
        <v>-4</v>
      </c>
      <c r="F30" s="37"/>
      <c r="G30" s="37"/>
      <c r="H30" s="37"/>
    </row>
    <row r="31" spans="4:8" x14ac:dyDescent="0.2">
      <c r="D31" s="59" t="s">
        <v>98</v>
      </c>
      <c r="E31" s="60">
        <f>(E30 - E13)/E29</f>
        <v>-3.0104780855836193</v>
      </c>
      <c r="F31" s="40"/>
      <c r="G31" s="37"/>
      <c r="H31" s="37"/>
    </row>
    <row r="32" spans="4:8" x14ac:dyDescent="0.2">
      <c r="D32" s="37"/>
      <c r="E32" s="37"/>
      <c r="F32" s="40"/>
      <c r="G32" s="37"/>
      <c r="H32" s="37"/>
    </row>
    <row r="33" spans="4:8" x14ac:dyDescent="0.2">
      <c r="D33" s="30" t="s">
        <v>47</v>
      </c>
      <c r="E33" s="31"/>
      <c r="F33" s="40"/>
      <c r="G33" s="62" t="s">
        <v>61</v>
      </c>
      <c r="H33" s="62"/>
    </row>
    <row r="34" spans="4:8" x14ac:dyDescent="0.2">
      <c r="D34" s="32" t="s">
        <v>48</v>
      </c>
      <c r="E34" s="60">
        <f>(_xlfn.T.INV.2T(2*E14,E27))</f>
        <v>1.6528285892700936</v>
      </c>
      <c r="F34" s="40"/>
      <c r="G34" s="63" t="s">
        <v>45</v>
      </c>
      <c r="H34" s="58">
        <f>_xlfn.T.DIST.RT(ABS(E31), E27)</f>
        <v>1.4794524165053591E-3</v>
      </c>
    </row>
    <row r="35" spans="4:8" x14ac:dyDescent="0.2">
      <c r="D35" s="59" t="s">
        <v>16</v>
      </c>
      <c r="E35" s="60">
        <f>IF(E31 &lt; 0, H35, H34)</f>
        <v>0.99852054758349462</v>
      </c>
      <c r="F35" s="37"/>
      <c r="G35" s="63" t="s">
        <v>46</v>
      </c>
      <c r="H35" s="58">
        <f>1 - H34</f>
        <v>0.99852054758349462</v>
      </c>
    </row>
    <row r="36" spans="4:8" x14ac:dyDescent="0.2">
      <c r="D36" s="31" t="str">
        <f>IF(E35 &lt; E14,"Reject the null hypothesis","Do not reject the null hypothesis")</f>
        <v>Do not reject the null hypothesis</v>
      </c>
      <c r="E36" s="31"/>
      <c r="F36" s="37"/>
      <c r="G36" s="37"/>
      <c r="H36" s="37"/>
    </row>
  </sheetData>
  <mergeCells count="7">
    <mergeCell ref="D24:E24"/>
    <mergeCell ref="D12:E12"/>
    <mergeCell ref="G12:H12"/>
    <mergeCell ref="G13:H13"/>
    <mergeCell ref="G15:H15"/>
    <mergeCell ref="G18:H18"/>
    <mergeCell ref="G23:H23"/>
  </mergeCells>
  <dataValidations count="3">
    <dataValidation type="list" allowBlank="1" showInputMessage="1" showErrorMessage="1" sqref="B10" xr:uid="{92EF7476-BCAD-49FB-ABC6-858034BB1FFC}">
      <formula1>"Pooled-Variance t test, Separate-Variance T test, Paired Difference Test"</formula1>
    </dataValidation>
    <dataValidation type="list" allowBlank="1" showInputMessage="1" showErrorMessage="1" sqref="B14" xr:uid="{7C952F3A-5BF4-4451-9C53-44EBB2400A90}">
      <formula1>"Reject The Null Hypothesis, Do Not Reject the Null Hypothesis"</formula1>
    </dataValidation>
    <dataValidation type="list" allowBlank="1" showInputMessage="1" showErrorMessage="1" sqref="B11" xr:uid="{0557B56D-0A5F-4D99-84D7-48B2C10A963C}">
      <formula1>"Two Tailed, Lower Tailed, Upper Tailed"</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5"/>
  <sheetViews>
    <sheetView workbookViewId="0">
      <selection activeCell="B15" sqref="B15"/>
    </sheetView>
  </sheetViews>
  <sheetFormatPr baseColWidth="10" defaultColWidth="8.83203125" defaultRowHeight="15" x14ac:dyDescent="0.2"/>
  <cols>
    <col min="1" max="1" width="22.83203125" customWidth="1"/>
    <col min="2" max="2" width="38.5" customWidth="1"/>
    <col min="3" max="3" width="35.6640625" bestFit="1" customWidth="1"/>
    <col min="4" max="8" width="9.1640625" customWidth="1"/>
    <col min="22" max="22" width="45.33203125" bestFit="1" customWidth="1"/>
  </cols>
  <sheetData>
    <row r="1" spans="1:5" x14ac:dyDescent="0.2">
      <c r="A1" s="34" t="s">
        <v>211</v>
      </c>
      <c r="B1" s="2"/>
      <c r="C1" s="178" t="s">
        <v>189</v>
      </c>
      <c r="D1" s="178" t="s">
        <v>190</v>
      </c>
    </row>
    <row r="2" spans="1:5" x14ac:dyDescent="0.2">
      <c r="A2" s="11" t="s">
        <v>212</v>
      </c>
      <c r="B2" s="27">
        <f>E15</f>
        <v>2.0617461617674065E-2</v>
      </c>
      <c r="C2" s="223">
        <v>8.9681429999999995</v>
      </c>
      <c r="D2" s="223">
        <v>6.6704410000000003</v>
      </c>
    </row>
    <row r="3" spans="1:5" x14ac:dyDescent="0.2">
      <c r="A3" s="11" t="s">
        <v>213</v>
      </c>
      <c r="B3" s="4" t="s">
        <v>91</v>
      </c>
      <c r="C3" s="223">
        <v>9.1197400000000002</v>
      </c>
      <c r="D3" s="223">
        <v>4</v>
      </c>
    </row>
    <row r="4" spans="1:5" ht="15" customHeight="1" x14ac:dyDescent="0.2">
      <c r="A4" s="8" t="s">
        <v>215</v>
      </c>
      <c r="B4" s="5"/>
      <c r="C4" s="223">
        <v>9.4130579999999995</v>
      </c>
      <c r="D4" s="223">
        <v>10</v>
      </c>
    </row>
    <row r="5" spans="1:5" x14ac:dyDescent="0.2">
      <c r="A5" s="11" t="s">
        <v>214</v>
      </c>
      <c r="B5" s="4" t="s">
        <v>245</v>
      </c>
      <c r="C5" s="223">
        <v>8.6657460000000004</v>
      </c>
      <c r="D5" s="223">
        <v>8</v>
      </c>
    </row>
    <row r="6" spans="1:5" x14ac:dyDescent="0.2">
      <c r="A6" s="8" t="s">
        <v>216</v>
      </c>
      <c r="B6" s="4"/>
      <c r="C6" s="223">
        <v>9.9370419999999999</v>
      </c>
      <c r="D6" s="223">
        <v>7.5</v>
      </c>
    </row>
    <row r="7" spans="1:5" x14ac:dyDescent="0.2">
      <c r="A7" s="11" t="s">
        <v>217</v>
      </c>
      <c r="B7" s="4" t="s">
        <v>255</v>
      </c>
      <c r="C7" s="223">
        <v>8.2800829999999994</v>
      </c>
      <c r="D7" s="223">
        <v>7.4224870000000003</v>
      </c>
    </row>
    <row r="8" spans="1:5" x14ac:dyDescent="0.2">
      <c r="A8" s="220" t="s">
        <v>218</v>
      </c>
      <c r="B8" s="167" t="s">
        <v>256</v>
      </c>
      <c r="C8" s="223">
        <v>7.8641579999999998</v>
      </c>
      <c r="D8" s="223">
        <v>6.5633220000000003</v>
      </c>
    </row>
    <row r="9" spans="1:5" x14ac:dyDescent="0.2">
      <c r="A9" s="11" t="s">
        <v>12</v>
      </c>
      <c r="B9" s="167">
        <v>2.2509999999999999</v>
      </c>
      <c r="C9" s="223">
        <v>7.5095770000000002</v>
      </c>
      <c r="D9" s="223">
        <v>8.5</v>
      </c>
    </row>
    <row r="10" spans="1:5" x14ac:dyDescent="0.2">
      <c r="A10" s="11" t="s">
        <v>15</v>
      </c>
      <c r="B10" s="167">
        <v>3.7100000000000001E-2</v>
      </c>
      <c r="C10" s="223">
        <v>9.1811729999999994</v>
      </c>
      <c r="D10" s="223">
        <v>8</v>
      </c>
    </row>
    <row r="11" spans="1:5" ht="21" customHeight="1" x14ac:dyDescent="0.2">
      <c r="A11" s="11" t="s">
        <v>5</v>
      </c>
      <c r="B11" s="13" t="s">
        <v>238</v>
      </c>
      <c r="C11" s="223">
        <v>7.6762550000000003</v>
      </c>
      <c r="D11" s="223">
        <v>9</v>
      </c>
    </row>
    <row r="12" spans="1:5" ht="65" thickBot="1" x14ac:dyDescent="0.25">
      <c r="A12" s="169" t="s">
        <v>13</v>
      </c>
      <c r="B12" s="225" t="s">
        <v>257</v>
      </c>
      <c r="C12" s="223">
        <v>8</v>
      </c>
      <c r="D12" s="224"/>
    </row>
    <row r="13" spans="1:5" x14ac:dyDescent="0.2">
      <c r="C13" s="223">
        <v>8.3000000000000007</v>
      </c>
      <c r="D13" s="224"/>
    </row>
    <row r="15" spans="1:5" x14ac:dyDescent="0.2">
      <c r="C15">
        <f>_xlfn.VAR.S(C2:C13)</f>
        <v>0.57507779017062866</v>
      </c>
      <c r="D15">
        <f>_xlfn.VAR.S(D2:D11)</f>
        <v>2.6420528521204512</v>
      </c>
      <c r="E15">
        <f>_xlfn.F.TEST(C2:C13,D2:D11)</f>
        <v>2.0617461617674065E-2</v>
      </c>
    </row>
    <row r="16" spans="1:5" x14ac:dyDescent="0.2">
      <c r="E16">
        <v>0.05</v>
      </c>
    </row>
    <row r="18" spans="2:6" x14ac:dyDescent="0.2">
      <c r="B18" s="38" t="s">
        <v>94</v>
      </c>
      <c r="C18" s="39"/>
      <c r="D18" s="39"/>
      <c r="E18" s="40"/>
      <c r="F18" s="37"/>
    </row>
    <row r="19" spans="2:6" ht="16" thickBot="1" x14ac:dyDescent="0.25">
      <c r="B19" s="37" t="s">
        <v>95</v>
      </c>
      <c r="C19" s="37"/>
      <c r="D19" s="37"/>
      <c r="E19" s="37"/>
      <c r="F19" s="37"/>
    </row>
    <row r="20" spans="2:6" x14ac:dyDescent="0.2">
      <c r="B20" s="266" t="s">
        <v>33</v>
      </c>
      <c r="C20" s="266"/>
      <c r="D20" s="37"/>
      <c r="E20" s="267" t="s">
        <v>96</v>
      </c>
      <c r="F20" s="268"/>
    </row>
    <row r="21" spans="2:6" x14ac:dyDescent="0.2">
      <c r="B21" s="41" t="s">
        <v>34</v>
      </c>
      <c r="C21" s="41">
        <v>0</v>
      </c>
      <c r="D21" s="37"/>
      <c r="E21" s="269" t="s">
        <v>55</v>
      </c>
      <c r="F21" s="270"/>
    </row>
    <row r="22" spans="2:6" x14ac:dyDescent="0.2">
      <c r="B22" s="41" t="s">
        <v>35</v>
      </c>
      <c r="C22" s="41">
        <v>0.05</v>
      </c>
      <c r="D22" s="37"/>
      <c r="E22" s="42"/>
      <c r="F22" s="43"/>
    </row>
    <row r="23" spans="2:6" x14ac:dyDescent="0.2">
      <c r="B23" s="44" t="s">
        <v>36</v>
      </c>
      <c r="C23" s="45"/>
      <c r="D23" s="37"/>
      <c r="E23" s="271" t="s">
        <v>33</v>
      </c>
      <c r="F23" s="272"/>
    </row>
    <row r="24" spans="2:6" x14ac:dyDescent="0.2">
      <c r="B24" s="41" t="s">
        <v>37</v>
      </c>
      <c r="C24" s="41">
        <v>12</v>
      </c>
      <c r="D24" s="37"/>
      <c r="E24" s="46" t="s">
        <v>56</v>
      </c>
      <c r="F24" s="47">
        <v>0.95</v>
      </c>
    </row>
    <row r="25" spans="2:6" x14ac:dyDescent="0.2">
      <c r="B25" s="41" t="s">
        <v>38</v>
      </c>
      <c r="C25" s="257">
        <f>AVERAGE(C2:C13)</f>
        <v>8.5762479166666648</v>
      </c>
      <c r="D25" s="40"/>
      <c r="E25" s="42"/>
      <c r="F25" s="43"/>
    </row>
    <row r="26" spans="2:6" x14ac:dyDescent="0.2">
      <c r="B26" s="41" t="s">
        <v>39</v>
      </c>
      <c r="C26" s="48">
        <f>_xlfn.STDEV.S(C2:C13)</f>
        <v>0.75833883598997398</v>
      </c>
      <c r="D26" s="40"/>
      <c r="E26" s="273" t="s">
        <v>41</v>
      </c>
      <c r="F26" s="274"/>
    </row>
    <row r="27" spans="2:6" x14ac:dyDescent="0.2">
      <c r="B27" s="44" t="s">
        <v>40</v>
      </c>
      <c r="C27" s="45"/>
      <c r="D27" s="40"/>
      <c r="E27" s="49" t="s">
        <v>43</v>
      </c>
      <c r="F27" s="50">
        <f ca="1">C33 + C34</f>
        <v>18</v>
      </c>
    </row>
    <row r="28" spans="2:6" x14ac:dyDescent="0.2">
      <c r="B28" s="41" t="s">
        <v>37</v>
      </c>
      <c r="C28" s="41">
        <f ca="1">COUNT($B:$B)</f>
        <v>10</v>
      </c>
      <c r="D28" s="40"/>
      <c r="E28" s="51" t="s">
        <v>97</v>
      </c>
      <c r="F28" s="52">
        <f ca="1">_xlfn.T.INV.2T(1 - F24, F27)</f>
        <v>2.1009220402410378</v>
      </c>
    </row>
    <row r="29" spans="2:6" x14ac:dyDescent="0.2">
      <c r="B29" s="41" t="s">
        <v>38</v>
      </c>
      <c r="C29" s="257">
        <f>AVERAGE(D2:D11)</f>
        <v>7.5656249999999998</v>
      </c>
      <c r="D29" s="37"/>
      <c r="E29" s="49" t="s">
        <v>57</v>
      </c>
      <c r="F29" s="52">
        <f ca="1">(F28 * SQRT(C36 * (1/C24 + 1/C28)))</f>
        <v>38.360289798103459</v>
      </c>
    </row>
    <row r="30" spans="2:6" x14ac:dyDescent="0.2">
      <c r="B30" s="41" t="s">
        <v>39</v>
      </c>
      <c r="C30" s="48">
        <f>_xlfn.STDEV.S(D2:D11)</f>
        <v>1.6254392797396189</v>
      </c>
      <c r="D30" s="37"/>
      <c r="E30" s="42"/>
      <c r="F30" s="43"/>
    </row>
    <row r="31" spans="2:6" x14ac:dyDescent="0.2">
      <c r="B31" s="40"/>
      <c r="C31" s="40"/>
      <c r="D31" s="40"/>
      <c r="E31" s="275" t="s">
        <v>58</v>
      </c>
      <c r="F31" s="276"/>
    </row>
    <row r="32" spans="2:6" x14ac:dyDescent="0.2">
      <c r="B32" s="265" t="s">
        <v>41</v>
      </c>
      <c r="C32" s="265"/>
      <c r="D32" s="37"/>
      <c r="E32" s="53" t="s">
        <v>59</v>
      </c>
      <c r="F32" s="54">
        <f ca="1">C38 - F29</f>
        <v>2.7397102018965356</v>
      </c>
    </row>
    <row r="33" spans="2:6" ht="16" thickBot="1" x14ac:dyDescent="0.25">
      <c r="B33" s="55" t="s">
        <v>51</v>
      </c>
      <c r="C33" s="55">
        <f>C24 - 1</f>
        <v>11</v>
      </c>
      <c r="D33" s="37"/>
      <c r="E33" s="56" t="s">
        <v>60</v>
      </c>
      <c r="F33" s="57">
        <f ca="1">C38 + F29</f>
        <v>79.460289798103446</v>
      </c>
    </row>
    <row r="34" spans="2:6" x14ac:dyDescent="0.2">
      <c r="B34" s="55" t="s">
        <v>52</v>
      </c>
      <c r="C34" s="55">
        <f ca="1">C28 - 1</f>
        <v>9</v>
      </c>
      <c r="D34" s="37"/>
      <c r="E34" s="40"/>
      <c r="F34" s="40"/>
    </row>
    <row r="35" spans="2:6" x14ac:dyDescent="0.2">
      <c r="B35" s="55" t="s">
        <v>42</v>
      </c>
      <c r="C35" s="55">
        <f ca="1">C33 + C34</f>
        <v>18</v>
      </c>
      <c r="D35" s="40"/>
      <c r="E35" s="37"/>
      <c r="F35" s="37"/>
    </row>
    <row r="36" spans="2:6" x14ac:dyDescent="0.2">
      <c r="B36" s="55" t="s">
        <v>53</v>
      </c>
      <c r="C36" s="58">
        <f ca="1">((C33 * C26^2) + (C34 * C30^2))/C35</f>
        <v>1666.9166666666667</v>
      </c>
      <c r="D36" s="40"/>
      <c r="E36" s="37"/>
      <c r="F36" s="37"/>
    </row>
    <row r="37" spans="2:6" x14ac:dyDescent="0.2">
      <c r="B37" s="55" t="s">
        <v>54</v>
      </c>
      <c r="C37" s="58">
        <f ca="1">SQRT(C36 * (1/C24 + 1/C28))</f>
        <v>18.258787838554163</v>
      </c>
      <c r="D37" s="40"/>
      <c r="E37" s="37"/>
      <c r="F37" s="37"/>
    </row>
    <row r="38" spans="2:6" x14ac:dyDescent="0.2">
      <c r="B38" s="55" t="s">
        <v>44</v>
      </c>
      <c r="C38" s="55">
        <f>C25 - C29</f>
        <v>1.0106229166666649</v>
      </c>
      <c r="D38" s="37"/>
      <c r="E38" s="37"/>
      <c r="F38" s="37"/>
    </row>
    <row r="39" spans="2:6" x14ac:dyDescent="0.2">
      <c r="B39" s="59" t="s">
        <v>98</v>
      </c>
      <c r="C39" s="60">
        <f ca="1">(C38 - C21)/C37</f>
        <v>2.2509708948594986</v>
      </c>
      <c r="D39" s="40"/>
      <c r="E39" s="37"/>
      <c r="F39" s="37"/>
    </row>
    <row r="40" spans="2:6" x14ac:dyDescent="0.2">
      <c r="B40" s="61"/>
      <c r="C40" s="37"/>
      <c r="D40" s="40"/>
      <c r="E40" s="37"/>
      <c r="F40" s="37"/>
    </row>
    <row r="41" spans="2:6" x14ac:dyDescent="0.2">
      <c r="B41" s="30" t="s">
        <v>50</v>
      </c>
      <c r="C41" s="31"/>
      <c r="D41" s="40"/>
      <c r="E41" s="37"/>
      <c r="F41" s="37"/>
    </row>
    <row r="42" spans="2:6" x14ac:dyDescent="0.2">
      <c r="B42" s="32" t="s">
        <v>62</v>
      </c>
      <c r="C42" s="60">
        <f ca="1">-(_xlfn.T.INV.2T(C22, C35))</f>
        <v>-2.1009220402410378</v>
      </c>
      <c r="D42" s="40"/>
      <c r="E42" s="37"/>
      <c r="F42" s="37"/>
    </row>
    <row r="43" spans="2:6" x14ac:dyDescent="0.2">
      <c r="B43" s="32" t="s">
        <v>48</v>
      </c>
      <c r="C43" s="60">
        <f ca="1">_xlfn.T.INV.2T(C22, C35)</f>
        <v>2.1009220402410378</v>
      </c>
      <c r="D43" s="37"/>
      <c r="E43" s="37"/>
      <c r="F43" s="37"/>
    </row>
    <row r="44" spans="2:6" x14ac:dyDescent="0.2">
      <c r="B44" s="59" t="s">
        <v>16</v>
      </c>
      <c r="C44" s="60">
        <f ca="1">_xlfn.T.DIST.2T(ABS(C39), C35)</f>
        <v>3.7122714247548039E-2</v>
      </c>
      <c r="D44" s="37"/>
      <c r="E44" s="37"/>
      <c r="F44" s="37"/>
    </row>
    <row r="45" spans="2:6" x14ac:dyDescent="0.2">
      <c r="B45" s="31" t="str">
        <f ca="1">IF(C44 &lt; C22, "Reject the null hypothesis", "Do not reject the null hypothesis")</f>
        <v>Reject the null hypothesis</v>
      </c>
      <c r="C45" s="31"/>
      <c r="D45" s="37"/>
      <c r="E45" s="37"/>
      <c r="F45" s="37"/>
    </row>
  </sheetData>
  <mergeCells count="7">
    <mergeCell ref="E31:F31"/>
    <mergeCell ref="B32:C32"/>
    <mergeCell ref="B20:C20"/>
    <mergeCell ref="E20:F20"/>
    <mergeCell ref="E21:F21"/>
    <mergeCell ref="E23:F23"/>
    <mergeCell ref="E26:F26"/>
  </mergeCells>
  <dataValidations count="3">
    <dataValidation type="list" allowBlank="1" showInputMessage="1" showErrorMessage="1" sqref="B5" xr:uid="{2CCF0450-6710-47AC-B64B-371B4832812F}">
      <formula1>"Pooled-Variance t test, Separate-Variance T test, Paired Difference Test"</formula1>
    </dataValidation>
    <dataValidation type="list" allowBlank="1" showInputMessage="1" showErrorMessage="1" sqref="B11" xr:uid="{1A96B768-5888-4355-BB92-E7FBF7A8AB6E}">
      <formula1>"Reject The Null Hypothesis, Do Not Reject the Null Hypothesis"</formula1>
    </dataValidation>
    <dataValidation type="list" allowBlank="1" showInputMessage="1" showErrorMessage="1" sqref="B3" xr:uid="{B2F1A8D4-2BA5-4363-86E5-2B8A97F598C4}">
      <formula1>"Yes, No"</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0"/>
  <sheetViews>
    <sheetView topLeftCell="A5" zoomScale="99" zoomScaleNormal="84" workbookViewId="0">
      <selection activeCell="I36" sqref="I36"/>
    </sheetView>
  </sheetViews>
  <sheetFormatPr baseColWidth="10" defaultColWidth="8.83203125" defaultRowHeight="15" x14ac:dyDescent="0.2"/>
  <cols>
    <col min="1" max="1" width="20.83203125" customWidth="1"/>
    <col min="2" max="2" width="35.33203125" customWidth="1"/>
    <col min="3" max="3" width="21.5" style="17" customWidth="1"/>
    <col min="4" max="4" width="8.5" customWidth="1"/>
    <col min="5" max="5" width="12.1640625" bestFit="1" customWidth="1"/>
    <col min="6" max="6" width="21.6640625" bestFit="1" customWidth="1"/>
    <col min="9" max="9" width="11.6640625" bestFit="1" customWidth="1"/>
  </cols>
  <sheetData>
    <row r="1" spans="1:2" x14ac:dyDescent="0.2">
      <c r="A1" s="183" t="s">
        <v>8</v>
      </c>
      <c r="B1" s="184" t="s">
        <v>259</v>
      </c>
    </row>
    <row r="2" spans="1:2" x14ac:dyDescent="0.2">
      <c r="A2" s="11" t="s">
        <v>9</v>
      </c>
      <c r="B2" s="4" t="s">
        <v>258</v>
      </c>
    </row>
    <row r="3" spans="1:2" x14ac:dyDescent="0.2">
      <c r="A3" s="8"/>
      <c r="B3" s="5"/>
    </row>
    <row r="4" spans="1:2" x14ac:dyDescent="0.2">
      <c r="A4" s="11" t="s">
        <v>14</v>
      </c>
      <c r="B4" s="4" t="s">
        <v>251</v>
      </c>
    </row>
    <row r="5" spans="1:2" x14ac:dyDescent="0.2">
      <c r="A5" s="11" t="s">
        <v>231</v>
      </c>
      <c r="B5" s="4" t="s">
        <v>252</v>
      </c>
    </row>
    <row r="6" spans="1:2" x14ac:dyDescent="0.2">
      <c r="A6" s="11" t="s">
        <v>12</v>
      </c>
      <c r="B6" s="167">
        <f>G33</f>
        <v>0.86229549776092407</v>
      </c>
    </row>
    <row r="7" spans="1:2" x14ac:dyDescent="0.2">
      <c r="A7" s="11" t="s">
        <v>15</v>
      </c>
      <c r="B7" s="167">
        <f>G38</f>
        <v>0.39927810934077412</v>
      </c>
    </row>
    <row r="8" spans="1:2" x14ac:dyDescent="0.2">
      <c r="A8" s="11" t="s">
        <v>5</v>
      </c>
      <c r="B8" s="13" t="s">
        <v>248</v>
      </c>
    </row>
    <row r="9" spans="1:2" ht="42.75" customHeight="1" x14ac:dyDescent="0.2">
      <c r="A9" s="191" t="s">
        <v>13</v>
      </c>
      <c r="B9" s="19" t="s">
        <v>254</v>
      </c>
    </row>
    <row r="10" spans="1:2" x14ac:dyDescent="0.2">
      <c r="A10" s="3" t="s">
        <v>4</v>
      </c>
      <c r="B10" s="5"/>
    </row>
    <row r="11" spans="1:2" x14ac:dyDescent="0.2">
      <c r="A11" s="11" t="s">
        <v>3</v>
      </c>
      <c r="B11" s="4" t="s">
        <v>250</v>
      </c>
    </row>
    <row r="12" spans="1:2" x14ac:dyDescent="0.2">
      <c r="A12" s="3" t="s">
        <v>2</v>
      </c>
      <c r="B12" s="5"/>
    </row>
    <row r="13" spans="1:2" x14ac:dyDescent="0.2">
      <c r="A13" s="11"/>
      <c r="B13" s="181" t="s">
        <v>198</v>
      </c>
    </row>
    <row r="14" spans="1:2" x14ac:dyDescent="0.2">
      <c r="A14" s="3" t="s">
        <v>6</v>
      </c>
      <c r="B14" s="5"/>
    </row>
    <row r="15" spans="1:2" x14ac:dyDescent="0.2">
      <c r="A15" s="6" t="s">
        <v>199</v>
      </c>
      <c r="B15" s="167">
        <f>G36</f>
        <v>-2.0930240544083096</v>
      </c>
    </row>
    <row r="16" spans="1:2" ht="16" thickBot="1" x14ac:dyDescent="0.25">
      <c r="A16" s="7" t="s">
        <v>200</v>
      </c>
      <c r="B16" s="256">
        <f>G37</f>
        <v>2.0930240544083096</v>
      </c>
    </row>
    <row r="17" spans="1:11" ht="16" thickBot="1" x14ac:dyDescent="0.25">
      <c r="A17" s="7" t="s">
        <v>194</v>
      </c>
      <c r="B17" s="185"/>
    </row>
    <row r="18" spans="1:11" x14ac:dyDescent="0.2">
      <c r="C18"/>
    </row>
    <row r="19" spans="1:11" x14ac:dyDescent="0.2">
      <c r="A19" t="s">
        <v>192</v>
      </c>
      <c r="B19" s="180" t="s">
        <v>193</v>
      </c>
      <c r="C19" s="92"/>
      <c r="D19" s="93" t="s">
        <v>74</v>
      </c>
      <c r="E19" t="s">
        <v>272</v>
      </c>
      <c r="G19" s="180"/>
      <c r="K19" s="180"/>
    </row>
    <row r="20" spans="1:11" x14ac:dyDescent="0.2">
      <c r="A20" s="180">
        <v>9.7200000000000006</v>
      </c>
      <c r="B20" s="180">
        <v>9.81</v>
      </c>
      <c r="C20" s="93">
        <f>ABS(A20-B20)</f>
        <v>8.9999999999999858E-2</v>
      </c>
      <c r="D20" s="93">
        <f>AVERAGE(C20:C39)</f>
        <v>0.14000000000000004</v>
      </c>
      <c r="E20">
        <f>_xlfn.STDEV.S($D$20,C20:C39)</f>
        <v>7.6059187479225632E-2</v>
      </c>
      <c r="F20">
        <v>20</v>
      </c>
      <c r="G20">
        <f>_xlfn.T.INV.2T(0.05,19)</f>
        <v>2.0930240544083096</v>
      </c>
      <c r="H20">
        <f>G20*(E20/SQRT(20))</f>
        <v>3.5596795480871184E-2</v>
      </c>
    </row>
    <row r="21" spans="1:11" x14ac:dyDescent="0.2">
      <c r="A21" s="180">
        <v>10.08</v>
      </c>
      <c r="B21" s="180">
        <v>10.215</v>
      </c>
      <c r="C21" s="93">
        <f t="shared" ref="C21:C39" si="0">ABS(A21-B21)</f>
        <v>0.13499999999999979</v>
      </c>
      <c r="D21" s="93"/>
      <c r="I21" t="s">
        <v>273</v>
      </c>
      <c r="J21">
        <f>D20-H20</f>
        <v>0.10440320451912885</v>
      </c>
    </row>
    <row r="22" spans="1:11" x14ac:dyDescent="0.2">
      <c r="A22" s="180">
        <v>10.17</v>
      </c>
      <c r="B22" s="180">
        <v>10.305</v>
      </c>
      <c r="C22" s="93">
        <f t="shared" si="0"/>
        <v>0.13499999999999979</v>
      </c>
      <c r="D22" s="93"/>
      <c r="F22" s="92" t="s">
        <v>107</v>
      </c>
      <c r="I22" t="s">
        <v>274</v>
      </c>
      <c r="J22">
        <f>D20+H20</f>
        <v>0.17559679548087123</v>
      </c>
    </row>
    <row r="23" spans="1:11" x14ac:dyDescent="0.2">
      <c r="A23" s="180">
        <v>10.574999999999999</v>
      </c>
      <c r="B23" s="180">
        <v>10.53</v>
      </c>
      <c r="C23" s="93">
        <f t="shared" si="0"/>
        <v>4.4999999999999929E-2</v>
      </c>
      <c r="D23" s="93"/>
      <c r="F23" s="277" t="s">
        <v>33</v>
      </c>
      <c r="G23" s="277"/>
    </row>
    <row r="24" spans="1:11" x14ac:dyDescent="0.2">
      <c r="A24" s="180">
        <v>10.574999999999999</v>
      </c>
      <c r="B24" s="180">
        <v>10.755000000000001</v>
      </c>
      <c r="C24" s="93">
        <f t="shared" si="0"/>
        <v>0.18000000000000149</v>
      </c>
      <c r="D24" s="93"/>
      <c r="F24" s="94" t="s">
        <v>64</v>
      </c>
      <c r="G24" s="94">
        <v>0</v>
      </c>
      <c r="J24" s="254" t="s">
        <v>253</v>
      </c>
    </row>
    <row r="25" spans="1:11" x14ac:dyDescent="0.2">
      <c r="A25" s="180">
        <v>10.755000000000001</v>
      </c>
      <c r="B25" s="180">
        <v>10.98</v>
      </c>
      <c r="C25" s="93">
        <f t="shared" si="0"/>
        <v>0.22499999999999964</v>
      </c>
      <c r="D25" s="93"/>
      <c r="F25" s="94" t="s">
        <v>35</v>
      </c>
      <c r="G25" s="94">
        <v>0.05</v>
      </c>
    </row>
    <row r="26" spans="1:11" x14ac:dyDescent="0.2">
      <c r="A26" s="180">
        <v>10.8</v>
      </c>
      <c r="B26" s="180">
        <v>11.07</v>
      </c>
      <c r="C26" s="93">
        <f t="shared" si="0"/>
        <v>0.26999999999999957</v>
      </c>
      <c r="D26" s="93"/>
      <c r="F26" s="93"/>
      <c r="G26" s="93"/>
    </row>
    <row r="27" spans="1:11" x14ac:dyDescent="0.2">
      <c r="A27" s="180">
        <v>10.89</v>
      </c>
      <c r="B27" s="180">
        <v>11.115</v>
      </c>
      <c r="C27" s="93">
        <f t="shared" si="0"/>
        <v>0.22499999999999964</v>
      </c>
      <c r="D27" s="93"/>
      <c r="F27" s="278" t="s">
        <v>41</v>
      </c>
      <c r="G27" s="278"/>
    </row>
    <row r="28" spans="1:11" x14ac:dyDescent="0.2">
      <c r="A28" s="180">
        <v>10.98</v>
      </c>
      <c r="B28" s="180">
        <v>11.16</v>
      </c>
      <c r="C28" s="93">
        <f t="shared" si="0"/>
        <v>0.17999999999999972</v>
      </c>
      <c r="D28" s="93"/>
      <c r="F28" s="95" t="s">
        <v>37</v>
      </c>
      <c r="G28" s="95">
        <v>20</v>
      </c>
    </row>
    <row r="29" spans="1:11" x14ac:dyDescent="0.2">
      <c r="A29" s="180">
        <v>11.07</v>
      </c>
      <c r="B29" s="180">
        <v>11.35</v>
      </c>
      <c r="C29" s="93">
        <f t="shared" si="0"/>
        <v>0.27999999999999936</v>
      </c>
      <c r="D29" s="93"/>
      <c r="F29" s="95" t="s">
        <v>65</v>
      </c>
      <c r="G29" s="96">
        <f>AVERAGE(C20:C39)</f>
        <v>0.14000000000000004</v>
      </c>
    </row>
    <row r="30" spans="1:11" x14ac:dyDescent="0.2">
      <c r="A30" s="180">
        <v>11.25</v>
      </c>
      <c r="B30" s="180">
        <v>11.385</v>
      </c>
      <c r="C30" s="93">
        <f t="shared" si="0"/>
        <v>0.13499999999999979</v>
      </c>
      <c r="D30" s="93"/>
      <c r="F30" s="95" t="s">
        <v>66</v>
      </c>
      <c r="G30" s="95">
        <f>G28 - 1</f>
        <v>19</v>
      </c>
    </row>
    <row r="31" spans="1:11" ht="17" x14ac:dyDescent="0.25">
      <c r="A31" s="180">
        <v>11.43</v>
      </c>
      <c r="B31" s="180">
        <v>11.52</v>
      </c>
      <c r="C31" s="93">
        <f t="shared" si="0"/>
        <v>8.9999999999999858E-2</v>
      </c>
      <c r="D31" s="93"/>
      <c r="F31" s="97" t="s">
        <v>108</v>
      </c>
      <c r="G31" s="96">
        <f>SQRT(DEVSQ(A:A)/G30)</f>
        <v>0.72608408060310958</v>
      </c>
    </row>
    <row r="32" spans="1:11" x14ac:dyDescent="0.2">
      <c r="A32" s="180">
        <v>11.61</v>
      </c>
      <c r="B32" s="180">
        <v>11.7</v>
      </c>
      <c r="C32" s="93">
        <f t="shared" si="0"/>
        <v>8.9999999999999858E-2</v>
      </c>
      <c r="D32" s="93"/>
      <c r="F32" s="95" t="s">
        <v>54</v>
      </c>
      <c r="G32" s="96">
        <f>G31/SQRT(G28)</f>
        <v>0.16235733616089895</v>
      </c>
    </row>
    <row r="33" spans="1:7" x14ac:dyDescent="0.2">
      <c r="A33" s="180">
        <v>11.654999999999999</v>
      </c>
      <c r="B33" s="180">
        <v>11.744999999999999</v>
      </c>
      <c r="C33" s="93">
        <f t="shared" si="0"/>
        <v>8.9999999999999858E-2</v>
      </c>
      <c r="D33" s="93"/>
      <c r="F33" s="98" t="s">
        <v>109</v>
      </c>
      <c r="G33" s="99">
        <f>(G29 - G24)/G32</f>
        <v>0.86229549776092407</v>
      </c>
    </row>
    <row r="34" spans="1:7" x14ac:dyDescent="0.2">
      <c r="A34" s="180">
        <v>11.744999999999999</v>
      </c>
      <c r="B34" s="180">
        <v>11.79</v>
      </c>
      <c r="C34" s="93">
        <f t="shared" si="0"/>
        <v>4.4999999999999929E-2</v>
      </c>
      <c r="D34" s="93"/>
      <c r="F34" s="93"/>
      <c r="G34" s="93"/>
    </row>
    <row r="35" spans="1:7" x14ac:dyDescent="0.2">
      <c r="A35" s="180">
        <v>11.79</v>
      </c>
      <c r="B35" s="180">
        <v>11.88</v>
      </c>
      <c r="C35" s="93">
        <f t="shared" si="0"/>
        <v>9.0000000000001634E-2</v>
      </c>
      <c r="D35" s="93"/>
      <c r="F35" s="279" t="s">
        <v>67</v>
      </c>
      <c r="G35" s="279"/>
    </row>
    <row r="36" spans="1:7" x14ac:dyDescent="0.2">
      <c r="A36" s="180">
        <v>11.79</v>
      </c>
      <c r="B36" s="180">
        <v>12.015000000000001</v>
      </c>
      <c r="C36" s="93">
        <f t="shared" si="0"/>
        <v>0.22500000000000142</v>
      </c>
      <c r="D36" s="93"/>
      <c r="F36" s="100" t="s">
        <v>62</v>
      </c>
      <c r="G36" s="99">
        <f>-_xlfn.T.INV.2T(G25, G30)</f>
        <v>-2.0930240544083096</v>
      </c>
    </row>
    <row r="37" spans="1:7" x14ac:dyDescent="0.2">
      <c r="A37" s="180">
        <v>11.925000000000001</v>
      </c>
      <c r="B37" s="180">
        <v>12.105</v>
      </c>
      <c r="C37" s="93">
        <f t="shared" si="0"/>
        <v>0.17999999999999972</v>
      </c>
      <c r="D37" s="93"/>
      <c r="F37" s="100" t="s">
        <v>48</v>
      </c>
      <c r="G37" s="99">
        <f>_xlfn.T.INV.2T(G25, G30)</f>
        <v>2.0930240544083096</v>
      </c>
    </row>
    <row r="38" spans="1:7" x14ac:dyDescent="0.2">
      <c r="A38" s="180">
        <v>12.15</v>
      </c>
      <c r="B38" s="180">
        <v>12.24</v>
      </c>
      <c r="C38" s="93">
        <f t="shared" si="0"/>
        <v>8.9999999999999858E-2</v>
      </c>
      <c r="D38" s="93"/>
      <c r="F38" s="98" t="s">
        <v>110</v>
      </c>
      <c r="G38" s="99">
        <f>_xlfn.T.DIST.2T(ABS(G33), G30)</f>
        <v>0.39927810934077412</v>
      </c>
    </row>
    <row r="39" spans="1:7" x14ac:dyDescent="0.2">
      <c r="A39" s="180">
        <v>12.375</v>
      </c>
      <c r="B39" s="180">
        <v>12.375</v>
      </c>
      <c r="C39" s="93">
        <f t="shared" si="0"/>
        <v>0</v>
      </c>
      <c r="D39" s="93"/>
      <c r="F39" s="280" t="str">
        <f>IF(G38 &lt; G25, "Reject the null hypothesis", "Do not reject the null hypothesis")</f>
        <v>Do not reject the null hypothesis</v>
      </c>
      <c r="G39" s="280"/>
    </row>
    <row r="40" spans="1:7" x14ac:dyDescent="0.2">
      <c r="C40"/>
    </row>
  </sheetData>
  <sortState xmlns:xlrd2="http://schemas.microsoft.com/office/spreadsheetml/2017/richdata2" ref="B20:B39">
    <sortCondition ref="B20:B39"/>
  </sortState>
  <mergeCells count="4">
    <mergeCell ref="F23:G23"/>
    <mergeCell ref="F27:G27"/>
    <mergeCell ref="F35:G35"/>
    <mergeCell ref="F39:G39"/>
  </mergeCells>
  <dataValidations count="3">
    <dataValidation type="list" allowBlank="1" showInputMessage="1" showErrorMessage="1" sqref="B4" xr:uid="{EBF58391-0D9F-4215-806D-0F64AAB78BE8}">
      <formula1>"Pooled-Variance t test, Separate-Variance T test, Paired Difference Test"</formula1>
    </dataValidation>
    <dataValidation type="list" allowBlank="1" showInputMessage="1" showErrorMessage="1" sqref="B8" xr:uid="{214FC7F0-03A7-450C-9C91-70B85D561EE5}">
      <formula1>"Reject The Null Hypothesis, Do Not Reject the Null Hypothesis"</formula1>
    </dataValidation>
    <dataValidation type="list" allowBlank="1" showInputMessage="1" showErrorMessage="1" sqref="B5" xr:uid="{8CA1FB19-A5B2-418D-A65A-B7EBF8691694}">
      <formula1>"Two Tailed, Upper Tailed, Lower Taied"</formula1>
    </dataValidation>
  </dataValidations>
  <pageMargins left="0.7" right="0.7" top="0.75" bottom="0.75" header="0.3" footer="0.3"/>
  <pageSetup orientation="portrait"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37"/>
  <sheetViews>
    <sheetView tabSelected="1" workbookViewId="0">
      <selection activeCell="B14" sqref="B14"/>
    </sheetView>
  </sheetViews>
  <sheetFormatPr baseColWidth="10" defaultColWidth="29.1640625" defaultRowHeight="15" x14ac:dyDescent="0.2"/>
  <cols>
    <col min="1" max="1" width="26.83203125" customWidth="1"/>
    <col min="2" max="2" width="33.33203125" customWidth="1"/>
    <col min="3" max="3" width="8.6640625" customWidth="1"/>
    <col min="4" max="5" width="8.5" customWidth="1"/>
    <col min="6" max="6" width="7.6640625" customWidth="1"/>
    <col min="7" max="7" width="10.5" customWidth="1"/>
    <col min="8" max="8" width="9.5" customWidth="1"/>
    <col min="9" max="9" width="10.33203125" customWidth="1"/>
    <col min="10" max="10" width="8.5" customWidth="1"/>
    <col min="11" max="11" width="6.83203125" customWidth="1"/>
    <col min="12" max="12" width="5.5" customWidth="1"/>
    <col min="13" max="13" width="8.5" customWidth="1"/>
    <col min="14" max="14" width="6.83203125" customWidth="1"/>
    <col min="15" max="15" width="12.6640625" bestFit="1" customWidth="1"/>
    <col min="16" max="16" width="7.5" bestFit="1" customWidth="1"/>
    <col min="17" max="18" width="6.83203125" bestFit="1" customWidth="1"/>
    <col min="19" max="19" width="4.5" customWidth="1"/>
    <col min="20" max="20" width="17.1640625" bestFit="1" customWidth="1"/>
    <col min="21" max="21" width="9.5" bestFit="1" customWidth="1"/>
    <col min="22" max="22" width="11.6640625" bestFit="1" customWidth="1"/>
    <col min="23" max="23" width="7.33203125" bestFit="1" customWidth="1"/>
    <col min="24" max="24" width="20.83203125" bestFit="1" customWidth="1"/>
  </cols>
  <sheetData>
    <row r="1" spans="1:24" x14ac:dyDescent="0.2">
      <c r="A1" s="1" t="s">
        <v>195</v>
      </c>
      <c r="B1" s="2"/>
      <c r="P1" s="40" t="s">
        <v>146</v>
      </c>
      <c r="Q1" s="37"/>
      <c r="R1" s="37"/>
      <c r="S1" s="37"/>
      <c r="T1" s="37"/>
      <c r="U1" s="37"/>
      <c r="V1" s="37"/>
      <c r="W1" s="37"/>
      <c r="X1" s="40"/>
    </row>
    <row r="2" spans="1:24" x14ac:dyDescent="0.2">
      <c r="A2" s="11" t="s">
        <v>8</v>
      </c>
      <c r="B2" s="4" t="s">
        <v>235</v>
      </c>
      <c r="P2" s="37"/>
      <c r="Q2" s="37"/>
      <c r="R2" s="37"/>
      <c r="S2" s="37"/>
      <c r="T2" s="37"/>
      <c r="U2" s="37"/>
      <c r="V2" s="37"/>
      <c r="W2" s="37"/>
      <c r="X2" s="40"/>
    </row>
    <row r="3" spans="1:24" x14ac:dyDescent="0.2">
      <c r="A3" s="11" t="s">
        <v>9</v>
      </c>
      <c r="B3" s="4" t="s">
        <v>236</v>
      </c>
      <c r="P3" s="64"/>
      <c r="Q3" s="64" t="s">
        <v>87</v>
      </c>
      <c r="R3" s="64" t="s">
        <v>87</v>
      </c>
      <c r="S3" s="64"/>
      <c r="T3" s="64"/>
      <c r="U3" s="64" t="s">
        <v>147</v>
      </c>
      <c r="V3" s="64" t="s">
        <v>148</v>
      </c>
      <c r="W3" s="64" t="s">
        <v>149</v>
      </c>
      <c r="X3" s="40"/>
    </row>
    <row r="4" spans="1:24" x14ac:dyDescent="0.2">
      <c r="A4" s="8"/>
      <c r="B4" s="186"/>
      <c r="P4" s="36" t="s">
        <v>150</v>
      </c>
      <c r="Q4" s="36" t="s">
        <v>151</v>
      </c>
      <c r="R4" s="36" t="s">
        <v>152</v>
      </c>
      <c r="S4" s="64"/>
      <c r="T4" s="36" t="s">
        <v>84</v>
      </c>
      <c r="U4" s="36" t="s">
        <v>153</v>
      </c>
      <c r="V4" s="36" t="s">
        <v>154</v>
      </c>
      <c r="W4" s="36" t="s">
        <v>155</v>
      </c>
      <c r="X4" s="36" t="str">
        <f>IF(Q15="","Results are NOT valid until Q Statistic is entered into B15","Results")</f>
        <v>Results</v>
      </c>
    </row>
    <row r="5" spans="1:24" x14ac:dyDescent="0.2">
      <c r="A5" s="11" t="s">
        <v>17</v>
      </c>
      <c r="B5" s="167">
        <v>5.0999999999999996</v>
      </c>
      <c r="P5" s="65" t="str">
        <f xml:space="preserve"> "1: " &amp; 'One Way Anova'!P5</f>
        <v xml:space="preserve">1: </v>
      </c>
      <c r="Q5" s="37">
        <f>K12</f>
        <v>17.857142857142858</v>
      </c>
      <c r="R5" s="37">
        <f>I12</f>
        <v>14</v>
      </c>
      <c r="S5" s="37"/>
      <c r="T5" s="37" t="s">
        <v>156</v>
      </c>
      <c r="U5" s="37">
        <f>ABS(Q5-Q6)</f>
        <v>38.714285714285708</v>
      </c>
      <c r="V5" s="86">
        <f>SQRT(($K$21/2)*((1/R5)+(1/R6)))</f>
        <v>11.644329959736304</v>
      </c>
      <c r="W5" s="86">
        <f>$Q$15*V5</f>
        <v>43.549794049413777</v>
      </c>
      <c r="X5" s="37" t="str">
        <f>IF(U5&gt;W5,"Means are different","Means are not different")</f>
        <v>Means are not different</v>
      </c>
    </row>
    <row r="6" spans="1:24" x14ac:dyDescent="0.2">
      <c r="A6" s="11" t="s">
        <v>219</v>
      </c>
      <c r="B6" s="167">
        <v>2.8300000000000001E-3</v>
      </c>
      <c r="P6" s="65" t="str">
        <f xml:space="preserve"> "2: " &amp; 'One Way Anova'!P6</f>
        <v xml:space="preserve">2: </v>
      </c>
      <c r="Q6" s="37">
        <f t="shared" ref="Q6:Q8" si="0">K13</f>
        <v>56.571428571428569</v>
      </c>
      <c r="R6" s="37">
        <f t="shared" ref="R6:R8" si="1">I13</f>
        <v>21</v>
      </c>
      <c r="S6" s="37"/>
      <c r="T6" s="37" t="s">
        <v>157</v>
      </c>
      <c r="U6" s="37">
        <f>ABS(Q5-Q7)</f>
        <v>41.487684729064043</v>
      </c>
      <c r="V6" s="86">
        <f>SQRT((K21/2)*((1/R5)+(1/R7)))</f>
        <v>10.98311060996223</v>
      </c>
      <c r="W6" s="86">
        <f t="shared" ref="W6:W10" si="2">$Q$15*V6</f>
        <v>41.076833681258741</v>
      </c>
      <c r="X6" s="253" t="str">
        <f t="shared" ref="X6:X10" si="3">IF(U6&gt;W6,"Means are different","Means are not different")</f>
        <v>Means are different</v>
      </c>
    </row>
    <row r="7" spans="1:24" ht="30" customHeight="1" x14ac:dyDescent="0.2">
      <c r="A7" s="11" t="s">
        <v>5</v>
      </c>
      <c r="B7" s="15" t="s">
        <v>238</v>
      </c>
      <c r="P7" s="65" t="str">
        <f xml:space="preserve"> "3: " &amp; 'One Way Anova'!P7</f>
        <v xml:space="preserve">3: </v>
      </c>
      <c r="Q7" s="37">
        <f t="shared" si="0"/>
        <v>59.344827586206897</v>
      </c>
      <c r="R7" s="37">
        <f t="shared" si="1"/>
        <v>29</v>
      </c>
      <c r="S7" s="37"/>
      <c r="T7" s="37" t="s">
        <v>158</v>
      </c>
      <c r="U7" s="37">
        <f>ABS(Q5-Q8)</f>
        <v>3.2460317460317469</v>
      </c>
      <c r="V7" s="86">
        <f>SQRT((K21/2)*((1/R5)+(1/R8)))</f>
        <v>12.026212269814076</v>
      </c>
      <c r="W7" s="86">
        <f t="shared" si="2"/>
        <v>44.978033889104644</v>
      </c>
      <c r="X7" s="37" t="str">
        <f t="shared" si="3"/>
        <v>Means are not different</v>
      </c>
    </row>
    <row r="8" spans="1:24" ht="46.5" customHeight="1" x14ac:dyDescent="0.2">
      <c r="A8" s="177" t="s">
        <v>13</v>
      </c>
      <c r="B8" s="12" t="s">
        <v>239</v>
      </c>
      <c r="C8" s="187" t="s">
        <v>29</v>
      </c>
      <c r="D8" s="187" t="s">
        <v>30</v>
      </c>
      <c r="E8" s="187" t="s">
        <v>31</v>
      </c>
      <c r="F8" s="187" t="s">
        <v>32</v>
      </c>
      <c r="H8" t="s">
        <v>237</v>
      </c>
      <c r="P8" s="65" t="str">
        <f xml:space="preserve"> "4: " &amp; 'One Way Anova'!P8</f>
        <v xml:space="preserve">4: </v>
      </c>
      <c r="Q8" s="37">
        <f t="shared" si="0"/>
        <v>14.611111111111111</v>
      </c>
      <c r="R8" s="37">
        <f t="shared" si="1"/>
        <v>18</v>
      </c>
      <c r="S8" s="37"/>
      <c r="T8" s="37" t="s">
        <v>159</v>
      </c>
      <c r="U8" s="37">
        <f>ABS(Q6-Q7)</f>
        <v>2.7733990147783274</v>
      </c>
      <c r="V8" s="86">
        <f>SQRT((K21/2)*((1/R6)+(1/R7)))</f>
        <v>9.6700896908158196</v>
      </c>
      <c r="W8" s="86">
        <f t="shared" si="2"/>
        <v>36.166135443651164</v>
      </c>
      <c r="X8" s="37" t="str">
        <f>IF(U8&gt;W8,"Means are different","Means are not different")</f>
        <v>Means are not different</v>
      </c>
    </row>
    <row r="9" spans="1:24" x14ac:dyDescent="0.2">
      <c r="A9" s="8" t="s">
        <v>4</v>
      </c>
      <c r="B9" s="5"/>
      <c r="C9">
        <v>13</v>
      </c>
      <c r="D9">
        <v>156</v>
      </c>
      <c r="E9">
        <v>274</v>
      </c>
      <c r="F9">
        <v>31</v>
      </c>
      <c r="P9" s="37"/>
      <c r="Q9" s="37"/>
      <c r="R9" s="37"/>
      <c r="S9" s="37"/>
      <c r="T9" s="37" t="s">
        <v>160</v>
      </c>
      <c r="U9" s="37">
        <f>ABS(Q6-Q8)</f>
        <v>41.960317460317455</v>
      </c>
      <c r="V9" s="86">
        <f>SQRT((K21/2)*((1/R6)+(1/R8)))</f>
        <v>10.840281247107205</v>
      </c>
      <c r="W9" s="86">
        <f t="shared" si="2"/>
        <v>40.542651864180947</v>
      </c>
      <c r="X9" s="253" t="str">
        <f t="shared" si="3"/>
        <v>Means are different</v>
      </c>
    </row>
    <row r="10" spans="1:24" ht="28" customHeight="1" thickBot="1" x14ac:dyDescent="0.25">
      <c r="A10" s="281" t="s">
        <v>197</v>
      </c>
      <c r="B10" s="282"/>
      <c r="C10">
        <v>14</v>
      </c>
      <c r="D10">
        <v>262</v>
      </c>
      <c r="E10">
        <v>154</v>
      </c>
      <c r="F10">
        <v>16</v>
      </c>
      <c r="H10" t="s">
        <v>70</v>
      </c>
      <c r="P10" s="283" t="s">
        <v>161</v>
      </c>
      <c r="Q10" s="283"/>
      <c r="R10" s="37"/>
      <c r="S10" s="37"/>
      <c r="T10" s="37" t="s">
        <v>162</v>
      </c>
      <c r="U10" s="37">
        <f>ABS(Q7-Q8)</f>
        <v>44.73371647509579</v>
      </c>
      <c r="V10" s="86">
        <f>SQRT((K21/2)*((1/R7)+(1/R8)))</f>
        <v>10.126697189895458</v>
      </c>
      <c r="W10" s="86">
        <f t="shared" si="2"/>
        <v>37.873847490209016</v>
      </c>
      <c r="X10" s="253" t="str">
        <f t="shared" si="3"/>
        <v>Means are different</v>
      </c>
    </row>
    <row r="11" spans="1:24" x14ac:dyDescent="0.2">
      <c r="A11" s="188" t="s">
        <v>18</v>
      </c>
      <c r="B11" s="4"/>
      <c r="C11">
        <v>29</v>
      </c>
      <c r="D11">
        <v>148</v>
      </c>
      <c r="E11">
        <v>172</v>
      </c>
      <c r="F11">
        <v>10</v>
      </c>
      <c r="H11" s="252" t="s">
        <v>71</v>
      </c>
      <c r="I11" s="252" t="s">
        <v>72</v>
      </c>
      <c r="J11" s="252" t="s">
        <v>73</v>
      </c>
      <c r="K11" s="252" t="s">
        <v>74</v>
      </c>
      <c r="L11" s="252" t="s">
        <v>75</v>
      </c>
      <c r="P11" s="55" t="s">
        <v>111</v>
      </c>
      <c r="Q11" s="55">
        <f>'One Way Anova'!V17</f>
        <v>0</v>
      </c>
      <c r="R11" s="37"/>
      <c r="S11" s="37"/>
      <c r="T11" s="37"/>
      <c r="U11" s="37"/>
      <c r="V11" s="37"/>
      <c r="W11" s="37"/>
      <c r="X11" s="40"/>
    </row>
    <row r="12" spans="1:24" x14ac:dyDescent="0.2">
      <c r="A12" s="189" t="s">
        <v>19</v>
      </c>
      <c r="B12" s="4" t="s">
        <v>240</v>
      </c>
      <c r="C12">
        <v>18</v>
      </c>
      <c r="D12">
        <v>61</v>
      </c>
      <c r="E12">
        <v>144</v>
      </c>
      <c r="F12">
        <v>18</v>
      </c>
      <c r="H12" t="s">
        <v>29</v>
      </c>
      <c r="I12">
        <v>14</v>
      </c>
      <c r="J12">
        <v>250</v>
      </c>
      <c r="K12">
        <v>17.857142857142858</v>
      </c>
      <c r="L12">
        <v>44.747252747252716</v>
      </c>
      <c r="O12" s="250"/>
      <c r="P12" s="55" t="s">
        <v>163</v>
      </c>
      <c r="Q12" s="55">
        <f>'One Way Anova'!Y2</f>
        <v>0</v>
      </c>
      <c r="R12" s="37"/>
      <c r="S12" s="37"/>
      <c r="T12" s="37"/>
      <c r="U12" s="37"/>
      <c r="V12" s="37"/>
      <c r="W12" s="37"/>
      <c r="X12" s="40"/>
    </row>
    <row r="13" spans="1:24" x14ac:dyDescent="0.2">
      <c r="A13" s="188" t="s">
        <v>20</v>
      </c>
      <c r="B13" s="4"/>
      <c r="C13">
        <v>33</v>
      </c>
      <c r="D13">
        <v>54</v>
      </c>
      <c r="E13">
        <v>109</v>
      </c>
      <c r="F13">
        <v>30</v>
      </c>
      <c r="H13" t="s">
        <v>30</v>
      </c>
      <c r="I13">
        <v>21</v>
      </c>
      <c r="J13">
        <v>1188</v>
      </c>
      <c r="K13">
        <v>56.571428571428569</v>
      </c>
      <c r="L13">
        <v>3666.1571428571428</v>
      </c>
      <c r="O13" s="250"/>
      <c r="P13" s="55" t="s">
        <v>85</v>
      </c>
      <c r="Q13" s="55">
        <f>'One Way Anova'!R14</f>
        <v>0</v>
      </c>
      <c r="R13" s="37"/>
      <c r="S13" s="37"/>
      <c r="T13" s="37"/>
      <c r="U13" s="37"/>
      <c r="V13" s="37"/>
      <c r="W13" s="37"/>
      <c r="X13" s="40"/>
    </row>
    <row r="14" spans="1:24" x14ac:dyDescent="0.2">
      <c r="A14" s="188" t="s">
        <v>22</v>
      </c>
      <c r="B14" s="4"/>
      <c r="C14">
        <v>11</v>
      </c>
      <c r="D14">
        <v>58</v>
      </c>
      <c r="E14">
        <v>90</v>
      </c>
      <c r="F14">
        <v>12</v>
      </c>
      <c r="H14" t="s">
        <v>31</v>
      </c>
      <c r="I14">
        <v>29</v>
      </c>
      <c r="J14">
        <v>1721</v>
      </c>
      <c r="K14">
        <v>59.344827586206897</v>
      </c>
      <c r="L14">
        <v>3676.8768472906404</v>
      </c>
      <c r="O14" s="250"/>
      <c r="P14" s="55" t="s">
        <v>86</v>
      </c>
      <c r="Q14" s="55">
        <f>K21</f>
        <v>2277.9190595483697</v>
      </c>
      <c r="R14" s="37"/>
      <c r="S14" s="37"/>
      <c r="T14" s="37"/>
      <c r="U14" s="37"/>
      <c r="V14" s="37"/>
      <c r="W14" s="37"/>
      <c r="X14" s="40"/>
    </row>
    <row r="15" spans="1:24" ht="16" thickBot="1" x14ac:dyDescent="0.25">
      <c r="A15" s="188" t="s">
        <v>23</v>
      </c>
      <c r="B15" s="4" t="s">
        <v>240</v>
      </c>
      <c r="C15">
        <v>19</v>
      </c>
      <c r="D15">
        <v>57</v>
      </c>
      <c r="E15">
        <v>78</v>
      </c>
      <c r="F15">
        <v>17</v>
      </c>
      <c r="H15" s="251" t="s">
        <v>32</v>
      </c>
      <c r="I15" s="251">
        <v>18</v>
      </c>
      <c r="J15" s="251">
        <v>263</v>
      </c>
      <c r="K15" s="251">
        <v>14.611111111111111</v>
      </c>
      <c r="L15" s="251">
        <v>48.251633986928105</v>
      </c>
      <c r="O15" s="250"/>
      <c r="P15" s="152" t="s">
        <v>164</v>
      </c>
      <c r="Q15" s="152">
        <v>3.74</v>
      </c>
      <c r="R15" s="37"/>
      <c r="S15" s="37"/>
      <c r="T15" s="37"/>
      <c r="U15" s="37"/>
      <c r="V15" s="37"/>
      <c r="W15" s="37"/>
      <c r="X15" s="40"/>
    </row>
    <row r="16" spans="1:24" ht="16" thickBot="1" x14ac:dyDescent="0.25">
      <c r="A16" s="190" t="s">
        <v>21</v>
      </c>
      <c r="B16" s="185" t="s">
        <v>240</v>
      </c>
      <c r="C16">
        <v>10</v>
      </c>
      <c r="D16">
        <v>33</v>
      </c>
      <c r="E16">
        <v>37</v>
      </c>
      <c r="F16">
        <v>15</v>
      </c>
      <c r="O16" s="250"/>
      <c r="P16" s="250"/>
    </row>
    <row r="17" spans="3:16" x14ac:dyDescent="0.2">
      <c r="C17">
        <v>11</v>
      </c>
      <c r="D17">
        <v>27</v>
      </c>
      <c r="E17">
        <v>73</v>
      </c>
      <c r="F17">
        <v>17</v>
      </c>
      <c r="O17" s="250"/>
      <c r="P17" s="250"/>
    </row>
    <row r="18" spans="3:16" ht="16" thickBot="1" x14ac:dyDescent="0.25">
      <c r="C18">
        <v>16</v>
      </c>
      <c r="D18">
        <v>32</v>
      </c>
      <c r="E18">
        <v>54</v>
      </c>
      <c r="F18">
        <v>8</v>
      </c>
      <c r="H18" t="s">
        <v>76</v>
      </c>
    </row>
    <row r="19" spans="3:16" x14ac:dyDescent="0.2">
      <c r="C19">
        <v>21</v>
      </c>
      <c r="D19">
        <v>44</v>
      </c>
      <c r="E19">
        <v>72</v>
      </c>
      <c r="F19">
        <v>20</v>
      </c>
      <c r="H19" s="252" t="s">
        <v>77</v>
      </c>
      <c r="I19" s="252" t="s">
        <v>25</v>
      </c>
      <c r="J19" s="252" t="s">
        <v>78</v>
      </c>
      <c r="K19" s="252" t="s">
        <v>26</v>
      </c>
      <c r="L19" s="252" t="s">
        <v>27</v>
      </c>
      <c r="M19" s="252" t="s">
        <v>79</v>
      </c>
      <c r="N19" s="252" t="s">
        <v>80</v>
      </c>
    </row>
    <row r="20" spans="3:16" x14ac:dyDescent="0.2">
      <c r="C20">
        <v>15</v>
      </c>
      <c r="D20">
        <v>27</v>
      </c>
      <c r="E20">
        <v>60</v>
      </c>
      <c r="F20">
        <v>14</v>
      </c>
      <c r="H20" t="s">
        <v>81</v>
      </c>
      <c r="I20">
        <v>34840.410916202643</v>
      </c>
      <c r="J20">
        <v>3</v>
      </c>
      <c r="K20">
        <v>11613.470305400881</v>
      </c>
      <c r="L20">
        <v>5.0982804927684384</v>
      </c>
      <c r="M20">
        <v>2.8324508149105594E-3</v>
      </c>
      <c r="N20">
        <v>2.7217833821453699</v>
      </c>
    </row>
    <row r="21" spans="3:16" x14ac:dyDescent="0.2">
      <c r="C21">
        <v>19</v>
      </c>
      <c r="D21">
        <v>24</v>
      </c>
      <c r="E21">
        <v>36</v>
      </c>
      <c r="F21">
        <v>10</v>
      </c>
      <c r="H21" t="s">
        <v>82</v>
      </c>
      <c r="I21">
        <v>177677.68664477282</v>
      </c>
      <c r="J21">
        <v>78</v>
      </c>
      <c r="K21">
        <v>2277.9190595483697</v>
      </c>
    </row>
    <row r="22" spans="3:16" x14ac:dyDescent="0.2">
      <c r="C22">
        <v>21</v>
      </c>
      <c r="D22">
        <v>24</v>
      </c>
      <c r="E22">
        <v>41</v>
      </c>
      <c r="F22">
        <v>9</v>
      </c>
    </row>
    <row r="23" spans="3:16" ht="16" thickBot="1" x14ac:dyDescent="0.25">
      <c r="D23">
        <v>20</v>
      </c>
      <c r="E23">
        <v>29</v>
      </c>
      <c r="F23">
        <v>7</v>
      </c>
      <c r="H23" s="251" t="s">
        <v>83</v>
      </c>
      <c r="I23" s="251">
        <v>212518.09756097547</v>
      </c>
      <c r="J23" s="251">
        <v>81</v>
      </c>
      <c r="K23" s="251"/>
      <c r="L23" s="251"/>
      <c r="M23" s="251"/>
      <c r="N23" s="251"/>
    </row>
    <row r="24" spans="3:16" x14ac:dyDescent="0.2">
      <c r="D24">
        <v>55</v>
      </c>
      <c r="E24">
        <v>35</v>
      </c>
      <c r="F24">
        <v>8</v>
      </c>
    </row>
    <row r="25" spans="3:16" x14ac:dyDescent="0.2">
      <c r="D25">
        <v>17</v>
      </c>
      <c r="E25">
        <v>38</v>
      </c>
      <c r="F25">
        <v>11</v>
      </c>
    </row>
    <row r="26" spans="3:16" x14ac:dyDescent="0.2">
      <c r="D26">
        <v>23</v>
      </c>
      <c r="E26">
        <v>21</v>
      </c>
      <c r="F26" s="16">
        <v>10</v>
      </c>
    </row>
    <row r="27" spans="3:16" x14ac:dyDescent="0.2">
      <c r="D27">
        <v>26</v>
      </c>
      <c r="E27">
        <v>25</v>
      </c>
    </row>
    <row r="28" spans="3:16" x14ac:dyDescent="0.2">
      <c r="D28">
        <v>17</v>
      </c>
      <c r="E28">
        <v>37</v>
      </c>
    </row>
    <row r="29" spans="3:16" x14ac:dyDescent="0.2">
      <c r="D29">
        <v>23</v>
      </c>
      <c r="E29">
        <v>28</v>
      </c>
    </row>
    <row r="30" spans="3:16" x14ac:dyDescent="0.2">
      <c r="E30">
        <v>11</v>
      </c>
    </row>
    <row r="31" spans="3:16" x14ac:dyDescent="0.2">
      <c r="E31">
        <v>16</v>
      </c>
    </row>
    <row r="32" spans="3:16" x14ac:dyDescent="0.2">
      <c r="E32">
        <v>23</v>
      </c>
    </row>
    <row r="33" spans="5:5" x14ac:dyDescent="0.2">
      <c r="E33">
        <v>8</v>
      </c>
    </row>
    <row r="34" spans="5:5" x14ac:dyDescent="0.2">
      <c r="E34">
        <v>8</v>
      </c>
    </row>
    <row r="35" spans="5:5" x14ac:dyDescent="0.2">
      <c r="E35">
        <v>16</v>
      </c>
    </row>
    <row r="36" spans="5:5" x14ac:dyDescent="0.2">
      <c r="E36">
        <v>17</v>
      </c>
    </row>
    <row r="37" spans="5:5" x14ac:dyDescent="0.2">
      <c r="E37">
        <v>15</v>
      </c>
    </row>
  </sheetData>
  <mergeCells count="2">
    <mergeCell ref="A10:B10"/>
    <mergeCell ref="P10:Q10"/>
  </mergeCells>
  <dataValidations count="1">
    <dataValidation type="list" allowBlank="1" showInputMessage="1" showErrorMessage="1" sqref="B7" xr:uid="{72A911FD-3529-4164-9258-B51F00582A91}">
      <formula1>"Reject The Null Hypothesis, Do Not Reject the Null Hypothesis"</formula1>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34"/>
  <sheetViews>
    <sheetView topLeftCell="A11" workbookViewId="0">
      <selection activeCell="C9" sqref="C9"/>
    </sheetView>
  </sheetViews>
  <sheetFormatPr baseColWidth="10" defaultColWidth="8.83203125" defaultRowHeight="15" x14ac:dyDescent="0.2"/>
  <cols>
    <col min="1" max="1" width="20.6640625" customWidth="1"/>
    <col min="2" max="2" width="29.6640625" customWidth="1"/>
  </cols>
  <sheetData>
    <row r="1" spans="1:22" ht="16" thickBot="1" x14ac:dyDescent="0.25">
      <c r="A1" s="1" t="s">
        <v>201</v>
      </c>
      <c r="B1" s="2"/>
      <c r="C1" s="198" t="s">
        <v>203</v>
      </c>
      <c r="D1" s="198" t="s">
        <v>204</v>
      </c>
      <c r="E1" s="198" t="s">
        <v>205</v>
      </c>
      <c r="F1" s="199" t="s">
        <v>206</v>
      </c>
    </row>
    <row r="2" spans="1:22" x14ac:dyDescent="0.2">
      <c r="A2" s="206" t="s">
        <v>8</v>
      </c>
      <c r="B2" s="212" t="s">
        <v>235</v>
      </c>
      <c r="C2" s="200">
        <v>1200</v>
      </c>
      <c r="D2" s="200">
        <v>713.7</v>
      </c>
      <c r="E2" s="201">
        <v>490</v>
      </c>
      <c r="F2" s="202">
        <v>207.9</v>
      </c>
    </row>
    <row r="3" spans="1:22" x14ac:dyDescent="0.2">
      <c r="A3" s="207" t="s">
        <v>5</v>
      </c>
      <c r="B3" s="214" t="s">
        <v>261</v>
      </c>
      <c r="C3" s="200">
        <v>1510</v>
      </c>
      <c r="D3" s="200">
        <v>1298</v>
      </c>
      <c r="E3" s="201">
        <v>360</v>
      </c>
      <c r="F3" s="202">
        <v>659</v>
      </c>
    </row>
    <row r="4" spans="1:22" x14ac:dyDescent="0.2">
      <c r="A4" s="207" t="s">
        <v>207</v>
      </c>
      <c r="B4" s="259">
        <f>L21</f>
        <v>0.75522391391311661</v>
      </c>
      <c r="C4" s="200">
        <v>1380.9</v>
      </c>
      <c r="D4" s="200">
        <v>1298</v>
      </c>
      <c r="E4" s="201">
        <v>878.8</v>
      </c>
      <c r="F4" s="202">
        <v>737</v>
      </c>
    </row>
    <row r="5" spans="1:22" x14ac:dyDescent="0.2">
      <c r="A5" s="210" t="s">
        <v>1</v>
      </c>
      <c r="B5" s="260"/>
      <c r="C5" s="200">
        <v>2500</v>
      </c>
      <c r="D5" s="200">
        <v>2846.5</v>
      </c>
      <c r="E5" s="201">
        <v>895</v>
      </c>
      <c r="F5" s="202">
        <v>872.7</v>
      </c>
    </row>
    <row r="6" spans="1:22" x14ac:dyDescent="0.2">
      <c r="A6" s="208"/>
      <c r="B6" s="258"/>
      <c r="C6" s="200">
        <v>1310</v>
      </c>
      <c r="D6" s="200">
        <v>974</v>
      </c>
      <c r="E6" s="201">
        <v>921</v>
      </c>
      <c r="F6" s="202">
        <v>1125</v>
      </c>
    </row>
    <row r="7" spans="1:22" ht="32" x14ac:dyDescent="0.2">
      <c r="A7" s="209" t="s">
        <v>208</v>
      </c>
      <c r="B7" s="215" t="s">
        <v>262</v>
      </c>
      <c r="C7" s="200">
        <v>2096</v>
      </c>
      <c r="D7" s="200">
        <v>1727.8</v>
      </c>
      <c r="E7" s="201">
        <v>2399.8000000000002</v>
      </c>
      <c r="F7" s="202">
        <v>1310</v>
      </c>
    </row>
    <row r="8" spans="1:22" ht="20.25" customHeight="1" thickBot="1" x14ac:dyDescent="0.25">
      <c r="A8" s="207" t="s">
        <v>9</v>
      </c>
      <c r="B8" s="215" t="s">
        <v>260</v>
      </c>
      <c r="C8" s="203">
        <v>1268.2</v>
      </c>
      <c r="D8" s="203">
        <v>942</v>
      </c>
      <c r="E8" s="204">
        <v>2465</v>
      </c>
      <c r="F8" s="205">
        <v>2565</v>
      </c>
      <c r="S8" t="s">
        <v>249</v>
      </c>
    </row>
    <row r="9" spans="1:22" ht="20.5" customHeight="1" x14ac:dyDescent="0.2">
      <c r="A9" s="211" t="s">
        <v>8</v>
      </c>
      <c r="B9" s="216" t="s">
        <v>263</v>
      </c>
      <c r="H9" t="s">
        <v>237</v>
      </c>
      <c r="N9" s="198" t="s">
        <v>203</v>
      </c>
      <c r="O9" s="198" t="s">
        <v>204</v>
      </c>
      <c r="P9" s="198" t="s">
        <v>205</v>
      </c>
      <c r="Q9" s="199" t="s">
        <v>206</v>
      </c>
      <c r="S9" s="198" t="s">
        <v>203</v>
      </c>
      <c r="T9" s="198" t="s">
        <v>204</v>
      </c>
      <c r="U9" s="198" t="s">
        <v>205</v>
      </c>
      <c r="V9" s="199" t="s">
        <v>206</v>
      </c>
    </row>
    <row r="10" spans="1:22" x14ac:dyDescent="0.2">
      <c r="A10" s="211" t="s">
        <v>9</v>
      </c>
      <c r="B10" s="213" t="s">
        <v>264</v>
      </c>
      <c r="N10" s="261">
        <f>MEDIAN(C2:C8)</f>
        <v>1380.9</v>
      </c>
      <c r="O10" s="261">
        <f>MEDIAN(D2:D8)</f>
        <v>1298</v>
      </c>
      <c r="P10" s="261">
        <f>MEDIAN(E2:E8)</f>
        <v>895</v>
      </c>
      <c r="Q10" s="261">
        <f>MEDIAN(F2:F8)</f>
        <v>872.7</v>
      </c>
      <c r="S10" s="261">
        <f>ABS($N$10-C2)</f>
        <v>180.90000000000009</v>
      </c>
      <c r="T10">
        <f>ABS($O$10-D2)</f>
        <v>584.29999999999995</v>
      </c>
      <c r="U10">
        <f>ABS($P$10-E2)</f>
        <v>405</v>
      </c>
      <c r="V10">
        <f>ABS($Q$10-F2)</f>
        <v>664.80000000000007</v>
      </c>
    </row>
    <row r="11" spans="1:22" ht="16" thickBot="1" x14ac:dyDescent="0.25">
      <c r="A11" s="188"/>
      <c r="B11" s="188"/>
      <c r="H11" t="s">
        <v>70</v>
      </c>
      <c r="S11" s="261">
        <f t="shared" ref="S11:S15" si="0">ABS($N$10-C3)</f>
        <v>129.09999999999991</v>
      </c>
      <c r="T11">
        <f>ABS($O$10-D3)</f>
        <v>0</v>
      </c>
      <c r="U11">
        <f t="shared" ref="U11:U16" si="1">ABS($P$10-E3)</f>
        <v>535</v>
      </c>
      <c r="V11">
        <f t="shared" ref="V11:V16" si="2">ABS($Q$10-F3)</f>
        <v>213.70000000000005</v>
      </c>
    </row>
    <row r="12" spans="1:22" x14ac:dyDescent="0.2">
      <c r="A12" s="207" t="s">
        <v>207</v>
      </c>
      <c r="B12" s="214">
        <f>W31</f>
        <v>0.23155296933079286</v>
      </c>
      <c r="H12" s="252" t="s">
        <v>71</v>
      </c>
      <c r="I12" s="252" t="s">
        <v>72</v>
      </c>
      <c r="J12" s="252" t="s">
        <v>73</v>
      </c>
      <c r="K12" s="252" t="s">
        <v>74</v>
      </c>
      <c r="L12" s="252" t="s">
        <v>75</v>
      </c>
      <c r="S12" s="261">
        <f t="shared" si="0"/>
        <v>0</v>
      </c>
      <c r="T12">
        <f t="shared" ref="T12:T16" si="3">ABS($O$10-D4)</f>
        <v>0</v>
      </c>
      <c r="U12">
        <f t="shared" si="1"/>
        <v>16.200000000000045</v>
      </c>
      <c r="V12">
        <f t="shared" si="2"/>
        <v>135.70000000000005</v>
      </c>
    </row>
    <row r="13" spans="1:22" ht="16" thickBot="1" x14ac:dyDescent="0.25">
      <c r="A13" s="207" t="s">
        <v>5</v>
      </c>
      <c r="B13" s="213" t="s">
        <v>265</v>
      </c>
      <c r="H13" t="s">
        <v>203</v>
      </c>
      <c r="I13">
        <v>7</v>
      </c>
      <c r="J13">
        <v>11265.1</v>
      </c>
      <c r="K13">
        <v>1609.3</v>
      </c>
      <c r="L13">
        <v>244284.43666666746</v>
      </c>
      <c r="S13" s="261">
        <f t="shared" si="0"/>
        <v>1119.0999999999999</v>
      </c>
      <c r="T13">
        <f t="shared" si="3"/>
        <v>1548.5</v>
      </c>
      <c r="U13">
        <f t="shared" si="1"/>
        <v>0</v>
      </c>
      <c r="V13">
        <f t="shared" si="2"/>
        <v>0</v>
      </c>
    </row>
    <row r="14" spans="1:22" ht="32" x14ac:dyDescent="0.2">
      <c r="A14" s="209" t="s">
        <v>208</v>
      </c>
      <c r="B14" s="212" t="s">
        <v>266</v>
      </c>
      <c r="H14" t="s">
        <v>204</v>
      </c>
      <c r="I14">
        <v>7</v>
      </c>
      <c r="J14">
        <v>9800</v>
      </c>
      <c r="K14">
        <v>1400</v>
      </c>
      <c r="L14">
        <v>513811.79666666687</v>
      </c>
      <c r="S14" s="261">
        <f t="shared" si="0"/>
        <v>70.900000000000091</v>
      </c>
      <c r="T14">
        <f t="shared" si="3"/>
        <v>324</v>
      </c>
      <c r="U14">
        <f t="shared" si="1"/>
        <v>26</v>
      </c>
      <c r="V14">
        <f t="shared" si="2"/>
        <v>252.29999999999995</v>
      </c>
    </row>
    <row r="15" spans="1:22" ht="13.5" customHeight="1" x14ac:dyDescent="0.2">
      <c r="A15" s="218" t="s">
        <v>2</v>
      </c>
      <c r="B15" s="188"/>
      <c r="H15" t="s">
        <v>205</v>
      </c>
      <c r="I15">
        <v>7</v>
      </c>
      <c r="J15">
        <v>8409.6</v>
      </c>
      <c r="K15">
        <v>1201.3714285714286</v>
      </c>
      <c r="L15">
        <v>753911.21904761868</v>
      </c>
      <c r="S15" s="261">
        <f t="shared" si="0"/>
        <v>715.09999999999991</v>
      </c>
      <c r="T15">
        <f t="shared" si="3"/>
        <v>429.79999999999995</v>
      </c>
      <c r="U15">
        <f t="shared" si="1"/>
        <v>1504.8000000000002</v>
      </c>
      <c r="V15">
        <f t="shared" si="2"/>
        <v>437.29999999999995</v>
      </c>
    </row>
    <row r="16" spans="1:22" ht="30" customHeight="1" thickBot="1" x14ac:dyDescent="0.25">
      <c r="A16" s="284" t="s">
        <v>209</v>
      </c>
      <c r="B16" s="216" t="s">
        <v>267</v>
      </c>
      <c r="H16" s="251" t="s">
        <v>206</v>
      </c>
      <c r="I16" s="251">
        <v>7</v>
      </c>
      <c r="J16" s="251">
        <v>7476.5999999999995</v>
      </c>
      <c r="K16" s="251">
        <v>1068.0857142857142</v>
      </c>
      <c r="L16" s="251">
        <v>559596.34142857138</v>
      </c>
      <c r="S16" s="261">
        <f>ABS($N$10-C8)</f>
        <v>112.70000000000005</v>
      </c>
      <c r="T16">
        <f t="shared" si="3"/>
        <v>356</v>
      </c>
      <c r="U16">
        <f t="shared" si="1"/>
        <v>1570</v>
      </c>
      <c r="V16">
        <f t="shared" si="2"/>
        <v>1692.3</v>
      </c>
    </row>
    <row r="17" spans="1:25" ht="30" customHeight="1" x14ac:dyDescent="0.2">
      <c r="A17" s="284"/>
      <c r="B17" s="213" t="s">
        <v>268</v>
      </c>
    </row>
    <row r="18" spans="1:25" x14ac:dyDescent="0.2">
      <c r="A18" s="210" t="s">
        <v>7</v>
      </c>
      <c r="B18" s="188"/>
    </row>
    <row r="19" spans="1:25" ht="17.5" customHeight="1" thickBot="1" x14ac:dyDescent="0.25">
      <c r="A19" s="284" t="s">
        <v>210</v>
      </c>
      <c r="B19" s="216" t="s">
        <v>203</v>
      </c>
      <c r="H19" t="s">
        <v>76</v>
      </c>
      <c r="S19" t="s">
        <v>237</v>
      </c>
    </row>
    <row r="20" spans="1:25" ht="15" customHeight="1" x14ac:dyDescent="0.2">
      <c r="A20" s="284"/>
      <c r="B20" s="216" t="s">
        <v>204</v>
      </c>
      <c r="H20" s="252" t="s">
        <v>77</v>
      </c>
      <c r="I20" s="252" t="s">
        <v>25</v>
      </c>
      <c r="J20" s="252" t="s">
        <v>78</v>
      </c>
      <c r="K20" s="252" t="s">
        <v>26</v>
      </c>
      <c r="L20" s="252" t="s">
        <v>27</v>
      </c>
      <c r="M20" s="252" t="s">
        <v>79</v>
      </c>
      <c r="N20" s="252" t="s">
        <v>80</v>
      </c>
    </row>
    <row r="21" spans="1:25" ht="17" thickBot="1" x14ac:dyDescent="0.25">
      <c r="A21" s="284"/>
      <c r="B21" s="216" t="s">
        <v>205</v>
      </c>
      <c r="H21" t="s">
        <v>81</v>
      </c>
      <c r="I21">
        <v>1173393.5439285673</v>
      </c>
      <c r="J21">
        <v>3</v>
      </c>
      <c r="K21">
        <v>391131.18130952242</v>
      </c>
      <c r="L21">
        <v>0.75522391391311661</v>
      </c>
      <c r="M21">
        <v>0.53017492000885591</v>
      </c>
      <c r="N21">
        <v>3.0087865704473615</v>
      </c>
      <c r="S21" t="s">
        <v>70</v>
      </c>
    </row>
    <row r="22" spans="1:25" ht="17" thickBot="1" x14ac:dyDescent="0.25">
      <c r="A22" s="285"/>
      <c r="B22" s="217" t="s">
        <v>206</v>
      </c>
      <c r="H22" t="s">
        <v>82</v>
      </c>
      <c r="I22">
        <v>12429622.762857145</v>
      </c>
      <c r="J22">
        <v>24</v>
      </c>
      <c r="K22">
        <v>517900.94845238101</v>
      </c>
      <c r="S22" s="252" t="s">
        <v>71</v>
      </c>
      <c r="T22" s="252" t="s">
        <v>72</v>
      </c>
      <c r="U22" s="252" t="s">
        <v>73</v>
      </c>
      <c r="V22" s="252" t="s">
        <v>74</v>
      </c>
      <c r="W22" s="252" t="s">
        <v>75</v>
      </c>
    </row>
    <row r="23" spans="1:25" x14ac:dyDescent="0.2">
      <c r="S23" t="s">
        <v>203</v>
      </c>
      <c r="T23">
        <v>7</v>
      </c>
      <c r="U23">
        <v>2327.8000000000002</v>
      </c>
      <c r="V23">
        <v>332.54285714285714</v>
      </c>
      <c r="W23">
        <v>176129.87952380953</v>
      </c>
    </row>
    <row r="24" spans="1:25" ht="16" thickBot="1" x14ac:dyDescent="0.25">
      <c r="H24" s="251" t="s">
        <v>83</v>
      </c>
      <c r="I24" s="251">
        <v>13603016.306785712</v>
      </c>
      <c r="J24" s="251">
        <v>27</v>
      </c>
      <c r="K24" s="251"/>
      <c r="L24" s="251"/>
      <c r="M24" s="251"/>
      <c r="N24" s="251"/>
      <c r="S24" t="s">
        <v>204</v>
      </c>
      <c r="T24">
        <v>7</v>
      </c>
      <c r="U24">
        <v>3242.6000000000004</v>
      </c>
      <c r="V24">
        <v>463.22857142857146</v>
      </c>
      <c r="W24">
        <v>275605.63571428566</v>
      </c>
    </row>
    <row r="25" spans="1:25" x14ac:dyDescent="0.2">
      <c r="S25" t="s">
        <v>205</v>
      </c>
      <c r="T25">
        <v>7</v>
      </c>
      <c r="U25">
        <v>4057</v>
      </c>
      <c r="V25">
        <v>579.57142857142856</v>
      </c>
      <c r="W25">
        <v>471531.69904761907</v>
      </c>
    </row>
    <row r="26" spans="1:25" ht="16" thickBot="1" x14ac:dyDescent="0.25">
      <c r="S26" s="251" t="s">
        <v>206</v>
      </c>
      <c r="T26" s="251">
        <v>7</v>
      </c>
      <c r="U26" s="251">
        <v>3396.1</v>
      </c>
      <c r="V26" s="251">
        <v>485.15714285714284</v>
      </c>
      <c r="W26" s="251">
        <v>329527.48619047616</v>
      </c>
    </row>
    <row r="29" spans="1:25" ht="16" thickBot="1" x14ac:dyDescent="0.25">
      <c r="S29" t="s">
        <v>76</v>
      </c>
    </row>
    <row r="30" spans="1:25" x14ac:dyDescent="0.2">
      <c r="S30" s="252" t="s">
        <v>77</v>
      </c>
      <c r="T30" s="252" t="s">
        <v>25</v>
      </c>
      <c r="U30" s="252" t="s">
        <v>78</v>
      </c>
      <c r="V30" s="252" t="s">
        <v>26</v>
      </c>
      <c r="W30" s="252" t="s">
        <v>27</v>
      </c>
      <c r="X30" s="252" t="s">
        <v>79</v>
      </c>
      <c r="Y30" s="252" t="s">
        <v>80</v>
      </c>
    </row>
    <row r="31" spans="1:25" x14ac:dyDescent="0.2">
      <c r="S31" t="s">
        <v>81</v>
      </c>
      <c r="T31">
        <v>217566.24964285735</v>
      </c>
      <c r="U31">
        <v>3</v>
      </c>
      <c r="V31">
        <v>72522.083214285783</v>
      </c>
      <c r="W31">
        <v>0.23155296933079286</v>
      </c>
      <c r="X31">
        <v>0.87348952015490833</v>
      </c>
      <c r="Y31">
        <v>3.0087865704473615</v>
      </c>
    </row>
    <row r="32" spans="1:25" x14ac:dyDescent="0.2">
      <c r="S32" t="s">
        <v>82</v>
      </c>
      <c r="T32">
        <v>7516768.2028571423</v>
      </c>
      <c r="U32">
        <v>24</v>
      </c>
      <c r="V32">
        <v>313198.67511904758</v>
      </c>
    </row>
    <row r="34" spans="19:25" ht="16" thickBot="1" x14ac:dyDescent="0.25">
      <c r="S34" s="251" t="s">
        <v>83</v>
      </c>
      <c r="T34" s="251">
        <v>7734334.4524999997</v>
      </c>
      <c r="U34" s="251">
        <v>27</v>
      </c>
      <c r="V34" s="251"/>
      <c r="W34" s="251"/>
      <c r="X34" s="251"/>
      <c r="Y34" s="251"/>
    </row>
  </sheetData>
  <sortState xmlns:xlrd2="http://schemas.microsoft.com/office/spreadsheetml/2017/richdata2" ref="F2:F8">
    <sortCondition ref="F2:F8"/>
  </sortState>
  <mergeCells count="2">
    <mergeCell ref="A16:A17"/>
    <mergeCell ref="A19:A22"/>
  </mergeCells>
  <dataValidations count="2">
    <dataValidation type="list" allowBlank="1" showInputMessage="1" showErrorMessage="1" sqref="B16" xr:uid="{DD136D4E-A607-40D3-91E0-E7C101E31D59}">
      <formula1>"Violation, No violation"</formula1>
    </dataValidation>
    <dataValidation type="list" allowBlank="1" showInputMessage="1" showErrorMessage="1" sqref="B17" xr:uid="{58FE5F1B-BC99-48CA-941F-2438EEBF555C}">
      <formula1>"valid, not valid"</formula1>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8"/>
  <sheetViews>
    <sheetView zoomScale="99" workbookViewId="0">
      <selection activeCell="C13" sqref="C13"/>
    </sheetView>
  </sheetViews>
  <sheetFormatPr baseColWidth="10" defaultColWidth="8.83203125" defaultRowHeight="15" x14ac:dyDescent="0.2"/>
  <cols>
    <col min="1" max="1" width="40.83203125" customWidth="1"/>
    <col min="2" max="2" width="26.6640625" customWidth="1"/>
    <col min="3" max="3" width="5.1640625" bestFit="1" customWidth="1"/>
    <col min="4" max="4" width="17.6640625" customWidth="1"/>
    <col min="5" max="5" width="9.1640625" customWidth="1"/>
    <col min="6" max="6" width="7.1640625" bestFit="1" customWidth="1"/>
    <col min="7" max="7" width="7.83203125" bestFit="1" customWidth="1"/>
    <col min="8" max="8" width="7.1640625" bestFit="1" customWidth="1"/>
  </cols>
  <sheetData>
    <row r="1" spans="1:8" x14ac:dyDescent="0.2">
      <c r="A1" s="1">
        <v>11.3</v>
      </c>
      <c r="B1" s="2"/>
      <c r="F1" s="286" t="s">
        <v>226</v>
      </c>
      <c r="G1" s="286"/>
      <c r="H1" s="286"/>
    </row>
    <row r="2" spans="1:8" x14ac:dyDescent="0.2">
      <c r="A2" s="3" t="s">
        <v>28</v>
      </c>
      <c r="B2" s="5"/>
      <c r="D2" s="247" t="s">
        <v>220</v>
      </c>
      <c r="E2" s="247" t="s">
        <v>234</v>
      </c>
      <c r="F2" s="248" t="s">
        <v>223</v>
      </c>
      <c r="G2" s="248" t="s">
        <v>224</v>
      </c>
      <c r="H2" s="249" t="s">
        <v>225</v>
      </c>
    </row>
    <row r="3" spans="1:8" ht="16.5" customHeight="1" x14ac:dyDescent="0.2">
      <c r="A3" s="20" t="s">
        <v>227</v>
      </c>
      <c r="B3" s="4" t="s">
        <v>91</v>
      </c>
      <c r="D3" s="240" t="s">
        <v>221</v>
      </c>
      <c r="E3" s="245">
        <v>4.8</v>
      </c>
      <c r="F3" s="221">
        <v>5</v>
      </c>
      <c r="G3" s="221">
        <v>6</v>
      </c>
      <c r="H3" s="221">
        <v>6.3</v>
      </c>
    </row>
    <row r="4" spans="1:8" x14ac:dyDescent="0.2">
      <c r="A4" s="220" t="s">
        <v>232</v>
      </c>
      <c r="B4" s="181">
        <f>K46</f>
        <v>0.23394201202637407</v>
      </c>
      <c r="D4" s="241" t="s">
        <v>221</v>
      </c>
      <c r="E4" s="243">
        <v>4.4000000000000004</v>
      </c>
      <c r="F4" s="221">
        <v>5.2</v>
      </c>
      <c r="G4" s="221">
        <v>6.2</v>
      </c>
      <c r="H4" s="221">
        <v>6.4</v>
      </c>
    </row>
    <row r="5" spans="1:8" x14ac:dyDescent="0.2">
      <c r="A5" s="11" t="s">
        <v>228</v>
      </c>
      <c r="B5" s="4" t="s">
        <v>185</v>
      </c>
      <c r="D5" s="241" t="s">
        <v>221</v>
      </c>
      <c r="E5" s="243">
        <v>3.2</v>
      </c>
      <c r="F5" s="221">
        <v>5.6</v>
      </c>
      <c r="G5" s="221">
        <v>4.7</v>
      </c>
      <c r="H5" s="221">
        <v>5.6</v>
      </c>
    </row>
    <row r="6" spans="1:8" x14ac:dyDescent="0.2">
      <c r="A6" s="220" t="s">
        <v>232</v>
      </c>
      <c r="B6" s="181">
        <f>L45</f>
        <v>2.9011195838408388</v>
      </c>
      <c r="D6" s="241" t="s">
        <v>221</v>
      </c>
      <c r="E6" s="243">
        <v>3.9</v>
      </c>
      <c r="F6" s="221">
        <v>4.3</v>
      </c>
      <c r="G6" s="221">
        <v>5.5</v>
      </c>
      <c r="H6" s="221">
        <v>4.8</v>
      </c>
    </row>
    <row r="7" spans="1:8" x14ac:dyDescent="0.2">
      <c r="A7" s="11" t="s">
        <v>229</v>
      </c>
      <c r="B7" s="4" t="s">
        <v>91</v>
      </c>
      <c r="D7" s="241" t="s">
        <v>221</v>
      </c>
      <c r="E7" s="243">
        <v>4.4000000000000004</v>
      </c>
      <c r="F7" s="221">
        <v>4.8</v>
      </c>
      <c r="G7" s="221">
        <v>5.8</v>
      </c>
      <c r="H7" s="221">
        <v>5.8</v>
      </c>
    </row>
    <row r="8" spans="1:8" x14ac:dyDescent="0.2">
      <c r="A8" s="220" t="s">
        <v>232</v>
      </c>
      <c r="B8" s="181">
        <f>K44</f>
        <v>0.92623266053877962</v>
      </c>
      <c r="D8" s="242" t="s">
        <v>222</v>
      </c>
      <c r="E8" s="244">
        <v>4.4000000000000004</v>
      </c>
      <c r="F8" s="222">
        <v>4.9000000000000004</v>
      </c>
      <c r="G8" s="222">
        <v>5.8</v>
      </c>
      <c r="H8" s="222">
        <v>6</v>
      </c>
    </row>
    <row r="9" spans="1:8" ht="18" customHeight="1" x14ac:dyDescent="0.2">
      <c r="A9" s="3" t="s">
        <v>7</v>
      </c>
      <c r="B9" s="5"/>
      <c r="D9" s="242" t="s">
        <v>222</v>
      </c>
      <c r="E9" s="244">
        <v>4.2</v>
      </c>
      <c r="F9" s="222">
        <v>5.3</v>
      </c>
      <c r="G9" s="222">
        <v>6.2</v>
      </c>
      <c r="H9" s="222">
        <v>4.9000000000000004</v>
      </c>
    </row>
    <row r="10" spans="1:8" x14ac:dyDescent="0.2">
      <c r="A10" s="6"/>
      <c r="B10" s="5" t="s">
        <v>196</v>
      </c>
      <c r="D10" s="242" t="s">
        <v>222</v>
      </c>
      <c r="E10" s="244">
        <v>3.8</v>
      </c>
      <c r="F10" s="222">
        <v>5.7</v>
      </c>
      <c r="G10" s="222">
        <v>6.3</v>
      </c>
      <c r="H10" s="222">
        <v>4.5999999999999996</v>
      </c>
    </row>
    <row r="11" spans="1:8" x14ac:dyDescent="0.2">
      <c r="D11" s="242" t="s">
        <v>222</v>
      </c>
      <c r="E11" s="244">
        <v>3.7</v>
      </c>
      <c r="F11" s="222">
        <v>5.4</v>
      </c>
      <c r="G11" s="222">
        <v>6.5</v>
      </c>
      <c r="H11" s="222">
        <v>5.6</v>
      </c>
    </row>
    <row r="12" spans="1:8" x14ac:dyDescent="0.2">
      <c r="D12" s="246" t="s">
        <v>222</v>
      </c>
      <c r="E12" s="244">
        <v>3.9</v>
      </c>
      <c r="F12" s="222">
        <v>4.8</v>
      </c>
      <c r="G12" s="222">
        <v>5.5</v>
      </c>
      <c r="H12" s="222">
        <v>5.5</v>
      </c>
    </row>
    <row r="13" spans="1:8" x14ac:dyDescent="0.2">
      <c r="B13" t="str">
        <f>E2</f>
        <v>None</v>
      </c>
      <c r="C13">
        <f>AVERAGE(E3:E12)</f>
        <v>4.0699999999999994</v>
      </c>
    </row>
    <row r="14" spans="1:8" x14ac:dyDescent="0.2">
      <c r="B14" s="24" t="str">
        <f>F2</f>
        <v>Low</v>
      </c>
      <c r="C14" s="261">
        <f>AVERAGE(F3:F12)</f>
        <v>5.0999999999999996</v>
      </c>
    </row>
    <row r="15" spans="1:8" x14ac:dyDescent="0.2">
      <c r="B15" s="24" t="str">
        <f>G2</f>
        <v>Med</v>
      </c>
      <c r="C15" s="261">
        <f>AVERAGE(G3:G12)</f>
        <v>5.85</v>
      </c>
    </row>
    <row r="16" spans="1:8" x14ac:dyDescent="0.2">
      <c r="B16" t="str">
        <f>H2</f>
        <v>High</v>
      </c>
      <c r="C16" s="261">
        <f>AVERAGE(H3:I12)</f>
        <v>5.55</v>
      </c>
    </row>
    <row r="20" spans="6:11" x14ac:dyDescent="0.2">
      <c r="F20" t="s">
        <v>269</v>
      </c>
    </row>
    <row r="22" spans="6:11" x14ac:dyDescent="0.2">
      <c r="F22" t="s">
        <v>70</v>
      </c>
      <c r="G22" t="s">
        <v>234</v>
      </c>
      <c r="H22" t="s">
        <v>223</v>
      </c>
      <c r="I22" t="s">
        <v>224</v>
      </c>
      <c r="J22" t="s">
        <v>225</v>
      </c>
      <c r="K22" t="s">
        <v>83</v>
      </c>
    </row>
    <row r="23" spans="6:11" ht="16" thickBot="1" x14ac:dyDescent="0.25">
      <c r="F23" s="262" t="s">
        <v>221</v>
      </c>
      <c r="G23" s="262"/>
      <c r="H23" s="262"/>
      <c r="I23" s="262"/>
      <c r="J23" s="262"/>
      <c r="K23" s="262"/>
    </row>
    <row r="24" spans="6:11" x14ac:dyDescent="0.2">
      <c r="F24" t="s">
        <v>72</v>
      </c>
      <c r="G24">
        <v>5</v>
      </c>
      <c r="H24">
        <v>5</v>
      </c>
      <c r="I24">
        <v>5</v>
      </c>
      <c r="J24">
        <v>5</v>
      </c>
      <c r="K24">
        <v>20</v>
      </c>
    </row>
    <row r="25" spans="6:11" x14ac:dyDescent="0.2">
      <c r="F25" t="s">
        <v>73</v>
      </c>
      <c r="G25">
        <v>20.699999999999996</v>
      </c>
      <c r="H25">
        <v>24.9</v>
      </c>
      <c r="I25">
        <v>28.2</v>
      </c>
      <c r="J25">
        <v>28.9</v>
      </c>
      <c r="K25">
        <v>102.7</v>
      </c>
    </row>
    <row r="26" spans="6:11" x14ac:dyDescent="0.2">
      <c r="F26" t="s">
        <v>74</v>
      </c>
      <c r="G26">
        <v>4.1399999999999988</v>
      </c>
      <c r="H26">
        <v>4.9799999999999995</v>
      </c>
      <c r="I26">
        <v>5.64</v>
      </c>
      <c r="J26">
        <v>5.7799999999999994</v>
      </c>
      <c r="K26">
        <v>5.1349999999999998</v>
      </c>
    </row>
    <row r="27" spans="6:11" x14ac:dyDescent="0.2">
      <c r="F27" t="s">
        <v>75</v>
      </c>
      <c r="G27">
        <v>0.37800000000001077</v>
      </c>
      <c r="H27">
        <v>0.23199999999999996</v>
      </c>
      <c r="I27">
        <v>0.34299999999999997</v>
      </c>
      <c r="J27">
        <v>0.41200000000000014</v>
      </c>
      <c r="K27">
        <v>0.73081578947368908</v>
      </c>
    </row>
    <row r="29" spans="6:11" ht="16" thickBot="1" x14ac:dyDescent="0.25">
      <c r="F29" s="262" t="s">
        <v>222</v>
      </c>
      <c r="G29" s="262"/>
      <c r="H29" s="262"/>
      <c r="I29" s="262"/>
      <c r="J29" s="262"/>
      <c r="K29" s="262"/>
    </row>
    <row r="30" spans="6:11" x14ac:dyDescent="0.2">
      <c r="F30" t="s">
        <v>72</v>
      </c>
      <c r="G30">
        <v>5</v>
      </c>
      <c r="H30">
        <v>5</v>
      </c>
      <c r="I30">
        <v>5</v>
      </c>
      <c r="J30">
        <v>5</v>
      </c>
      <c r="K30">
        <v>20</v>
      </c>
    </row>
    <row r="31" spans="6:11" x14ac:dyDescent="0.2">
      <c r="F31" t="s">
        <v>73</v>
      </c>
      <c r="G31">
        <v>20</v>
      </c>
      <c r="H31">
        <v>26.099999999999998</v>
      </c>
      <c r="I31">
        <v>30.3</v>
      </c>
      <c r="J31">
        <v>26.6</v>
      </c>
      <c r="K31">
        <v>103</v>
      </c>
    </row>
    <row r="32" spans="6:11" x14ac:dyDescent="0.2">
      <c r="F32" t="s">
        <v>74</v>
      </c>
      <c r="G32">
        <v>4</v>
      </c>
      <c r="H32">
        <v>5.22</v>
      </c>
      <c r="I32">
        <v>6.0600000000000005</v>
      </c>
      <c r="J32">
        <v>5.32</v>
      </c>
      <c r="K32">
        <v>5.15</v>
      </c>
    </row>
    <row r="33" spans="6:12" x14ac:dyDescent="0.2">
      <c r="F33" t="s">
        <v>75</v>
      </c>
      <c r="G33">
        <v>8.5000000000000075E-2</v>
      </c>
      <c r="H33">
        <v>0.13700000000000007</v>
      </c>
      <c r="I33">
        <v>0.16300000000000001</v>
      </c>
      <c r="J33">
        <v>0.317</v>
      </c>
      <c r="K33">
        <v>0.7226315789473694</v>
      </c>
    </row>
    <row r="35" spans="6:12" ht="16" thickBot="1" x14ac:dyDescent="0.25">
      <c r="F35" s="262" t="s">
        <v>83</v>
      </c>
      <c r="G35" s="262"/>
      <c r="H35" s="262"/>
      <c r="I35" s="262"/>
    </row>
    <row r="36" spans="6:12" x14ac:dyDescent="0.2">
      <c r="F36" t="s">
        <v>72</v>
      </c>
      <c r="G36">
        <v>10</v>
      </c>
      <c r="H36">
        <v>10</v>
      </c>
      <c r="I36">
        <v>10</v>
      </c>
      <c r="J36">
        <v>10</v>
      </c>
    </row>
    <row r="37" spans="6:12" x14ac:dyDescent="0.2">
      <c r="F37" t="s">
        <v>73</v>
      </c>
      <c r="G37">
        <v>40.699999999999996</v>
      </c>
      <c r="H37">
        <v>51</v>
      </c>
      <c r="I37">
        <v>58.5</v>
      </c>
      <c r="J37">
        <v>55.5</v>
      </c>
    </row>
    <row r="38" spans="6:12" x14ac:dyDescent="0.2">
      <c r="F38" t="s">
        <v>74</v>
      </c>
      <c r="G38">
        <v>4.0699999999999994</v>
      </c>
      <c r="H38">
        <v>5.0999999999999996</v>
      </c>
      <c r="I38">
        <v>5.85</v>
      </c>
      <c r="J38">
        <v>5.55</v>
      </c>
    </row>
    <row r="39" spans="6:12" x14ac:dyDescent="0.2">
      <c r="F39" t="s">
        <v>75</v>
      </c>
      <c r="G39">
        <v>0.21122222222222969</v>
      </c>
      <c r="H39">
        <v>0.18000000000000005</v>
      </c>
      <c r="I39">
        <v>0.27388888888888885</v>
      </c>
      <c r="J39">
        <v>0.382777777777777</v>
      </c>
    </row>
    <row r="42" spans="6:12" ht="16" thickBot="1" x14ac:dyDescent="0.25">
      <c r="F42" t="s">
        <v>76</v>
      </c>
    </row>
    <row r="43" spans="6:12" x14ac:dyDescent="0.2">
      <c r="F43" s="252" t="s">
        <v>77</v>
      </c>
      <c r="G43" s="252" t="s">
        <v>25</v>
      </c>
      <c r="H43" s="252" t="s">
        <v>78</v>
      </c>
      <c r="I43" s="252" t="s">
        <v>26</v>
      </c>
      <c r="J43" s="252" t="s">
        <v>27</v>
      </c>
      <c r="K43" s="252" t="s">
        <v>79</v>
      </c>
      <c r="L43" s="252" t="s">
        <v>80</v>
      </c>
    </row>
    <row r="44" spans="6:12" x14ac:dyDescent="0.2">
      <c r="F44" t="s">
        <v>270</v>
      </c>
      <c r="G44">
        <v>2.2499999999929798E-3</v>
      </c>
      <c r="H44">
        <v>1</v>
      </c>
      <c r="I44">
        <v>2.2499999999929798E-3</v>
      </c>
      <c r="J44">
        <v>8.708272859189084E-3</v>
      </c>
      <c r="K44">
        <v>0.92623266053877962</v>
      </c>
      <c r="L44">
        <v>4.1490974456995477</v>
      </c>
    </row>
    <row r="45" spans="6:12" x14ac:dyDescent="0.2">
      <c r="F45" t="s">
        <v>271</v>
      </c>
      <c r="G45">
        <v>18.186749999999993</v>
      </c>
      <c r="H45">
        <v>3</v>
      </c>
      <c r="I45">
        <v>6.0622499999999979</v>
      </c>
      <c r="J45">
        <v>23.462989840348321</v>
      </c>
      <c r="K45">
        <v>3.2148436045782036E-8</v>
      </c>
      <c r="L45">
        <v>2.9011195838408388</v>
      </c>
    </row>
    <row r="46" spans="6:12" x14ac:dyDescent="0.2">
      <c r="F46" t="s">
        <v>89</v>
      </c>
      <c r="G46">
        <v>1.1607500000000073</v>
      </c>
      <c r="H46">
        <v>3</v>
      </c>
      <c r="I46">
        <v>0.38691666666666907</v>
      </c>
      <c r="J46">
        <v>1.4975004031607897</v>
      </c>
      <c r="K46">
        <v>0.23394201202637407</v>
      </c>
      <c r="L46">
        <v>2.9011195838408388</v>
      </c>
    </row>
    <row r="47" spans="6:12" x14ac:dyDescent="0.2">
      <c r="F47" t="s">
        <v>90</v>
      </c>
      <c r="G47">
        <v>8.2680000000000007</v>
      </c>
      <c r="H47">
        <v>32</v>
      </c>
      <c r="I47">
        <v>0.25837500000000002</v>
      </c>
    </row>
    <row r="49" spans="6:12" ht="16" thickBot="1" x14ac:dyDescent="0.25">
      <c r="F49" s="251" t="s">
        <v>83</v>
      </c>
      <c r="G49" s="251">
        <v>27.617749999999994</v>
      </c>
      <c r="H49" s="251">
        <v>39</v>
      </c>
      <c r="I49" s="251"/>
      <c r="J49" s="251"/>
      <c r="K49" s="251"/>
      <c r="L49" s="251"/>
    </row>
    <row r="78" spans="19:22" ht="16" thickBot="1" x14ac:dyDescent="0.25">
      <c r="S78" s="262"/>
      <c r="T78" s="262"/>
      <c r="U78" s="262"/>
      <c r="V78" s="262"/>
    </row>
  </sheetData>
  <mergeCells count="1">
    <mergeCell ref="F1:H1"/>
  </mergeCells>
  <dataValidations count="1">
    <dataValidation type="list" allowBlank="1" showInputMessage="1" showErrorMessage="1" sqref="B7 B3 B5" xr:uid="{F16C3BB5-0FC2-415F-B9BF-EF89D8C405D0}">
      <formula1>"Yes, No"</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9BF59-93E5-4992-9301-F3B926D804B7}">
  <sheetPr>
    <tabColor rgb="FFFFFF00"/>
  </sheetPr>
  <dimension ref="A1:I24"/>
  <sheetViews>
    <sheetView workbookViewId="0">
      <selection activeCell="F12" sqref="F12"/>
    </sheetView>
  </sheetViews>
  <sheetFormatPr baseColWidth="10" defaultColWidth="9.1640625" defaultRowHeight="15" x14ac:dyDescent="0.2"/>
  <cols>
    <col min="1" max="4" width="9.1640625" style="93"/>
    <col min="5" max="5" width="21.6640625" style="93" bestFit="1" customWidth="1"/>
    <col min="6" max="6" width="18" style="93" customWidth="1"/>
    <col min="7" max="7" width="2.33203125" style="93" customWidth="1"/>
    <col min="8" max="8" width="12.6640625" style="93" customWidth="1"/>
    <col min="9" max="16384" width="9.1640625" style="93"/>
  </cols>
  <sheetData>
    <row r="1" spans="1:6" x14ac:dyDescent="0.2">
      <c r="A1" s="23" t="s">
        <v>105</v>
      </c>
      <c r="B1" s="23" t="s">
        <v>106</v>
      </c>
      <c r="C1" s="88" t="s">
        <v>63</v>
      </c>
      <c r="E1" s="92" t="s">
        <v>107</v>
      </c>
    </row>
    <row r="2" spans="1:6" x14ac:dyDescent="0.2">
      <c r="A2" s="24">
        <v>200</v>
      </c>
      <c r="B2" s="24">
        <v>121.49</v>
      </c>
      <c r="C2" s="89">
        <f>A2-B2</f>
        <v>78.510000000000005</v>
      </c>
    </row>
    <row r="3" spans="1:6" x14ac:dyDescent="0.2">
      <c r="A3" s="24">
        <v>304</v>
      </c>
      <c r="B3" s="24">
        <v>235.88</v>
      </c>
      <c r="C3" s="89">
        <f t="shared" ref="C3:C17" si="0">A3-B3</f>
        <v>68.12</v>
      </c>
      <c r="E3" s="277" t="s">
        <v>33</v>
      </c>
      <c r="F3" s="277"/>
    </row>
    <row r="4" spans="1:6" x14ac:dyDescent="0.2">
      <c r="A4" s="24">
        <v>179.35</v>
      </c>
      <c r="B4" s="24">
        <v>107.61</v>
      </c>
      <c r="C4" s="89">
        <f t="shared" si="0"/>
        <v>71.739999999999995</v>
      </c>
      <c r="E4" s="94" t="s">
        <v>64</v>
      </c>
      <c r="F4" s="94">
        <v>0</v>
      </c>
    </row>
    <row r="5" spans="1:6" x14ac:dyDescent="0.2">
      <c r="A5" s="24">
        <v>72</v>
      </c>
      <c r="B5" s="24">
        <v>59.99</v>
      </c>
      <c r="C5" s="89">
        <f t="shared" si="0"/>
        <v>12.009999999999998</v>
      </c>
      <c r="E5" s="94" t="s">
        <v>35</v>
      </c>
      <c r="F5" s="94">
        <v>0.05</v>
      </c>
    </row>
    <row r="6" spans="1:6" x14ac:dyDescent="0.2">
      <c r="A6" s="24">
        <v>277.14999999999998</v>
      </c>
      <c r="B6" s="24">
        <v>146.99</v>
      </c>
      <c r="C6" s="89">
        <f t="shared" si="0"/>
        <v>130.15999999999997</v>
      </c>
    </row>
    <row r="7" spans="1:6" x14ac:dyDescent="0.2">
      <c r="A7" s="24">
        <v>73.75</v>
      </c>
      <c r="B7" s="24">
        <v>63.49</v>
      </c>
      <c r="C7" s="89">
        <f t="shared" si="0"/>
        <v>10.259999999999998</v>
      </c>
      <c r="E7" s="278" t="s">
        <v>41</v>
      </c>
      <c r="F7" s="278"/>
    </row>
    <row r="8" spans="1:6" x14ac:dyDescent="0.2">
      <c r="A8" s="24">
        <v>171.65</v>
      </c>
      <c r="B8" s="24">
        <v>138.99</v>
      </c>
      <c r="C8" s="89">
        <f t="shared" si="0"/>
        <v>32.659999999999997</v>
      </c>
      <c r="E8" s="95" t="s">
        <v>37</v>
      </c>
      <c r="F8" s="95">
        <f>COUNT(A:$A)</f>
        <v>16</v>
      </c>
    </row>
    <row r="9" spans="1:6" x14ac:dyDescent="0.2">
      <c r="A9" s="24">
        <v>65</v>
      </c>
      <c r="B9" s="24">
        <v>42.26</v>
      </c>
      <c r="C9" s="89">
        <f t="shared" si="0"/>
        <v>22.740000000000002</v>
      </c>
      <c r="E9" s="95" t="s">
        <v>65</v>
      </c>
      <c r="F9" s="96">
        <f>AVERAGE($C:$C)</f>
        <v>42.601249999999993</v>
      </c>
    </row>
    <row r="10" spans="1:6" x14ac:dyDescent="0.2">
      <c r="A10" s="24">
        <v>47.45</v>
      </c>
      <c r="B10" s="24">
        <v>65.989999999999995</v>
      </c>
      <c r="C10" s="89">
        <f t="shared" si="0"/>
        <v>-18.539999999999992</v>
      </c>
      <c r="E10" s="95" t="s">
        <v>66</v>
      </c>
      <c r="F10" s="95">
        <f>F8 - 1</f>
        <v>15</v>
      </c>
    </row>
    <row r="11" spans="1:6" ht="15" customHeight="1" x14ac:dyDescent="0.25">
      <c r="A11" s="24">
        <v>106</v>
      </c>
      <c r="B11" s="24">
        <v>37.83</v>
      </c>
      <c r="C11" s="89">
        <f t="shared" si="0"/>
        <v>68.17</v>
      </c>
      <c r="E11" s="97" t="s">
        <v>108</v>
      </c>
      <c r="F11" s="96">
        <f>SQRT(DEVSQ(C2:C17)/F10)</f>
        <v>43.797044173475143</v>
      </c>
    </row>
    <row r="12" spans="1:6" x14ac:dyDescent="0.2">
      <c r="A12" s="24">
        <v>55.95</v>
      </c>
      <c r="B12" s="24">
        <v>102.99</v>
      </c>
      <c r="C12" s="89">
        <f t="shared" si="0"/>
        <v>-47.039999999999992</v>
      </c>
      <c r="E12" s="95" t="s">
        <v>54</v>
      </c>
      <c r="F12" s="96">
        <f>F11/SQRT(F8)</f>
        <v>10.949261043368786</v>
      </c>
    </row>
    <row r="13" spans="1:6" x14ac:dyDescent="0.2">
      <c r="A13" s="24">
        <v>224.4</v>
      </c>
      <c r="B13" s="24">
        <v>144.99</v>
      </c>
      <c r="C13" s="89">
        <f t="shared" si="0"/>
        <v>79.41</v>
      </c>
      <c r="E13" s="98" t="s">
        <v>109</v>
      </c>
      <c r="F13" s="99">
        <f>(F9 - F4)/F12</f>
        <v>3.8907876824985044</v>
      </c>
    </row>
    <row r="14" spans="1:6" x14ac:dyDescent="0.2">
      <c r="A14" s="24">
        <v>223.2</v>
      </c>
      <c r="B14" s="24">
        <v>179.39</v>
      </c>
      <c r="C14" s="89">
        <f t="shared" si="0"/>
        <v>43.81</v>
      </c>
    </row>
    <row r="15" spans="1:6" x14ac:dyDescent="0.2">
      <c r="A15" s="24">
        <v>250.65</v>
      </c>
      <c r="B15" s="24">
        <v>191.49</v>
      </c>
      <c r="C15" s="89">
        <f t="shared" si="0"/>
        <v>59.16</v>
      </c>
      <c r="E15" s="279" t="s">
        <v>67</v>
      </c>
      <c r="F15" s="279"/>
    </row>
    <row r="16" spans="1:6" x14ac:dyDescent="0.2">
      <c r="A16" s="24">
        <v>34.950000000000003</v>
      </c>
      <c r="B16" s="24">
        <v>28.66</v>
      </c>
      <c r="C16" s="89">
        <f t="shared" si="0"/>
        <v>6.2900000000000027</v>
      </c>
      <c r="E16" s="100" t="s">
        <v>62</v>
      </c>
      <c r="F16" s="99">
        <f>-_xlfn.T.INV.2T(F5, F10)</f>
        <v>-2.1314495455597742</v>
      </c>
    </row>
    <row r="17" spans="1:9" x14ac:dyDescent="0.2">
      <c r="A17" s="90">
        <v>172.65</v>
      </c>
      <c r="B17" s="90">
        <v>108.49</v>
      </c>
      <c r="C17" s="91">
        <f t="shared" si="0"/>
        <v>64.160000000000011</v>
      </c>
      <c r="E17" s="100" t="s">
        <v>48</v>
      </c>
      <c r="F17" s="99">
        <f>_xlfn.T.INV.2T(F5, F10)</f>
        <v>2.1314495455597742</v>
      </c>
    </row>
    <row r="18" spans="1:9" x14ac:dyDescent="0.2">
      <c r="A18" s="89"/>
      <c r="B18" s="89"/>
      <c r="C18" s="89"/>
      <c r="E18" s="98" t="s">
        <v>110</v>
      </c>
      <c r="F18" s="99">
        <f>_xlfn.T.DIST.2T(ABS(F13), F10)</f>
        <v>1.44818997992123E-3</v>
      </c>
    </row>
    <row r="19" spans="1:9" x14ac:dyDescent="0.2">
      <c r="E19" s="280" t="str">
        <f>IF(F18 &lt; F5, "Reject the null hypothesis", "Do not reject the null hypothesis")</f>
        <v>Reject the null hypothesis</v>
      </c>
      <c r="F19" s="280"/>
    </row>
    <row r="22" spans="1:9" x14ac:dyDescent="0.2">
      <c r="H22" s="101"/>
    </row>
    <row r="23" spans="1:9" x14ac:dyDescent="0.2">
      <c r="H23" s="102"/>
      <c r="I23" s="103"/>
    </row>
    <row r="24" spans="1:9" x14ac:dyDescent="0.2">
      <c r="H24" s="102"/>
      <c r="I24" s="103"/>
    </row>
  </sheetData>
  <mergeCells count="4">
    <mergeCell ref="E3:F3"/>
    <mergeCell ref="E7:F7"/>
    <mergeCell ref="E15:F15"/>
    <mergeCell ref="E19:F19"/>
  </mergeCells>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E283-63C5-408D-94E1-E24F280DC2B8}">
  <sheetPr>
    <tabColor rgb="FFFFFF00"/>
  </sheetPr>
  <dimension ref="A1:I18"/>
  <sheetViews>
    <sheetView topLeftCell="C1" workbookViewId="0">
      <selection activeCell="K28" sqref="K28"/>
    </sheetView>
  </sheetViews>
  <sheetFormatPr baseColWidth="10" defaultColWidth="9.1640625" defaultRowHeight="15" x14ac:dyDescent="0.2"/>
  <cols>
    <col min="1" max="4" width="9.1640625" style="93"/>
    <col min="5" max="6" width="18" style="93" customWidth="1"/>
    <col min="7" max="7" width="2.33203125" style="93" customWidth="1"/>
    <col min="8" max="8" width="12.6640625" style="93" customWidth="1"/>
    <col min="9" max="16384" width="9.1640625" style="93"/>
  </cols>
  <sheetData>
    <row r="1" spans="1:9" ht="15" customHeight="1" x14ac:dyDescent="0.2">
      <c r="A1" s="23" t="s">
        <v>105</v>
      </c>
      <c r="B1" s="23" t="s">
        <v>106</v>
      </c>
      <c r="C1" s="88" t="s">
        <v>63</v>
      </c>
      <c r="E1" s="92" t="s">
        <v>107</v>
      </c>
    </row>
    <row r="2" spans="1:9" ht="15" customHeight="1" x14ac:dyDescent="0.2">
      <c r="A2" s="24">
        <v>200</v>
      </c>
      <c r="B2" s="24">
        <v>121.49</v>
      </c>
      <c r="C2" s="89">
        <f>A2-B2</f>
        <v>78.510000000000005</v>
      </c>
    </row>
    <row r="3" spans="1:9" ht="15" customHeight="1" x14ac:dyDescent="0.2">
      <c r="A3" s="24">
        <v>304</v>
      </c>
      <c r="B3" s="24">
        <v>235.88</v>
      </c>
      <c r="C3" s="89">
        <f t="shared" ref="C3:C17" si="0">A3-B3</f>
        <v>68.12</v>
      </c>
      <c r="E3" s="287" t="s">
        <v>33</v>
      </c>
      <c r="F3" s="287"/>
    </row>
    <row r="4" spans="1:9" ht="15" customHeight="1" x14ac:dyDescent="0.2">
      <c r="A4" s="24">
        <v>179.35</v>
      </c>
      <c r="B4" s="24">
        <v>107.61</v>
      </c>
      <c r="C4" s="89">
        <f t="shared" si="0"/>
        <v>71.739999999999995</v>
      </c>
      <c r="E4" s="104" t="s">
        <v>64</v>
      </c>
      <c r="F4" s="104">
        <v>0</v>
      </c>
    </row>
    <row r="5" spans="1:9" ht="15" customHeight="1" x14ac:dyDescent="0.2">
      <c r="A5" s="24">
        <v>72</v>
      </c>
      <c r="B5" s="24">
        <v>59.99</v>
      </c>
      <c r="C5" s="89">
        <f t="shared" si="0"/>
        <v>12.009999999999998</v>
      </c>
      <c r="E5" s="104" t="s">
        <v>111</v>
      </c>
      <c r="F5" s="104">
        <v>0.05</v>
      </c>
    </row>
    <row r="6" spans="1:9" ht="15" customHeight="1" x14ac:dyDescent="0.2">
      <c r="A6" s="24">
        <v>277.14999999999998</v>
      </c>
      <c r="B6" s="24">
        <v>146.99</v>
      </c>
      <c r="C6" s="89">
        <f t="shared" si="0"/>
        <v>130.15999999999997</v>
      </c>
    </row>
    <row r="7" spans="1:9" ht="15" customHeight="1" x14ac:dyDescent="0.2">
      <c r="A7" s="24">
        <v>73.75</v>
      </c>
      <c r="B7" s="24">
        <v>63.49</v>
      </c>
      <c r="C7" s="89">
        <f t="shared" si="0"/>
        <v>10.259999999999998</v>
      </c>
      <c r="E7" s="278" t="s">
        <v>41</v>
      </c>
      <c r="F7" s="278"/>
    </row>
    <row r="8" spans="1:9" ht="15" customHeight="1" x14ac:dyDescent="0.2">
      <c r="A8" s="24">
        <v>171.65</v>
      </c>
      <c r="B8" s="24">
        <v>138.99</v>
      </c>
      <c r="C8" s="89">
        <f t="shared" si="0"/>
        <v>32.659999999999997</v>
      </c>
      <c r="E8" s="95" t="s">
        <v>37</v>
      </c>
      <c r="F8" s="95">
        <f>COUNT(A:$A)</f>
        <v>16</v>
      </c>
    </row>
    <row r="9" spans="1:9" ht="15" customHeight="1" x14ac:dyDescent="0.2">
      <c r="A9" s="24">
        <v>65</v>
      </c>
      <c r="B9" s="24">
        <v>42.26</v>
      </c>
      <c r="C9" s="89">
        <f t="shared" si="0"/>
        <v>22.740000000000002</v>
      </c>
      <c r="E9" s="95" t="s">
        <v>65</v>
      </c>
      <c r="F9" s="96">
        <f>AVERAGE($C:$C)</f>
        <v>42.601249999999993</v>
      </c>
    </row>
    <row r="10" spans="1:9" ht="15" customHeight="1" x14ac:dyDescent="0.2">
      <c r="A10" s="24">
        <v>47.45</v>
      </c>
      <c r="B10" s="24">
        <v>65.989999999999995</v>
      </c>
      <c r="C10" s="89">
        <f t="shared" si="0"/>
        <v>-18.539999999999992</v>
      </c>
      <c r="E10" s="95" t="s">
        <v>66</v>
      </c>
      <c r="F10" s="95">
        <f>F8 - 1</f>
        <v>15</v>
      </c>
    </row>
    <row r="11" spans="1:9" ht="15" customHeight="1" x14ac:dyDescent="0.25">
      <c r="A11" s="24">
        <v>106</v>
      </c>
      <c r="B11" s="24">
        <v>37.83</v>
      </c>
      <c r="C11" s="89">
        <f t="shared" si="0"/>
        <v>68.17</v>
      </c>
      <c r="E11" s="97" t="s">
        <v>108</v>
      </c>
      <c r="F11" s="96">
        <f>SQRT(DEVSQ(C:C)/F10)</f>
        <v>43.797044173475143</v>
      </c>
    </row>
    <row r="12" spans="1:9" ht="15" customHeight="1" x14ac:dyDescent="0.2">
      <c r="A12" s="24">
        <v>55.95</v>
      </c>
      <c r="B12" s="24">
        <v>102.99</v>
      </c>
      <c r="C12" s="89">
        <f t="shared" si="0"/>
        <v>-47.039999999999992</v>
      </c>
      <c r="E12" s="95" t="s">
        <v>54</v>
      </c>
      <c r="F12" s="96">
        <f>F11/SQRT(F8)</f>
        <v>10.949261043368786</v>
      </c>
    </row>
    <row r="13" spans="1:9" ht="15" customHeight="1" x14ac:dyDescent="0.2">
      <c r="A13" s="24">
        <v>224.4</v>
      </c>
      <c r="B13" s="24">
        <v>144.99</v>
      </c>
      <c r="C13" s="89">
        <f t="shared" si="0"/>
        <v>79.41</v>
      </c>
      <c r="E13" s="98" t="s">
        <v>109</v>
      </c>
      <c r="F13" s="99">
        <f>(F9 - F4)/F12</f>
        <v>3.8907876824985044</v>
      </c>
    </row>
    <row r="14" spans="1:9" ht="15" customHeight="1" x14ac:dyDescent="0.2">
      <c r="A14" s="24">
        <v>223.2</v>
      </c>
      <c r="B14" s="24">
        <v>179.39</v>
      </c>
      <c r="C14" s="89">
        <f t="shared" si="0"/>
        <v>43.81</v>
      </c>
    </row>
    <row r="15" spans="1:9" ht="15" customHeight="1" x14ac:dyDescent="0.2">
      <c r="A15" s="24">
        <v>250.65</v>
      </c>
      <c r="B15" s="24">
        <v>191.49</v>
      </c>
      <c r="C15" s="89">
        <f t="shared" si="0"/>
        <v>59.16</v>
      </c>
      <c r="E15" s="279" t="s">
        <v>112</v>
      </c>
      <c r="F15" s="279"/>
      <c r="H15" s="278" t="s">
        <v>61</v>
      </c>
      <c r="I15" s="278"/>
    </row>
    <row r="16" spans="1:9" ht="15" customHeight="1" x14ac:dyDescent="0.2">
      <c r="A16" s="24">
        <v>34.950000000000003</v>
      </c>
      <c r="B16" s="24">
        <v>28.66</v>
      </c>
      <c r="C16" s="89">
        <f t="shared" si="0"/>
        <v>6.2900000000000027</v>
      </c>
      <c r="E16" s="100" t="s">
        <v>62</v>
      </c>
      <c r="F16" s="99">
        <f>-_xlfn.T.INV.2T(2 * F5, F10)</f>
        <v>-1.7530503556925723</v>
      </c>
      <c r="H16" s="105" t="s">
        <v>113</v>
      </c>
      <c r="I16" s="96">
        <f>_xlfn.T.DIST.RT(ABS(F13), F10)</f>
        <v>7.24094989960615E-4</v>
      </c>
    </row>
    <row r="17" spans="1:9" ht="15" customHeight="1" x14ac:dyDescent="0.2">
      <c r="A17" s="90">
        <v>172.65</v>
      </c>
      <c r="B17" s="90">
        <v>108.49</v>
      </c>
      <c r="C17" s="91">
        <f t="shared" si="0"/>
        <v>64.160000000000011</v>
      </c>
      <c r="E17" s="98" t="s">
        <v>110</v>
      </c>
      <c r="F17" s="99">
        <f>IF(F13 &lt; 0, I16, I17)</f>
        <v>0.99927590501003938</v>
      </c>
      <c r="H17" s="105" t="s">
        <v>114</v>
      </c>
      <c r="I17" s="96">
        <f>1 - I16</f>
        <v>0.99927590501003938</v>
      </c>
    </row>
    <row r="18" spans="1:9" ht="15" customHeight="1" x14ac:dyDescent="0.2">
      <c r="A18" s="89"/>
      <c r="B18" s="89"/>
      <c r="C18" s="89"/>
      <c r="E18" s="288" t="str">
        <f>IF(F17&lt; F5, "Reject the null hypothesis", "Do not reject the null hypothesis")</f>
        <v>Do not reject the null hypothesis</v>
      </c>
      <c r="F18" s="289"/>
    </row>
  </sheetData>
  <mergeCells count="5">
    <mergeCell ref="E3:F3"/>
    <mergeCell ref="E7:F7"/>
    <mergeCell ref="E15:F15"/>
    <mergeCell ref="H15:I15"/>
    <mergeCell ref="E18:F18"/>
  </mergeCells>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5655B-2A70-4AA1-AD52-FDF20CEF2F55}">
  <sheetPr>
    <tabColor rgb="FFFFFF00"/>
  </sheetPr>
  <dimension ref="A1:I18"/>
  <sheetViews>
    <sheetView workbookViewId="0">
      <selection activeCell="D19" sqref="D19"/>
    </sheetView>
  </sheetViews>
  <sheetFormatPr baseColWidth="10" defaultColWidth="9.1640625" defaultRowHeight="15" x14ac:dyDescent="0.2"/>
  <cols>
    <col min="1" max="4" width="9.1640625" style="102"/>
    <col min="5" max="6" width="18" style="102" customWidth="1"/>
    <col min="7" max="7" width="2.33203125" style="102" customWidth="1"/>
    <col min="8" max="8" width="12.6640625" style="102" customWidth="1"/>
    <col min="9" max="16384" width="9.1640625" style="102"/>
  </cols>
  <sheetData>
    <row r="1" spans="1:9" x14ac:dyDescent="0.2">
      <c r="A1" s="23" t="s">
        <v>105</v>
      </c>
      <c r="B1" s="23" t="s">
        <v>106</v>
      </c>
      <c r="C1" s="88" t="s">
        <v>63</v>
      </c>
      <c r="E1" s="106" t="s">
        <v>107</v>
      </c>
    </row>
    <row r="2" spans="1:9" x14ac:dyDescent="0.2">
      <c r="A2" s="24">
        <v>200</v>
      </c>
      <c r="B2" s="24">
        <v>121.49</v>
      </c>
      <c r="C2" s="89">
        <f>A2-B2</f>
        <v>78.510000000000005</v>
      </c>
    </row>
    <row r="3" spans="1:9" x14ac:dyDescent="0.2">
      <c r="A3" s="24">
        <v>304</v>
      </c>
      <c r="B3" s="24">
        <v>235.88</v>
      </c>
      <c r="C3" s="89">
        <f t="shared" ref="C3:C17" si="0">A3-B3</f>
        <v>68.12</v>
      </c>
      <c r="E3" s="290" t="s">
        <v>33</v>
      </c>
      <c r="F3" s="290"/>
    </row>
    <row r="4" spans="1:9" x14ac:dyDescent="0.2">
      <c r="A4" s="24">
        <v>179.35</v>
      </c>
      <c r="B4" s="24">
        <v>107.61</v>
      </c>
      <c r="C4" s="89">
        <f t="shared" si="0"/>
        <v>71.739999999999995</v>
      </c>
      <c r="E4" s="107" t="s">
        <v>64</v>
      </c>
      <c r="F4" s="107">
        <v>0</v>
      </c>
    </row>
    <row r="5" spans="1:9" x14ac:dyDescent="0.2">
      <c r="A5" s="24">
        <v>72</v>
      </c>
      <c r="B5" s="24">
        <v>59.99</v>
      </c>
      <c r="C5" s="89">
        <f t="shared" si="0"/>
        <v>12.009999999999998</v>
      </c>
      <c r="E5" s="107" t="s">
        <v>111</v>
      </c>
      <c r="F5" s="107">
        <v>0.05</v>
      </c>
    </row>
    <row r="6" spans="1:9" x14ac:dyDescent="0.2">
      <c r="A6" s="24">
        <v>277.14999999999998</v>
      </c>
      <c r="B6" s="24">
        <v>146.99</v>
      </c>
      <c r="C6" s="89">
        <f t="shared" si="0"/>
        <v>130.15999999999997</v>
      </c>
    </row>
    <row r="7" spans="1:9" x14ac:dyDescent="0.2">
      <c r="A7" s="24">
        <v>73.75</v>
      </c>
      <c r="B7" s="24">
        <v>63.49</v>
      </c>
      <c r="C7" s="89">
        <f t="shared" si="0"/>
        <v>10.259999999999998</v>
      </c>
      <c r="E7" s="291" t="s">
        <v>41</v>
      </c>
      <c r="F7" s="291"/>
    </row>
    <row r="8" spans="1:9" x14ac:dyDescent="0.2">
      <c r="A8" s="24">
        <v>171.65</v>
      </c>
      <c r="B8" s="24">
        <v>138.99</v>
      </c>
      <c r="C8" s="89">
        <f t="shared" si="0"/>
        <v>32.659999999999997</v>
      </c>
      <c r="E8" s="105" t="s">
        <v>37</v>
      </c>
      <c r="F8" s="95">
        <f>COUNT(A:$A)</f>
        <v>16</v>
      </c>
    </row>
    <row r="9" spans="1:9" x14ac:dyDescent="0.2">
      <c r="A9" s="24">
        <v>65</v>
      </c>
      <c r="B9" s="24">
        <v>42.26</v>
      </c>
      <c r="C9" s="89">
        <f t="shared" si="0"/>
        <v>22.740000000000002</v>
      </c>
      <c r="E9" s="105" t="s">
        <v>65</v>
      </c>
      <c r="F9" s="96">
        <f>AVERAGE($C:$C)</f>
        <v>42.601249999999993</v>
      </c>
    </row>
    <row r="10" spans="1:9" x14ac:dyDescent="0.2">
      <c r="A10" s="24">
        <v>47.45</v>
      </c>
      <c r="B10" s="24">
        <v>65.989999999999995</v>
      </c>
      <c r="C10" s="89">
        <f t="shared" si="0"/>
        <v>-18.539999999999992</v>
      </c>
      <c r="E10" s="105" t="s">
        <v>66</v>
      </c>
      <c r="F10" s="95">
        <f>F8 - 1</f>
        <v>15</v>
      </c>
    </row>
    <row r="11" spans="1:9" ht="15" customHeight="1" x14ac:dyDescent="0.25">
      <c r="A11" s="24">
        <v>106</v>
      </c>
      <c r="B11" s="24">
        <v>37.83</v>
      </c>
      <c r="C11" s="89">
        <f t="shared" si="0"/>
        <v>68.17</v>
      </c>
      <c r="E11" s="108" t="s">
        <v>108</v>
      </c>
      <c r="F11" s="96">
        <f>SQRT(DEVSQ(C:C)/F10)</f>
        <v>43.797044173475143</v>
      </c>
    </row>
    <row r="12" spans="1:9" x14ac:dyDescent="0.2">
      <c r="A12" s="24">
        <v>55.95</v>
      </c>
      <c r="B12" s="24">
        <v>102.99</v>
      </c>
      <c r="C12" s="89">
        <f t="shared" si="0"/>
        <v>-47.039999999999992</v>
      </c>
      <c r="E12" s="105" t="s">
        <v>54</v>
      </c>
      <c r="F12" s="96">
        <f>F11/SQRT(F8)</f>
        <v>10.949261043368786</v>
      </c>
    </row>
    <row r="13" spans="1:9" x14ac:dyDescent="0.2">
      <c r="A13" s="24">
        <v>224.4</v>
      </c>
      <c r="B13" s="24">
        <v>144.99</v>
      </c>
      <c r="C13" s="89">
        <f t="shared" si="0"/>
        <v>79.41</v>
      </c>
      <c r="E13" s="109" t="s">
        <v>109</v>
      </c>
      <c r="F13" s="110">
        <f>(F9 - F4)/F12</f>
        <v>3.8907876824985044</v>
      </c>
    </row>
    <row r="14" spans="1:9" x14ac:dyDescent="0.2">
      <c r="A14" s="24">
        <v>223.2</v>
      </c>
      <c r="B14" s="24">
        <v>179.39</v>
      </c>
      <c r="C14" s="89">
        <f t="shared" si="0"/>
        <v>43.81</v>
      </c>
    </row>
    <row r="15" spans="1:9" x14ac:dyDescent="0.2">
      <c r="A15" s="24">
        <v>250.65</v>
      </c>
      <c r="B15" s="24">
        <v>191.49</v>
      </c>
      <c r="C15" s="89">
        <f t="shared" si="0"/>
        <v>59.16</v>
      </c>
      <c r="E15" s="292" t="s">
        <v>47</v>
      </c>
      <c r="F15" s="292"/>
      <c r="H15" s="291" t="s">
        <v>61</v>
      </c>
      <c r="I15" s="291"/>
    </row>
    <row r="16" spans="1:9" x14ac:dyDescent="0.2">
      <c r="A16" s="24">
        <v>34.950000000000003</v>
      </c>
      <c r="B16" s="24">
        <v>28.66</v>
      </c>
      <c r="C16" s="89">
        <f t="shared" si="0"/>
        <v>6.2900000000000027</v>
      </c>
      <c r="E16" s="111" t="s">
        <v>48</v>
      </c>
      <c r="F16" s="110">
        <f>_xlfn.T.INV.2T(2 * F5, F10)</f>
        <v>1.7530503556925723</v>
      </c>
      <c r="H16" s="105" t="s">
        <v>113</v>
      </c>
      <c r="I16" s="112">
        <f>_xlfn.T.DIST.RT(ABS(F13), F10)</f>
        <v>7.24094989960615E-4</v>
      </c>
    </row>
    <row r="17" spans="1:9" x14ac:dyDescent="0.2">
      <c r="A17" s="90">
        <v>172.65</v>
      </c>
      <c r="B17" s="90">
        <v>108.49</v>
      </c>
      <c r="C17" s="91">
        <f t="shared" si="0"/>
        <v>64.160000000000011</v>
      </c>
      <c r="E17" s="109" t="s">
        <v>110</v>
      </c>
      <c r="F17" s="110">
        <f>IF(F13 &lt; 0,I17,I16)</f>
        <v>7.24094989960615E-4</v>
      </c>
      <c r="H17" s="105" t="s">
        <v>114</v>
      </c>
      <c r="I17" s="112">
        <f>1 - I16</f>
        <v>0.99927590501003938</v>
      </c>
    </row>
    <row r="18" spans="1:9" x14ac:dyDescent="0.2">
      <c r="A18" s="89"/>
      <c r="B18" s="89"/>
      <c r="C18" s="89"/>
      <c r="E18" s="293" t="str">
        <f>IF(F17 &lt; F5, "Reject the null hypothesis", "Do not reject the null hypothesis")</f>
        <v>Reject the null hypothesis</v>
      </c>
      <c r="F18" s="294"/>
    </row>
  </sheetData>
  <mergeCells count="5">
    <mergeCell ref="E3:F3"/>
    <mergeCell ref="E7:F7"/>
    <mergeCell ref="E15:F15"/>
    <mergeCell ref="H15:I15"/>
    <mergeCell ref="E18:F18"/>
  </mergeCells>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AEB6-CAD0-4141-AA81-BA298A799345}">
  <sheetPr>
    <tabColor rgb="FFFF0000"/>
  </sheetPr>
  <dimension ref="A1:H28"/>
  <sheetViews>
    <sheetView topLeftCell="A20" workbookViewId="0">
      <selection activeCell="D1" sqref="D1:H28"/>
    </sheetView>
  </sheetViews>
  <sheetFormatPr baseColWidth="10" defaultColWidth="9.1640625" defaultRowHeight="15" x14ac:dyDescent="0.2"/>
  <cols>
    <col min="1" max="1" width="11.5" style="37" bestFit="1" customWidth="1"/>
    <col min="2" max="3" width="10.5" style="37" customWidth="1"/>
    <col min="4" max="4" width="37.83203125" style="37" customWidth="1"/>
    <col min="5" max="5" width="10.83203125" style="37" customWidth="1"/>
    <col min="6" max="6" width="3.6640625" style="37" customWidth="1"/>
    <col min="7" max="7" width="22.83203125" style="37" customWidth="1"/>
    <col min="8" max="8" width="13.1640625" style="37" customWidth="1"/>
    <col min="9" max="16384" width="9.1640625" style="37"/>
  </cols>
  <sheetData>
    <row r="1" spans="1:8" ht="15" customHeight="1" x14ac:dyDescent="0.2">
      <c r="A1" s="35" t="s">
        <v>92</v>
      </c>
      <c r="B1" s="36" t="s">
        <v>93</v>
      </c>
      <c r="C1" s="64"/>
      <c r="D1" s="38" t="s">
        <v>94</v>
      </c>
      <c r="E1" s="39"/>
      <c r="F1" s="39"/>
      <c r="G1" s="40"/>
    </row>
    <row r="2" spans="1:8" ht="15" customHeight="1" thickBot="1" x14ac:dyDescent="0.25">
      <c r="A2" s="37">
        <v>224</v>
      </c>
      <c r="B2" s="37">
        <v>192</v>
      </c>
      <c r="D2" s="37" t="s">
        <v>95</v>
      </c>
    </row>
    <row r="3" spans="1:8" ht="15" customHeight="1" x14ac:dyDescent="0.2">
      <c r="A3" s="37">
        <v>189</v>
      </c>
      <c r="B3" s="37">
        <v>236</v>
      </c>
      <c r="D3" s="266" t="s">
        <v>33</v>
      </c>
      <c r="E3" s="266"/>
      <c r="G3" s="267" t="s">
        <v>96</v>
      </c>
      <c r="H3" s="268"/>
    </row>
    <row r="4" spans="1:8" ht="15" customHeight="1" x14ac:dyDescent="0.2">
      <c r="A4" s="37">
        <v>248</v>
      </c>
      <c r="B4" s="37">
        <v>164</v>
      </c>
      <c r="D4" s="41" t="s">
        <v>34</v>
      </c>
      <c r="E4" s="41">
        <v>0</v>
      </c>
      <c r="G4" s="269" t="s">
        <v>55</v>
      </c>
      <c r="H4" s="270"/>
    </row>
    <row r="5" spans="1:8" ht="15" customHeight="1" x14ac:dyDescent="0.2">
      <c r="A5" s="37">
        <v>285</v>
      </c>
      <c r="B5" s="37">
        <v>154</v>
      </c>
      <c r="D5" s="41" t="s">
        <v>35</v>
      </c>
      <c r="E5" s="41">
        <v>0.05</v>
      </c>
      <c r="G5" s="42"/>
      <c r="H5" s="43"/>
    </row>
    <row r="6" spans="1:8" ht="15" customHeight="1" x14ac:dyDescent="0.2">
      <c r="A6" s="37">
        <v>273</v>
      </c>
      <c r="B6" s="37">
        <v>189</v>
      </c>
      <c r="D6" s="44" t="s">
        <v>36</v>
      </c>
      <c r="E6" s="45"/>
      <c r="G6" s="271" t="s">
        <v>33</v>
      </c>
      <c r="H6" s="272"/>
    </row>
    <row r="7" spans="1:8" ht="15" customHeight="1" x14ac:dyDescent="0.2">
      <c r="A7" s="37">
        <v>160</v>
      </c>
      <c r="B7" s="37">
        <v>220</v>
      </c>
      <c r="D7" s="41" t="s">
        <v>37</v>
      </c>
      <c r="E7" s="41">
        <f>COUNT($A:$A)</f>
        <v>10</v>
      </c>
      <c r="G7" s="46" t="s">
        <v>56</v>
      </c>
      <c r="H7" s="47">
        <v>0.95</v>
      </c>
    </row>
    <row r="8" spans="1:8" ht="15" customHeight="1" x14ac:dyDescent="0.2">
      <c r="A8" s="37">
        <v>243</v>
      </c>
      <c r="B8" s="37">
        <v>261</v>
      </c>
      <c r="D8" s="41" t="s">
        <v>38</v>
      </c>
      <c r="E8" s="41">
        <f>AVERAGE($A:$A)</f>
        <v>243.4</v>
      </c>
      <c r="F8" s="40"/>
      <c r="G8" s="42"/>
      <c r="H8" s="43"/>
    </row>
    <row r="9" spans="1:8" ht="15" customHeight="1" x14ac:dyDescent="0.2">
      <c r="A9" s="37">
        <v>215</v>
      </c>
      <c r="B9" s="37">
        <v>186</v>
      </c>
      <c r="D9" s="41" t="s">
        <v>39</v>
      </c>
      <c r="E9" s="48">
        <f>_xlfn.STDEV.S($A:$A)</f>
        <v>47.705578523084959</v>
      </c>
      <c r="F9" s="40"/>
      <c r="G9" s="273" t="s">
        <v>41</v>
      </c>
      <c r="H9" s="274"/>
    </row>
    <row r="10" spans="1:8" ht="15" customHeight="1" x14ac:dyDescent="0.2">
      <c r="A10" s="37">
        <v>280</v>
      </c>
      <c r="B10" s="37">
        <v>219</v>
      </c>
      <c r="D10" s="44" t="s">
        <v>40</v>
      </c>
      <c r="E10" s="45"/>
      <c r="F10" s="40"/>
      <c r="G10" s="49" t="s">
        <v>43</v>
      </c>
      <c r="H10" s="50">
        <f>E16 + E17</f>
        <v>18</v>
      </c>
    </row>
    <row r="11" spans="1:8" ht="15" customHeight="1" x14ac:dyDescent="0.2">
      <c r="A11" s="37">
        <v>317</v>
      </c>
      <c r="B11" s="37">
        <v>202</v>
      </c>
      <c r="D11" s="41" t="s">
        <v>37</v>
      </c>
      <c r="E11" s="41">
        <f>COUNT($B:$B)</f>
        <v>10</v>
      </c>
      <c r="F11" s="40"/>
      <c r="G11" s="51" t="s">
        <v>97</v>
      </c>
      <c r="H11" s="52">
        <f>_xlfn.T.INV.2T(1 - H7, H10)</f>
        <v>2.1009220402410378</v>
      </c>
    </row>
    <row r="12" spans="1:8" ht="15" customHeight="1" x14ac:dyDescent="0.2">
      <c r="D12" s="41" t="s">
        <v>38</v>
      </c>
      <c r="E12" s="41">
        <f>AVERAGE($B:$B)</f>
        <v>202.3</v>
      </c>
      <c r="G12" s="49" t="s">
        <v>57</v>
      </c>
      <c r="H12" s="52">
        <f>(H11 * SQRT(E19 * (1/E7 + 1/E11)))</f>
        <v>38.360289798103459</v>
      </c>
    </row>
    <row r="13" spans="1:8" ht="15" customHeight="1" x14ac:dyDescent="0.2">
      <c r="D13" s="41" t="s">
        <v>39</v>
      </c>
      <c r="E13" s="48">
        <f>_xlfn.STDEV.S($B:$B)</f>
        <v>32.527082732872131</v>
      </c>
      <c r="G13" s="42"/>
      <c r="H13" s="43"/>
    </row>
    <row r="14" spans="1:8" ht="15" customHeight="1" x14ac:dyDescent="0.2">
      <c r="D14" s="40"/>
      <c r="E14" s="40"/>
      <c r="F14" s="40"/>
      <c r="G14" s="275" t="s">
        <v>58</v>
      </c>
      <c r="H14" s="276"/>
    </row>
    <row r="15" spans="1:8" ht="15" customHeight="1" x14ac:dyDescent="0.2">
      <c r="D15" s="265" t="s">
        <v>41</v>
      </c>
      <c r="E15" s="265"/>
      <c r="G15" s="53" t="s">
        <v>59</v>
      </c>
      <c r="H15" s="54">
        <f>E21 - H12</f>
        <v>2.7397102018965356</v>
      </c>
    </row>
    <row r="16" spans="1:8" ht="15" customHeight="1" thickBot="1" x14ac:dyDescent="0.25">
      <c r="D16" s="55" t="s">
        <v>51</v>
      </c>
      <c r="E16" s="55">
        <f>E7 - 1</f>
        <v>9</v>
      </c>
      <c r="G16" s="56" t="s">
        <v>60</v>
      </c>
      <c r="H16" s="57">
        <f>E21 + H12</f>
        <v>79.460289798103446</v>
      </c>
    </row>
    <row r="17" spans="4:8" ht="15" customHeight="1" x14ac:dyDescent="0.2">
      <c r="D17" s="55" t="s">
        <v>52</v>
      </c>
      <c r="E17" s="55">
        <f>E11 - 1</f>
        <v>9</v>
      </c>
      <c r="G17" s="40"/>
      <c r="H17" s="40"/>
    </row>
    <row r="18" spans="4:8" ht="15" customHeight="1" x14ac:dyDescent="0.2">
      <c r="D18" s="55" t="s">
        <v>42</v>
      </c>
      <c r="E18" s="55">
        <f>E16 + E17</f>
        <v>18</v>
      </c>
      <c r="F18" s="40"/>
    </row>
    <row r="19" spans="4:8" ht="15" customHeight="1" x14ac:dyDescent="0.2">
      <c r="D19" s="55" t="s">
        <v>53</v>
      </c>
      <c r="E19" s="58">
        <f>((E16 * E9^2) + (E17 * E13^2))/E18</f>
        <v>1666.9166666666667</v>
      </c>
      <c r="F19" s="40"/>
    </row>
    <row r="20" spans="4:8" ht="15" customHeight="1" x14ac:dyDescent="0.2">
      <c r="D20" s="55" t="s">
        <v>54</v>
      </c>
      <c r="E20" s="58">
        <f>SQRT(E19 * (1/E7 + 1/E11))</f>
        <v>18.258787838554163</v>
      </c>
      <c r="F20" s="40"/>
    </row>
    <row r="21" spans="4:8" ht="15" customHeight="1" x14ac:dyDescent="0.2">
      <c r="D21" s="55" t="s">
        <v>44</v>
      </c>
      <c r="E21" s="55">
        <f>E8 - E12</f>
        <v>41.099999999999994</v>
      </c>
    </row>
    <row r="22" spans="4:8" ht="15" customHeight="1" x14ac:dyDescent="0.2">
      <c r="D22" s="59" t="s">
        <v>98</v>
      </c>
      <c r="E22" s="60">
        <f>(E21 - E4)/E20</f>
        <v>2.2509708948594986</v>
      </c>
      <c r="F22" s="40"/>
    </row>
    <row r="23" spans="4:8" ht="15" customHeight="1" x14ac:dyDescent="0.2">
      <c r="D23" s="61"/>
      <c r="F23" s="40"/>
    </row>
    <row r="24" spans="4:8" ht="15" customHeight="1" x14ac:dyDescent="0.2">
      <c r="D24" s="30" t="s">
        <v>50</v>
      </c>
      <c r="E24" s="31"/>
      <c r="F24" s="40"/>
    </row>
    <row r="25" spans="4:8" ht="15" customHeight="1" x14ac:dyDescent="0.2">
      <c r="D25" s="32" t="s">
        <v>62</v>
      </c>
      <c r="E25" s="60">
        <f>-(_xlfn.T.INV.2T(E5, E18))</f>
        <v>-2.1009220402410378</v>
      </c>
      <c r="F25" s="40"/>
    </row>
    <row r="26" spans="4:8" ht="15" customHeight="1" x14ac:dyDescent="0.2">
      <c r="D26" s="32" t="s">
        <v>48</v>
      </c>
      <c r="E26" s="60">
        <f>_xlfn.T.INV.2T(E5, E18)</f>
        <v>2.1009220402410378</v>
      </c>
    </row>
    <row r="27" spans="4:8" ht="15" customHeight="1" x14ac:dyDescent="0.2">
      <c r="D27" s="59" t="s">
        <v>16</v>
      </c>
      <c r="E27" s="60">
        <f>_xlfn.T.DIST.2T(ABS(E22), E18)</f>
        <v>3.7122714247548039E-2</v>
      </c>
    </row>
    <row r="28" spans="4:8" ht="15" customHeight="1" x14ac:dyDescent="0.2">
      <c r="D28" s="31" t="str">
        <f>IF(E27 &lt; E5, "Reject the null hypothesis", "Do not reject the null hypothesis")</f>
        <v>Reject the null hypothesis</v>
      </c>
      <c r="E28" s="31"/>
    </row>
  </sheetData>
  <mergeCells count="7">
    <mergeCell ref="D15:E15"/>
    <mergeCell ref="D3:E3"/>
    <mergeCell ref="G3:H3"/>
    <mergeCell ref="G4:H4"/>
    <mergeCell ref="G6:H6"/>
    <mergeCell ref="G9:H9"/>
    <mergeCell ref="G14:H14"/>
  </mergeCells>
  <printOptions gridLines="1" gridLinesSet="0"/>
  <pageMargins left="0.75" right="0.75" top="1" bottom="1" header="0.5" footer="0.5"/>
  <pageSetup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BCD4-CDD8-4597-8D1B-40D804C921C1}">
  <sheetPr>
    <tabColor rgb="FFFF0000"/>
  </sheetPr>
  <dimension ref="A1:H28"/>
  <sheetViews>
    <sheetView workbookViewId="0">
      <selection activeCell="G20" sqref="G20"/>
    </sheetView>
  </sheetViews>
  <sheetFormatPr baseColWidth="10" defaultColWidth="9.1640625" defaultRowHeight="15" x14ac:dyDescent="0.2"/>
  <cols>
    <col min="1" max="1" width="11.5" style="37" bestFit="1" customWidth="1"/>
    <col min="2" max="2" width="9.5" style="37" customWidth="1"/>
    <col min="3" max="3" width="9.1640625" style="37"/>
    <col min="4" max="4" width="37.83203125" style="37" customWidth="1"/>
    <col min="5" max="5" width="10.83203125" style="37" customWidth="1"/>
    <col min="6" max="6" width="3.6640625" style="37" customWidth="1"/>
    <col min="7" max="7" width="22.83203125" style="37" customWidth="1"/>
    <col min="8" max="8" width="13.1640625" style="37" customWidth="1"/>
    <col min="9" max="16384" width="9.1640625" style="37"/>
  </cols>
  <sheetData>
    <row r="1" spans="1:8" ht="15" customHeight="1" x14ac:dyDescent="0.2">
      <c r="A1" s="35" t="s">
        <v>92</v>
      </c>
      <c r="B1" s="36" t="s">
        <v>93</v>
      </c>
      <c r="D1" s="38" t="s">
        <v>94</v>
      </c>
      <c r="E1" s="39"/>
      <c r="F1" s="39"/>
      <c r="G1" s="40"/>
    </row>
    <row r="2" spans="1:8" ht="15" customHeight="1" thickBot="1" x14ac:dyDescent="0.25">
      <c r="A2" s="37">
        <v>224</v>
      </c>
      <c r="B2" s="37">
        <v>192</v>
      </c>
      <c r="D2" s="37" t="s">
        <v>95</v>
      </c>
    </row>
    <row r="3" spans="1:8" ht="15" customHeight="1" x14ac:dyDescent="0.2">
      <c r="A3" s="37">
        <v>189</v>
      </c>
      <c r="B3" s="37">
        <v>236</v>
      </c>
      <c r="D3" s="266" t="s">
        <v>33</v>
      </c>
      <c r="E3" s="266"/>
      <c r="G3" s="267" t="s">
        <v>96</v>
      </c>
      <c r="H3" s="268"/>
    </row>
    <row r="4" spans="1:8" ht="15" customHeight="1" x14ac:dyDescent="0.2">
      <c r="A4" s="37">
        <v>248</v>
      </c>
      <c r="B4" s="37">
        <v>164</v>
      </c>
      <c r="D4" s="41" t="s">
        <v>34</v>
      </c>
      <c r="E4" s="41">
        <v>0</v>
      </c>
      <c r="G4" s="269" t="s">
        <v>55</v>
      </c>
      <c r="H4" s="270"/>
    </row>
    <row r="5" spans="1:8" ht="15" customHeight="1" x14ac:dyDescent="0.2">
      <c r="A5" s="37">
        <v>285</v>
      </c>
      <c r="B5" s="37">
        <v>154</v>
      </c>
      <c r="D5" s="41" t="s">
        <v>35</v>
      </c>
      <c r="E5" s="41">
        <v>0.05</v>
      </c>
      <c r="G5" s="42"/>
      <c r="H5" s="43"/>
    </row>
    <row r="6" spans="1:8" ht="15" customHeight="1" x14ac:dyDescent="0.2">
      <c r="A6" s="37">
        <v>273</v>
      </c>
      <c r="B6" s="37">
        <v>189</v>
      </c>
      <c r="D6" s="44" t="s">
        <v>36</v>
      </c>
      <c r="E6" s="45"/>
      <c r="G6" s="271" t="s">
        <v>33</v>
      </c>
      <c r="H6" s="272"/>
    </row>
    <row r="7" spans="1:8" ht="15" customHeight="1" x14ac:dyDescent="0.2">
      <c r="A7" s="37">
        <v>160</v>
      </c>
      <c r="B7" s="37">
        <v>220</v>
      </c>
      <c r="D7" s="41" t="s">
        <v>37</v>
      </c>
      <c r="E7" s="41">
        <f>COUNT($A:$A)</f>
        <v>10</v>
      </c>
      <c r="G7" s="46" t="s">
        <v>56</v>
      </c>
      <c r="H7" s="47">
        <v>0.95</v>
      </c>
    </row>
    <row r="8" spans="1:8" ht="15" customHeight="1" x14ac:dyDescent="0.2">
      <c r="A8" s="37">
        <v>243</v>
      </c>
      <c r="B8" s="37">
        <v>261</v>
      </c>
      <c r="D8" s="41" t="s">
        <v>38</v>
      </c>
      <c r="E8" s="41">
        <f>AVERAGE($A:$A)</f>
        <v>243.4</v>
      </c>
      <c r="F8" s="40"/>
      <c r="G8" s="42"/>
      <c r="H8" s="43"/>
    </row>
    <row r="9" spans="1:8" ht="15" customHeight="1" x14ac:dyDescent="0.2">
      <c r="A9" s="37">
        <v>215</v>
      </c>
      <c r="B9" s="37">
        <v>186</v>
      </c>
      <c r="D9" s="41" t="s">
        <v>39</v>
      </c>
      <c r="E9" s="48">
        <f>_xlfn.STDEV.S($A:$A)</f>
        <v>47.705578523084959</v>
      </c>
      <c r="F9" s="40"/>
      <c r="G9" s="273" t="s">
        <v>41</v>
      </c>
      <c r="H9" s="274"/>
    </row>
    <row r="10" spans="1:8" ht="15" customHeight="1" x14ac:dyDescent="0.2">
      <c r="A10" s="37">
        <v>280</v>
      </c>
      <c r="B10" s="37">
        <v>219</v>
      </c>
      <c r="D10" s="44" t="s">
        <v>40</v>
      </c>
      <c r="E10" s="45"/>
      <c r="F10" s="40"/>
      <c r="G10" s="49" t="s">
        <v>43</v>
      </c>
      <c r="H10" s="50">
        <f>E16 + E17</f>
        <v>18</v>
      </c>
    </row>
    <row r="11" spans="1:8" ht="15" customHeight="1" x14ac:dyDescent="0.2">
      <c r="A11" s="37">
        <v>317</v>
      </c>
      <c r="B11" s="37">
        <v>202</v>
      </c>
      <c r="D11" s="41" t="s">
        <v>37</v>
      </c>
      <c r="E11" s="41">
        <f>COUNT($B:$B)</f>
        <v>10</v>
      </c>
      <c r="F11" s="40"/>
      <c r="G11" s="51" t="s">
        <v>97</v>
      </c>
      <c r="H11" s="52">
        <f>_xlfn.T.INV.2T(1 - H7, H10)</f>
        <v>2.1009220402410378</v>
      </c>
    </row>
    <row r="12" spans="1:8" ht="15" customHeight="1" x14ac:dyDescent="0.2">
      <c r="D12" s="41" t="s">
        <v>38</v>
      </c>
      <c r="E12" s="41">
        <f>AVERAGE($B:$B)</f>
        <v>202.3</v>
      </c>
      <c r="G12" s="49" t="s">
        <v>57</v>
      </c>
      <c r="H12" s="52">
        <f>(H11 * SQRT(E19 * (1/E7 + 1/E11)))</f>
        <v>38.360289798103459</v>
      </c>
    </row>
    <row r="13" spans="1:8" ht="15" customHeight="1" x14ac:dyDescent="0.2">
      <c r="D13" s="41" t="s">
        <v>39</v>
      </c>
      <c r="E13" s="48">
        <f>_xlfn.STDEV.S($B:$B)</f>
        <v>32.527082732872131</v>
      </c>
      <c r="G13" s="42"/>
      <c r="H13" s="43"/>
    </row>
    <row r="14" spans="1:8" ht="15" customHeight="1" x14ac:dyDescent="0.2">
      <c r="D14" s="40"/>
      <c r="E14" s="40"/>
      <c r="F14" s="40"/>
      <c r="G14" s="275" t="s">
        <v>58</v>
      </c>
      <c r="H14" s="276"/>
    </row>
    <row r="15" spans="1:8" ht="15" customHeight="1" x14ac:dyDescent="0.2">
      <c r="D15" s="265" t="s">
        <v>41</v>
      </c>
      <c r="E15" s="265"/>
      <c r="G15" s="53" t="s">
        <v>59</v>
      </c>
      <c r="H15" s="54">
        <f>E21 - H12</f>
        <v>2.7397102018965356</v>
      </c>
    </row>
    <row r="16" spans="1:8" ht="15" customHeight="1" thickBot="1" x14ac:dyDescent="0.25">
      <c r="D16" s="55" t="s">
        <v>51</v>
      </c>
      <c r="E16" s="55">
        <f>E7 - 1</f>
        <v>9</v>
      </c>
      <c r="G16" s="56" t="s">
        <v>60</v>
      </c>
      <c r="H16" s="57">
        <f>E21 + H12</f>
        <v>79.460289798103446</v>
      </c>
    </row>
    <row r="17" spans="4:8" ht="15" customHeight="1" x14ac:dyDescent="0.2">
      <c r="D17" s="55" t="s">
        <v>52</v>
      </c>
      <c r="E17" s="55">
        <f>E11 - 1</f>
        <v>9</v>
      </c>
      <c r="G17" s="40"/>
      <c r="H17" s="40"/>
    </row>
    <row r="18" spans="4:8" ht="15" customHeight="1" x14ac:dyDescent="0.2">
      <c r="D18" s="55" t="s">
        <v>42</v>
      </c>
      <c r="E18" s="55">
        <f>E16 + E17</f>
        <v>18</v>
      </c>
      <c r="F18" s="40"/>
    </row>
    <row r="19" spans="4:8" ht="15" customHeight="1" x14ac:dyDescent="0.2">
      <c r="D19" s="55" t="s">
        <v>53</v>
      </c>
      <c r="E19" s="58">
        <f>((E16 * E9^2) + (E17 * E13^2))/E18</f>
        <v>1666.9166666666667</v>
      </c>
      <c r="F19" s="40"/>
    </row>
    <row r="20" spans="4:8" ht="15" customHeight="1" x14ac:dyDescent="0.2">
      <c r="D20" s="55" t="s">
        <v>54</v>
      </c>
      <c r="E20" s="58">
        <f>SQRT(E19 * (1/E7 + 1/E11))</f>
        <v>18.258787838554163</v>
      </c>
      <c r="F20" s="40"/>
    </row>
    <row r="21" spans="4:8" ht="15" customHeight="1" x14ac:dyDescent="0.2">
      <c r="D21" s="55" t="s">
        <v>44</v>
      </c>
      <c r="E21" s="55">
        <f>E8 - E12</f>
        <v>41.099999999999994</v>
      </c>
    </row>
    <row r="22" spans="4:8" ht="15" customHeight="1" x14ac:dyDescent="0.2">
      <c r="D22" s="59" t="s">
        <v>98</v>
      </c>
      <c r="E22" s="60">
        <f>(E21 - E4)/E20</f>
        <v>2.2509708948594986</v>
      </c>
      <c r="F22" s="40"/>
    </row>
    <row r="23" spans="4:8" ht="15" customHeight="1" x14ac:dyDescent="0.2">
      <c r="F23" s="40"/>
    </row>
    <row r="24" spans="4:8" ht="15" customHeight="1" x14ac:dyDescent="0.2">
      <c r="D24" s="30" t="s">
        <v>99</v>
      </c>
      <c r="E24" s="31"/>
      <c r="F24" s="40"/>
      <c r="G24" s="62" t="s">
        <v>61</v>
      </c>
      <c r="H24" s="62"/>
    </row>
    <row r="25" spans="4:8" ht="15" customHeight="1" x14ac:dyDescent="0.2">
      <c r="D25" s="32" t="s">
        <v>62</v>
      </c>
      <c r="E25" s="60">
        <f>-(_xlfn.T.INV.2T(2*E5, E18))</f>
        <v>-1.7340636066175394</v>
      </c>
      <c r="F25" s="40"/>
      <c r="G25" s="63" t="s">
        <v>45</v>
      </c>
      <c r="H25" s="58">
        <f>_xlfn.T.DIST.RT(ABS(E22), E18)</f>
        <v>1.8561357123774019E-2</v>
      </c>
    </row>
    <row r="26" spans="4:8" ht="15" customHeight="1" x14ac:dyDescent="0.2">
      <c r="D26" s="59" t="s">
        <v>16</v>
      </c>
      <c r="E26" s="60">
        <f>IF(E22 &lt; 0, H25, H26)</f>
        <v>0.98143864287622595</v>
      </c>
      <c r="G26" s="63" t="s">
        <v>46</v>
      </c>
      <c r="H26" s="58">
        <f>1 - H25</f>
        <v>0.98143864287622595</v>
      </c>
    </row>
    <row r="27" spans="4:8" ht="15" customHeight="1" x14ac:dyDescent="0.2">
      <c r="D27" s="31" t="str">
        <f>IF(E26 &lt; E5, "Reject the null hypothesis", "Do not reject the null hypothesis")</f>
        <v>Do not reject the null hypothesis</v>
      </c>
      <c r="E27" s="31"/>
    </row>
    <row r="28" spans="4:8" ht="15" customHeight="1" x14ac:dyDescent="0.2"/>
  </sheetData>
  <mergeCells count="7">
    <mergeCell ref="D15:E15"/>
    <mergeCell ref="D3:E3"/>
    <mergeCell ref="G3:H3"/>
    <mergeCell ref="G4:H4"/>
    <mergeCell ref="G6:H6"/>
    <mergeCell ref="G9:H9"/>
    <mergeCell ref="G14:H14"/>
  </mergeCells>
  <printOptions gridLines="1" gridLinesSet="0"/>
  <pageMargins left="0.75" right="0.75" top="1" bottom="1" header="0.5" footer="0.5"/>
  <pageSetup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A0E8-E690-4AA3-BD9B-0DA3046832ED}">
  <sheetPr>
    <tabColor rgb="FFFF0000"/>
  </sheetPr>
  <dimension ref="A1:H28"/>
  <sheetViews>
    <sheetView workbookViewId="0">
      <selection activeCell="D1" sqref="D1:H27"/>
    </sheetView>
  </sheetViews>
  <sheetFormatPr baseColWidth="10" defaultColWidth="9.1640625" defaultRowHeight="15" x14ac:dyDescent="0.2"/>
  <cols>
    <col min="1" max="1" width="11.5" style="37" bestFit="1" customWidth="1"/>
    <col min="2" max="2" width="9.5" style="37" customWidth="1"/>
    <col min="3" max="3" width="9.1640625" style="37"/>
    <col min="4" max="4" width="37.83203125" style="37" customWidth="1"/>
    <col min="5" max="5" width="10.83203125" style="37" customWidth="1"/>
    <col min="6" max="6" width="3.6640625" style="37" customWidth="1"/>
    <col min="7" max="7" width="22.83203125" style="37" customWidth="1"/>
    <col min="8" max="8" width="13.1640625" style="37" customWidth="1"/>
    <col min="9" max="16384" width="9.1640625" style="37"/>
  </cols>
  <sheetData>
    <row r="1" spans="1:8" ht="15" customHeight="1" x14ac:dyDescent="0.2">
      <c r="A1" s="35" t="s">
        <v>92</v>
      </c>
      <c r="B1" s="36" t="s">
        <v>93</v>
      </c>
      <c r="D1" s="38" t="s">
        <v>94</v>
      </c>
      <c r="E1" s="39"/>
      <c r="F1" s="39"/>
      <c r="G1" s="40"/>
    </row>
    <row r="2" spans="1:8" ht="15" customHeight="1" thickBot="1" x14ac:dyDescent="0.25">
      <c r="A2" s="37">
        <v>224</v>
      </c>
      <c r="B2" s="37">
        <v>192</v>
      </c>
      <c r="D2" s="37" t="s">
        <v>95</v>
      </c>
    </row>
    <row r="3" spans="1:8" ht="15" customHeight="1" x14ac:dyDescent="0.2">
      <c r="A3" s="37">
        <v>189</v>
      </c>
      <c r="B3" s="37">
        <v>236</v>
      </c>
      <c r="D3" s="266" t="s">
        <v>33</v>
      </c>
      <c r="E3" s="266"/>
      <c r="G3" s="267" t="s">
        <v>96</v>
      </c>
      <c r="H3" s="268"/>
    </row>
    <row r="4" spans="1:8" ht="15" customHeight="1" x14ac:dyDescent="0.2">
      <c r="A4" s="37">
        <v>248</v>
      </c>
      <c r="B4" s="37">
        <v>164</v>
      </c>
      <c r="D4" s="41" t="s">
        <v>34</v>
      </c>
      <c r="E4" s="41">
        <v>0</v>
      </c>
      <c r="G4" s="269" t="s">
        <v>55</v>
      </c>
      <c r="H4" s="270"/>
    </row>
    <row r="5" spans="1:8" ht="15" customHeight="1" x14ac:dyDescent="0.2">
      <c r="A5" s="37">
        <v>285</v>
      </c>
      <c r="B5" s="37">
        <v>154</v>
      </c>
      <c r="D5" s="41" t="s">
        <v>35</v>
      </c>
      <c r="E5" s="41">
        <v>0.05</v>
      </c>
      <c r="G5" s="42"/>
      <c r="H5" s="43"/>
    </row>
    <row r="6" spans="1:8" ht="15" customHeight="1" x14ac:dyDescent="0.2">
      <c r="A6" s="37">
        <v>273</v>
      </c>
      <c r="B6" s="37">
        <v>189</v>
      </c>
      <c r="D6" s="44" t="s">
        <v>36</v>
      </c>
      <c r="E6" s="45"/>
      <c r="G6" s="271" t="s">
        <v>33</v>
      </c>
      <c r="H6" s="272"/>
    </row>
    <row r="7" spans="1:8" ht="15" customHeight="1" x14ac:dyDescent="0.2">
      <c r="A7" s="37">
        <v>160</v>
      </c>
      <c r="B7" s="37">
        <v>220</v>
      </c>
      <c r="D7" s="41" t="s">
        <v>37</v>
      </c>
      <c r="E7" s="41">
        <f>COUNT($A:$A)</f>
        <v>10</v>
      </c>
      <c r="G7" s="46" t="s">
        <v>56</v>
      </c>
      <c r="H7" s="47">
        <v>0.95</v>
      </c>
    </row>
    <row r="8" spans="1:8" ht="15" customHeight="1" x14ac:dyDescent="0.2">
      <c r="A8" s="37">
        <v>243</v>
      </c>
      <c r="B8" s="37">
        <v>261</v>
      </c>
      <c r="D8" s="41" t="s">
        <v>38</v>
      </c>
      <c r="E8" s="41">
        <f>AVERAGE($A:$A)</f>
        <v>243.4</v>
      </c>
      <c r="F8" s="40"/>
      <c r="G8" s="42"/>
      <c r="H8" s="43"/>
    </row>
    <row r="9" spans="1:8" ht="15" customHeight="1" x14ac:dyDescent="0.2">
      <c r="A9" s="37">
        <v>215</v>
      </c>
      <c r="B9" s="37">
        <v>186</v>
      </c>
      <c r="D9" s="41" t="s">
        <v>39</v>
      </c>
      <c r="E9" s="48">
        <f>_xlfn.STDEV.S($A:$A)</f>
        <v>47.705578523084959</v>
      </c>
      <c r="F9" s="40"/>
      <c r="G9" s="273" t="s">
        <v>41</v>
      </c>
      <c r="H9" s="274"/>
    </row>
    <row r="10" spans="1:8" ht="15" customHeight="1" x14ac:dyDescent="0.2">
      <c r="A10" s="37">
        <v>280</v>
      </c>
      <c r="B10" s="37">
        <v>219</v>
      </c>
      <c r="D10" s="44" t="s">
        <v>40</v>
      </c>
      <c r="E10" s="45"/>
      <c r="F10" s="40"/>
      <c r="G10" s="49" t="s">
        <v>43</v>
      </c>
      <c r="H10" s="50">
        <f>E16 + E17</f>
        <v>18</v>
      </c>
    </row>
    <row r="11" spans="1:8" ht="15" customHeight="1" x14ac:dyDescent="0.2">
      <c r="A11" s="37">
        <v>317</v>
      </c>
      <c r="B11" s="37">
        <v>202</v>
      </c>
      <c r="D11" s="41" t="s">
        <v>37</v>
      </c>
      <c r="E11" s="41">
        <f>COUNT($B:$B)</f>
        <v>10</v>
      </c>
      <c r="F11" s="40"/>
      <c r="G11" s="51" t="s">
        <v>97</v>
      </c>
      <c r="H11" s="52">
        <f>_xlfn.T.INV.2T(1 - H7, H10)</f>
        <v>2.1009220402410378</v>
      </c>
    </row>
    <row r="12" spans="1:8" ht="15" customHeight="1" x14ac:dyDescent="0.2">
      <c r="D12" s="41" t="s">
        <v>38</v>
      </c>
      <c r="E12" s="41">
        <f>AVERAGE($B:$B)</f>
        <v>202.3</v>
      </c>
      <c r="G12" s="49" t="s">
        <v>57</v>
      </c>
      <c r="H12" s="52">
        <f>(H11 * SQRT(E19 * (1/E7 + 1/E11)))</f>
        <v>38.360289798103459</v>
      </c>
    </row>
    <row r="13" spans="1:8" ht="15" customHeight="1" x14ac:dyDescent="0.2">
      <c r="D13" s="41" t="s">
        <v>39</v>
      </c>
      <c r="E13" s="48">
        <f>_xlfn.STDEV.S($B:$B)</f>
        <v>32.527082732872131</v>
      </c>
      <c r="G13" s="42"/>
      <c r="H13" s="43"/>
    </row>
    <row r="14" spans="1:8" ht="15" customHeight="1" x14ac:dyDescent="0.2">
      <c r="D14" s="40"/>
      <c r="E14" s="40"/>
      <c r="F14" s="40"/>
      <c r="G14" s="275" t="s">
        <v>58</v>
      </c>
      <c r="H14" s="276"/>
    </row>
    <row r="15" spans="1:8" ht="15" customHeight="1" x14ac:dyDescent="0.2">
      <c r="D15" s="265" t="s">
        <v>41</v>
      </c>
      <c r="E15" s="265"/>
      <c r="G15" s="53" t="s">
        <v>59</v>
      </c>
      <c r="H15" s="54">
        <f>E21 - H12</f>
        <v>2.7397102018965356</v>
      </c>
    </row>
    <row r="16" spans="1:8" ht="15" customHeight="1" thickBot="1" x14ac:dyDescent="0.25">
      <c r="D16" s="55" t="s">
        <v>51</v>
      </c>
      <c r="E16" s="55">
        <f>E7 - 1</f>
        <v>9</v>
      </c>
      <c r="G16" s="56" t="s">
        <v>60</v>
      </c>
      <c r="H16" s="57">
        <f>E21 + H12</f>
        <v>79.460289798103446</v>
      </c>
    </row>
    <row r="17" spans="4:8" ht="15" customHeight="1" x14ac:dyDescent="0.2">
      <c r="D17" s="55" t="s">
        <v>52</v>
      </c>
      <c r="E17" s="55">
        <f>E11 - 1</f>
        <v>9</v>
      </c>
      <c r="G17" s="40"/>
      <c r="H17" s="40"/>
    </row>
    <row r="18" spans="4:8" ht="15" customHeight="1" x14ac:dyDescent="0.2">
      <c r="D18" s="55" t="s">
        <v>42</v>
      </c>
      <c r="E18" s="55">
        <f>E16 + E17</f>
        <v>18</v>
      </c>
      <c r="F18" s="40"/>
    </row>
    <row r="19" spans="4:8" ht="15" customHeight="1" x14ac:dyDescent="0.2">
      <c r="D19" s="55" t="s">
        <v>53</v>
      </c>
      <c r="E19" s="58">
        <f>((E16 * E9^2) + (E17 * E13^2))/E18</f>
        <v>1666.9166666666667</v>
      </c>
      <c r="F19" s="40"/>
    </row>
    <row r="20" spans="4:8" ht="15" customHeight="1" x14ac:dyDescent="0.2">
      <c r="D20" s="55" t="s">
        <v>54</v>
      </c>
      <c r="E20" s="58">
        <f>SQRT(E19 * (1/E7 + 1/E11))</f>
        <v>18.258787838554163</v>
      </c>
      <c r="F20" s="40"/>
    </row>
    <row r="21" spans="4:8" ht="15" customHeight="1" x14ac:dyDescent="0.2">
      <c r="D21" s="55" t="s">
        <v>44</v>
      </c>
      <c r="E21" s="55">
        <f>E8 - E12</f>
        <v>41.099999999999994</v>
      </c>
    </row>
    <row r="22" spans="4:8" ht="15" customHeight="1" x14ac:dyDescent="0.2">
      <c r="D22" s="59" t="s">
        <v>98</v>
      </c>
      <c r="E22" s="60">
        <f>(E21 - E4)/E20</f>
        <v>2.2509708948594986</v>
      </c>
      <c r="F22" s="40"/>
    </row>
    <row r="23" spans="4:8" ht="15" customHeight="1" x14ac:dyDescent="0.2">
      <c r="F23" s="40"/>
    </row>
    <row r="24" spans="4:8" ht="15" customHeight="1" x14ac:dyDescent="0.2">
      <c r="D24" s="30" t="s">
        <v>47</v>
      </c>
      <c r="E24" s="31"/>
      <c r="F24" s="40"/>
      <c r="G24" s="62" t="s">
        <v>61</v>
      </c>
      <c r="H24" s="62"/>
    </row>
    <row r="25" spans="4:8" ht="15" customHeight="1" x14ac:dyDescent="0.2">
      <c r="D25" s="32" t="s">
        <v>48</v>
      </c>
      <c r="E25" s="60">
        <f>(_xlfn.T.INV.2T(2*E5,E18))</f>
        <v>1.7340636066175394</v>
      </c>
      <c r="F25" s="40"/>
      <c r="G25" s="63" t="s">
        <v>45</v>
      </c>
      <c r="H25" s="58">
        <f>_xlfn.T.DIST.RT(ABS(E22), E18)</f>
        <v>1.8561357123774019E-2</v>
      </c>
    </row>
    <row r="26" spans="4:8" ht="15" customHeight="1" x14ac:dyDescent="0.2">
      <c r="D26" s="59" t="s">
        <v>16</v>
      </c>
      <c r="E26" s="60">
        <f>IF(E22 &lt; 0, H26, H25)</f>
        <v>1.8561357123774019E-2</v>
      </c>
      <c r="G26" s="63" t="s">
        <v>46</v>
      </c>
      <c r="H26" s="58">
        <f>1 - H25</f>
        <v>0.98143864287622595</v>
      </c>
    </row>
    <row r="27" spans="4:8" ht="15" customHeight="1" x14ac:dyDescent="0.2">
      <c r="D27" s="31" t="str">
        <f>IF(E26 &lt; E5,"Reject the null hypothesis","Do not reject the null hypothesis")</f>
        <v>Reject the null hypothesis</v>
      </c>
      <c r="E27" s="31"/>
    </row>
    <row r="28" spans="4:8" ht="15" customHeight="1" x14ac:dyDescent="0.2"/>
  </sheetData>
  <mergeCells count="7">
    <mergeCell ref="D15:E15"/>
    <mergeCell ref="D3:E3"/>
    <mergeCell ref="G3:H3"/>
    <mergeCell ref="G4:H4"/>
    <mergeCell ref="G6:H6"/>
    <mergeCell ref="G9:H9"/>
    <mergeCell ref="G14:H14"/>
  </mergeCells>
  <printOptions gridLines="1" gridLinesSet="0"/>
  <pageMargins left="0.75" right="0.75" top="1" bottom="1" header="0.5" footer="0.5"/>
  <pageSetup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5B92C-19B6-46FE-B246-7BB25CFE1AF1}">
  <sheetPr>
    <tabColor rgb="FFFFC000"/>
    <pageSetUpPr fitToPage="1"/>
  </sheetPr>
  <dimension ref="A1:F25"/>
  <sheetViews>
    <sheetView workbookViewId="0">
      <selection activeCell="L11" sqref="L11"/>
    </sheetView>
  </sheetViews>
  <sheetFormatPr baseColWidth="10" defaultColWidth="9.1640625" defaultRowHeight="15" x14ac:dyDescent="0.2"/>
  <cols>
    <col min="1" max="1" width="12.5" style="37" customWidth="1"/>
    <col min="2" max="2" width="7.83203125" style="37" customWidth="1"/>
    <col min="3" max="3" width="9.1640625" style="68"/>
    <col min="4" max="4" width="24.1640625" style="68" customWidth="1"/>
    <col min="5" max="5" width="15.5" style="68" customWidth="1"/>
    <col min="6" max="6" width="7" style="68" customWidth="1"/>
    <col min="7" max="16384" width="9.1640625" style="68"/>
  </cols>
  <sheetData>
    <row r="1" spans="1:6" ht="15" customHeight="1" x14ac:dyDescent="0.2">
      <c r="A1" s="22" t="s">
        <v>92</v>
      </c>
      <c r="B1" s="87" t="s">
        <v>93</v>
      </c>
      <c r="D1" s="66" t="s">
        <v>100</v>
      </c>
      <c r="E1" s="67"/>
      <c r="F1" s="67"/>
    </row>
    <row r="2" spans="1:6" ht="15" customHeight="1" x14ac:dyDescent="0.2">
      <c r="A2" s="26">
        <v>224</v>
      </c>
      <c r="B2" s="26">
        <v>192</v>
      </c>
      <c r="D2" s="68" t="s">
        <v>101</v>
      </c>
    </row>
    <row r="3" spans="1:6" ht="15" customHeight="1" x14ac:dyDescent="0.2">
      <c r="A3" s="26">
        <v>189</v>
      </c>
      <c r="B3" s="26">
        <v>236</v>
      </c>
      <c r="D3" s="295" t="s">
        <v>33</v>
      </c>
      <c r="E3" s="295"/>
    </row>
    <row r="4" spans="1:6" ht="15" customHeight="1" x14ac:dyDescent="0.2">
      <c r="A4" s="26">
        <v>248</v>
      </c>
      <c r="B4" s="26">
        <v>164</v>
      </c>
      <c r="D4" s="69" t="s">
        <v>34</v>
      </c>
      <c r="E4" s="69">
        <v>0</v>
      </c>
    </row>
    <row r="5" spans="1:6" ht="15" customHeight="1" x14ac:dyDescent="0.2">
      <c r="A5" s="26">
        <v>285</v>
      </c>
      <c r="B5" s="26">
        <v>154</v>
      </c>
      <c r="D5" s="69" t="s">
        <v>35</v>
      </c>
      <c r="E5" s="69">
        <v>0.05</v>
      </c>
    </row>
    <row r="6" spans="1:6" ht="15" customHeight="1" x14ac:dyDescent="0.2">
      <c r="A6" s="26">
        <v>273</v>
      </c>
      <c r="B6" s="26">
        <v>189</v>
      </c>
      <c r="D6" s="70" t="s">
        <v>36</v>
      </c>
      <c r="E6" s="71"/>
    </row>
    <row r="7" spans="1:6" ht="15" customHeight="1" x14ac:dyDescent="0.2">
      <c r="A7" s="26">
        <v>160</v>
      </c>
      <c r="B7" s="26">
        <v>220</v>
      </c>
      <c r="D7" s="69" t="s">
        <v>37</v>
      </c>
      <c r="E7" s="69">
        <f>COUNT($A:$A)</f>
        <v>10</v>
      </c>
    </row>
    <row r="8" spans="1:6" ht="15" customHeight="1" x14ac:dyDescent="0.2">
      <c r="A8" s="26">
        <v>243</v>
      </c>
      <c r="B8" s="26">
        <v>261</v>
      </c>
      <c r="D8" s="69" t="s">
        <v>38</v>
      </c>
      <c r="E8" s="69">
        <f>AVERAGE($A:$A)</f>
        <v>243.4</v>
      </c>
      <c r="F8" s="72"/>
    </row>
    <row r="9" spans="1:6" ht="15" customHeight="1" x14ac:dyDescent="0.2">
      <c r="A9" s="26">
        <v>215</v>
      </c>
      <c r="B9" s="26">
        <v>186</v>
      </c>
      <c r="D9" s="69" t="s">
        <v>39</v>
      </c>
      <c r="E9" s="73">
        <f>STDEV($A:$A)</f>
        <v>47.705578523084959</v>
      </c>
      <c r="F9" s="72"/>
    </row>
    <row r="10" spans="1:6" ht="15" customHeight="1" x14ac:dyDescent="0.2">
      <c r="A10" s="26">
        <v>280</v>
      </c>
      <c r="B10" s="26">
        <v>219</v>
      </c>
      <c r="D10" s="69" t="s">
        <v>49</v>
      </c>
      <c r="E10" s="73">
        <f>E9^2</f>
        <v>2275.8222222222248</v>
      </c>
      <c r="F10" s="72"/>
    </row>
    <row r="11" spans="1:6" ht="15" customHeight="1" x14ac:dyDescent="0.2">
      <c r="A11" s="26">
        <v>317</v>
      </c>
      <c r="B11" s="26">
        <v>202</v>
      </c>
      <c r="D11" s="70" t="s">
        <v>40</v>
      </c>
      <c r="E11" s="71"/>
      <c r="F11" s="72"/>
    </row>
    <row r="12" spans="1:6" ht="15" customHeight="1" x14ac:dyDescent="0.2">
      <c r="D12" s="69" t="s">
        <v>37</v>
      </c>
      <c r="E12" s="69">
        <f>COUNT($B:$B)</f>
        <v>10</v>
      </c>
      <c r="F12" s="72"/>
    </row>
    <row r="13" spans="1:6" ht="15" customHeight="1" x14ac:dyDescent="0.2">
      <c r="D13" s="69" t="s">
        <v>38</v>
      </c>
      <c r="E13" s="69">
        <f>AVERAGE(B2:B11)</f>
        <v>202.3</v>
      </c>
    </row>
    <row r="14" spans="1:6" ht="15" customHeight="1" x14ac:dyDescent="0.2">
      <c r="D14" s="69" t="s">
        <v>39</v>
      </c>
      <c r="E14" s="73">
        <f>STDEV($B:$B)</f>
        <v>32.527082732872131</v>
      </c>
    </row>
    <row r="15" spans="1:6" ht="15" customHeight="1" x14ac:dyDescent="0.2">
      <c r="D15" s="74" t="s">
        <v>49</v>
      </c>
      <c r="E15" s="75">
        <f>E14^2</f>
        <v>1058.0111111111084</v>
      </c>
    </row>
    <row r="16" spans="1:6" ht="15" customHeight="1" x14ac:dyDescent="0.2">
      <c r="D16" s="72"/>
      <c r="E16" s="72"/>
      <c r="F16" s="72"/>
    </row>
    <row r="17" spans="4:6" ht="15" customHeight="1" x14ac:dyDescent="0.2">
      <c r="D17" s="296" t="s">
        <v>41</v>
      </c>
      <c r="E17" s="296"/>
    </row>
    <row r="18" spans="4:6" ht="15" customHeight="1" x14ac:dyDescent="0.2">
      <c r="D18" s="76" t="s">
        <v>43</v>
      </c>
      <c r="E18" s="77">
        <f>INT(((E10/E7+E15/E12)^2)/((E10/E7)^2/(E7-1)+(E15/E12)^2/(E12-1)))</f>
        <v>15</v>
      </c>
    </row>
    <row r="19" spans="4:6" ht="15" customHeight="1" x14ac:dyDescent="0.2">
      <c r="D19" s="78" t="s">
        <v>102</v>
      </c>
      <c r="E19" s="79">
        <f>(E8-E13)/SQRT(E10/E7 + E15/E12)</f>
        <v>2.2509708948594991</v>
      </c>
      <c r="F19" s="72"/>
    </row>
    <row r="20" spans="4:6" ht="15" customHeight="1" x14ac:dyDescent="0.2">
      <c r="D20" s="80"/>
      <c r="F20" s="72"/>
    </row>
    <row r="21" spans="4:6" ht="15" customHeight="1" x14ac:dyDescent="0.2">
      <c r="D21" s="81" t="s">
        <v>50</v>
      </c>
      <c r="E21" s="82"/>
      <c r="F21" s="72"/>
    </row>
    <row r="22" spans="4:6" x14ac:dyDescent="0.2">
      <c r="D22" s="83" t="s">
        <v>62</v>
      </c>
      <c r="E22" s="79">
        <f>-(_xlfn.T.INV.2T(E5, E18))</f>
        <v>-2.1314495455597742</v>
      </c>
      <c r="F22" s="72"/>
    </row>
    <row r="23" spans="4:6" x14ac:dyDescent="0.2">
      <c r="D23" s="83" t="s">
        <v>48</v>
      </c>
      <c r="E23" s="79">
        <f>_xlfn.T.INV.2T(E5, E18)</f>
        <v>2.1314495455597742</v>
      </c>
    </row>
    <row r="24" spans="4:6" x14ac:dyDescent="0.2">
      <c r="D24" s="84" t="s">
        <v>103</v>
      </c>
      <c r="E24" s="79">
        <f>_xlfn.T.DIST.2T(ABS(E19),E18) - E4</f>
        <v>3.9813679061185832E-2</v>
      </c>
    </row>
    <row r="25" spans="4:6" x14ac:dyDescent="0.2">
      <c r="D25" s="82" t="str">
        <f>IF(E24 &lt; E5,"Reject the null hypothesis","Do not reject the null hypothesis")</f>
        <v>Reject the null hypothesis</v>
      </c>
      <c r="E25" s="82"/>
    </row>
  </sheetData>
  <mergeCells count="2">
    <mergeCell ref="D3:E3"/>
    <mergeCell ref="D17:E17"/>
  </mergeCells>
  <printOptions gridLines="1" gridLinesSet="0"/>
  <pageMargins left="0.75" right="0.75" top="1" bottom="1" header="0.5" footer="0.5"/>
  <pageSetup orientation="landscape"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8F51B-4714-4F4C-9033-0E1BF8D08F77}">
  <sheetPr>
    <tabColor rgb="FFFFC000"/>
    <pageSetUpPr fitToPage="1"/>
  </sheetPr>
  <dimension ref="A1:H28"/>
  <sheetViews>
    <sheetView topLeftCell="A8" workbookViewId="0">
      <selection activeCell="G17" sqref="G17"/>
    </sheetView>
  </sheetViews>
  <sheetFormatPr baseColWidth="10" defaultColWidth="9.1640625" defaultRowHeight="15" x14ac:dyDescent="0.2"/>
  <cols>
    <col min="1" max="1" width="12.5" style="37" customWidth="1"/>
    <col min="2" max="2" width="7.83203125" style="37" customWidth="1"/>
    <col min="3" max="3" width="9.1640625" style="68"/>
    <col min="4" max="4" width="35.5" style="68" customWidth="1"/>
    <col min="5" max="5" width="15.5" style="68" customWidth="1"/>
    <col min="6" max="6" width="2.5" style="68" customWidth="1"/>
    <col min="7" max="7" width="29.5" style="68" customWidth="1"/>
    <col min="8" max="8" width="9.5" style="68" customWidth="1"/>
    <col min="9" max="16384" width="9.1640625" style="68"/>
  </cols>
  <sheetData>
    <row r="1" spans="1:8" ht="15" customHeight="1" x14ac:dyDescent="0.2">
      <c r="A1" s="22" t="s">
        <v>92</v>
      </c>
      <c r="B1" s="87" t="s">
        <v>93</v>
      </c>
      <c r="D1" s="66" t="s">
        <v>100</v>
      </c>
      <c r="E1" s="67"/>
      <c r="F1"/>
      <c r="G1"/>
      <c r="H1"/>
    </row>
    <row r="2" spans="1:8" ht="15" customHeight="1" x14ac:dyDescent="0.2">
      <c r="A2" s="26">
        <v>224</v>
      </c>
      <c r="B2" s="26">
        <v>192</v>
      </c>
      <c r="D2" s="68" t="s">
        <v>101</v>
      </c>
      <c r="F2"/>
      <c r="G2"/>
      <c r="H2"/>
    </row>
    <row r="3" spans="1:8" ht="15" customHeight="1" x14ac:dyDescent="0.2">
      <c r="A3" s="26">
        <v>189</v>
      </c>
      <c r="B3" s="26">
        <v>236</v>
      </c>
      <c r="D3" s="295" t="s">
        <v>33</v>
      </c>
      <c r="E3" s="295"/>
      <c r="F3"/>
      <c r="G3"/>
      <c r="H3"/>
    </row>
    <row r="4" spans="1:8" ht="15" customHeight="1" x14ac:dyDescent="0.2">
      <c r="A4" s="26">
        <v>248</v>
      </c>
      <c r="B4" s="26">
        <v>164</v>
      </c>
      <c r="D4" s="69" t="s">
        <v>34</v>
      </c>
      <c r="E4" s="69">
        <v>0</v>
      </c>
      <c r="F4"/>
      <c r="G4"/>
      <c r="H4"/>
    </row>
    <row r="5" spans="1:8" ht="15" customHeight="1" x14ac:dyDescent="0.2">
      <c r="A5" s="26">
        <v>285</v>
      </c>
      <c r="B5" s="26">
        <v>154</v>
      </c>
      <c r="D5" s="69" t="s">
        <v>35</v>
      </c>
      <c r="E5" s="69">
        <v>0.05</v>
      </c>
      <c r="F5"/>
      <c r="G5"/>
      <c r="H5"/>
    </row>
    <row r="6" spans="1:8" ht="15" customHeight="1" x14ac:dyDescent="0.2">
      <c r="A6" s="26">
        <v>273</v>
      </c>
      <c r="B6" s="26">
        <v>189</v>
      </c>
      <c r="D6" s="70" t="s">
        <v>36</v>
      </c>
      <c r="E6" s="71"/>
      <c r="F6"/>
      <c r="G6"/>
      <c r="H6"/>
    </row>
    <row r="7" spans="1:8" ht="15" customHeight="1" x14ac:dyDescent="0.2">
      <c r="A7" s="26">
        <v>160</v>
      </c>
      <c r="B7" s="26">
        <v>220</v>
      </c>
      <c r="D7" s="69" t="s">
        <v>37</v>
      </c>
      <c r="E7" s="69">
        <f>COUNT($A:$A)</f>
        <v>10</v>
      </c>
      <c r="F7"/>
      <c r="G7"/>
      <c r="H7"/>
    </row>
    <row r="8" spans="1:8" ht="15" customHeight="1" x14ac:dyDescent="0.2">
      <c r="A8" s="26">
        <v>243</v>
      </c>
      <c r="B8" s="26">
        <v>261</v>
      </c>
      <c r="D8" s="69" t="s">
        <v>38</v>
      </c>
      <c r="E8" s="69">
        <f>AVERAGE($A:$A)</f>
        <v>243.4</v>
      </c>
      <c r="F8"/>
      <c r="G8"/>
      <c r="H8"/>
    </row>
    <row r="9" spans="1:8" ht="15" customHeight="1" x14ac:dyDescent="0.2">
      <c r="A9" s="26">
        <v>215</v>
      </c>
      <c r="B9" s="26">
        <v>186</v>
      </c>
      <c r="D9" s="69" t="s">
        <v>39</v>
      </c>
      <c r="E9" s="73">
        <f>STDEV($A:$A)</f>
        <v>47.705578523084959</v>
      </c>
      <c r="F9"/>
      <c r="G9"/>
      <c r="H9"/>
    </row>
    <row r="10" spans="1:8" ht="15" customHeight="1" x14ac:dyDescent="0.2">
      <c r="A10" s="26">
        <v>280</v>
      </c>
      <c r="B10" s="26">
        <v>219</v>
      </c>
      <c r="D10" s="69" t="s">
        <v>49</v>
      </c>
      <c r="E10" s="73">
        <f>E9^2</f>
        <v>2275.8222222222248</v>
      </c>
      <c r="F10"/>
      <c r="G10"/>
      <c r="H10"/>
    </row>
    <row r="11" spans="1:8" ht="15" customHeight="1" x14ac:dyDescent="0.2">
      <c r="A11" s="26">
        <v>317</v>
      </c>
      <c r="B11" s="26">
        <v>202</v>
      </c>
      <c r="D11" s="70" t="s">
        <v>40</v>
      </c>
      <c r="E11" s="71"/>
      <c r="F11"/>
      <c r="G11"/>
      <c r="H11"/>
    </row>
    <row r="12" spans="1:8" ht="15" customHeight="1" x14ac:dyDescent="0.2">
      <c r="D12" s="69" t="s">
        <v>37</v>
      </c>
      <c r="E12" s="69">
        <f>COUNT($B:$B)</f>
        <v>10</v>
      </c>
      <c r="F12"/>
      <c r="G12"/>
      <c r="H12"/>
    </row>
    <row r="13" spans="1:8" ht="15" customHeight="1" x14ac:dyDescent="0.2">
      <c r="D13" s="69" t="s">
        <v>38</v>
      </c>
      <c r="E13" s="69">
        <f>AVERAGE($B:$B)</f>
        <v>202.3</v>
      </c>
      <c r="F13"/>
      <c r="G13"/>
      <c r="H13"/>
    </row>
    <row r="14" spans="1:8" ht="15" customHeight="1" x14ac:dyDescent="0.2">
      <c r="D14" s="69" t="s">
        <v>39</v>
      </c>
      <c r="E14" s="73">
        <f>STDEV($B:$B)</f>
        <v>32.527082732872131</v>
      </c>
      <c r="F14"/>
      <c r="G14"/>
      <c r="H14"/>
    </row>
    <row r="15" spans="1:8" ht="15" customHeight="1" x14ac:dyDescent="0.2">
      <c r="D15" s="74" t="s">
        <v>49</v>
      </c>
      <c r="E15" s="75">
        <f>E14^2</f>
        <v>1058.0111111111084</v>
      </c>
      <c r="F15"/>
      <c r="G15"/>
      <c r="H15"/>
    </row>
    <row r="16" spans="1:8" ht="15" customHeight="1" x14ac:dyDescent="0.2">
      <c r="D16" s="72"/>
      <c r="E16" s="72"/>
      <c r="F16"/>
      <c r="G16"/>
      <c r="H16"/>
    </row>
    <row r="17" spans="4:8" ht="15" customHeight="1" x14ac:dyDescent="0.2">
      <c r="D17" s="296" t="s">
        <v>41</v>
      </c>
      <c r="E17" s="296"/>
      <c r="F17"/>
      <c r="G17"/>
      <c r="H17"/>
    </row>
    <row r="18" spans="4:8" ht="15" customHeight="1" x14ac:dyDescent="0.2">
      <c r="D18" s="76" t="s">
        <v>43</v>
      </c>
      <c r="E18" s="77">
        <f>INT(((E10/E7+E15/E12)^2)/((E10/E7)^2/(E7-1)+(E15/E12)^2/(E12-1)))</f>
        <v>15</v>
      </c>
      <c r="F18"/>
      <c r="G18"/>
      <c r="H18"/>
    </row>
    <row r="19" spans="4:8" ht="15" customHeight="1" x14ac:dyDescent="0.2">
      <c r="D19" s="78" t="s">
        <v>102</v>
      </c>
      <c r="E19" s="79">
        <f>(E8-E13)/SQRT(E10/E7 + E15/E12)</f>
        <v>2.2509708948594991</v>
      </c>
      <c r="F19"/>
      <c r="G19"/>
      <c r="H19"/>
    </row>
    <row r="20" spans="4:8" ht="15" customHeight="1" x14ac:dyDescent="0.2">
      <c r="D20" s="80"/>
      <c r="F20"/>
      <c r="G20"/>
      <c r="H20"/>
    </row>
    <row r="21" spans="4:8" ht="15" customHeight="1" x14ac:dyDescent="0.2">
      <c r="D21" s="30" t="s">
        <v>99</v>
      </c>
      <c r="E21" s="31"/>
      <c r="F21"/>
      <c r="G21"/>
      <c r="H21"/>
    </row>
    <row r="22" spans="4:8" ht="15" customHeight="1" x14ac:dyDescent="0.2">
      <c r="D22" s="32" t="s">
        <v>62</v>
      </c>
      <c r="E22" s="60">
        <f>-(_xlfn.T.INV.2T(2*E5,E18))</f>
        <v>-1.7530503556925723</v>
      </c>
      <c r="F22"/>
      <c r="G22"/>
      <c r="H22"/>
    </row>
    <row r="23" spans="4:8" ht="15" customHeight="1" x14ac:dyDescent="0.2">
      <c r="D23" s="59" t="s">
        <v>103</v>
      </c>
      <c r="E23" s="60">
        <f>IF(E20&lt;0,_xlfn.T.DIST.RT(ABS(E19),E18),1-_xlfn.T.DIST.RT(ABS(E19),E18))</f>
        <v>0.98009316046940709</v>
      </c>
      <c r="F23"/>
      <c r="G23"/>
      <c r="H23"/>
    </row>
    <row r="24" spans="4:8" ht="15" customHeight="1" x14ac:dyDescent="0.2">
      <c r="D24" s="31" t="str">
        <f>IF(E23 &lt; E5,"Reject the null hypothesis","Do not reject the null hypothesis")</f>
        <v>Do not reject the null hypothesis</v>
      </c>
      <c r="E24" s="31"/>
      <c r="F24" s="72"/>
    </row>
    <row r="25" spans="4:8" x14ac:dyDescent="0.2">
      <c r="F25" s="72"/>
    </row>
    <row r="28" spans="4:8" x14ac:dyDescent="0.2">
      <c r="D28" s="37"/>
      <c r="E28" s="37"/>
    </row>
  </sheetData>
  <mergeCells count="2">
    <mergeCell ref="D3:E3"/>
    <mergeCell ref="D17:E17"/>
  </mergeCells>
  <printOptions gridLines="1" gridLinesSet="0"/>
  <pageMargins left="0.75" right="0.75" top="1" bottom="1" header="0.5" footer="0.5"/>
  <pageSetup orientation="landscape"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CF68C-6ACA-4B5D-B37C-033372A524A0}">
  <sheetPr>
    <tabColor rgb="FFFFC000"/>
    <pageSetUpPr fitToPage="1"/>
  </sheetPr>
  <dimension ref="A1:I24"/>
  <sheetViews>
    <sheetView workbookViewId="0">
      <selection activeCell="D31" sqref="D31"/>
    </sheetView>
  </sheetViews>
  <sheetFormatPr baseColWidth="10" defaultColWidth="9.1640625" defaultRowHeight="15" x14ac:dyDescent="0.2"/>
  <cols>
    <col min="1" max="1" width="12.5" style="37" customWidth="1"/>
    <col min="2" max="2" width="7.83203125" style="37" customWidth="1"/>
    <col min="3" max="3" width="9.1640625" style="68"/>
    <col min="4" max="4" width="35.5" style="68" customWidth="1"/>
    <col min="5" max="5" width="15.5" style="68" customWidth="1"/>
    <col min="6" max="6" width="2.5" style="68" customWidth="1"/>
    <col min="7" max="7" width="29.5" customWidth="1"/>
    <col min="8" max="8" width="9.5" customWidth="1"/>
    <col min="10" max="16384" width="9.1640625" style="68"/>
  </cols>
  <sheetData>
    <row r="1" spans="1:6" ht="15" customHeight="1" x14ac:dyDescent="0.2">
      <c r="A1" s="22" t="s">
        <v>92</v>
      </c>
      <c r="B1" s="87" t="s">
        <v>93</v>
      </c>
      <c r="D1" s="66" t="s">
        <v>100</v>
      </c>
      <c r="E1" s="67"/>
      <c r="F1" s="67"/>
    </row>
    <row r="2" spans="1:6" ht="15" customHeight="1" x14ac:dyDescent="0.2">
      <c r="A2" s="26">
        <v>224</v>
      </c>
      <c r="B2" s="26">
        <v>192</v>
      </c>
      <c r="D2" s="68" t="s">
        <v>101</v>
      </c>
    </row>
    <row r="3" spans="1:6" ht="15" customHeight="1" x14ac:dyDescent="0.2">
      <c r="A3" s="26">
        <v>189</v>
      </c>
      <c r="B3" s="26">
        <v>236</v>
      </c>
      <c r="D3" s="295" t="s">
        <v>33</v>
      </c>
      <c r="E3" s="295"/>
    </row>
    <row r="4" spans="1:6" ht="15" customHeight="1" x14ac:dyDescent="0.2">
      <c r="A4" s="26">
        <v>248</v>
      </c>
      <c r="B4" s="26">
        <v>164</v>
      </c>
      <c r="D4" s="69" t="s">
        <v>34</v>
      </c>
      <c r="E4" s="69">
        <v>0</v>
      </c>
    </row>
    <row r="5" spans="1:6" ht="15" customHeight="1" x14ac:dyDescent="0.2">
      <c r="A5" s="26">
        <v>285</v>
      </c>
      <c r="B5" s="26">
        <v>154</v>
      </c>
      <c r="D5" s="69" t="s">
        <v>35</v>
      </c>
      <c r="E5" s="69">
        <v>0.05</v>
      </c>
    </row>
    <row r="6" spans="1:6" ht="15" customHeight="1" x14ac:dyDescent="0.2">
      <c r="A6" s="26">
        <v>273</v>
      </c>
      <c r="B6" s="26">
        <v>189</v>
      </c>
      <c r="D6" s="70" t="s">
        <v>36</v>
      </c>
      <c r="E6" s="71"/>
    </row>
    <row r="7" spans="1:6" ht="15" customHeight="1" x14ac:dyDescent="0.2">
      <c r="A7" s="26">
        <v>160</v>
      </c>
      <c r="B7" s="26">
        <v>220</v>
      </c>
      <c r="D7" s="69" t="s">
        <v>37</v>
      </c>
      <c r="E7" s="69">
        <f>COUNT($A:$A)</f>
        <v>10</v>
      </c>
    </row>
    <row r="8" spans="1:6" ht="15" customHeight="1" x14ac:dyDescent="0.2">
      <c r="A8" s="26">
        <v>243</v>
      </c>
      <c r="B8" s="26">
        <v>261</v>
      </c>
      <c r="D8" s="69" t="s">
        <v>38</v>
      </c>
      <c r="E8" s="69">
        <f>AVERAGE($A:$A)</f>
        <v>243.4</v>
      </c>
      <c r="F8" s="72"/>
    </row>
    <row r="9" spans="1:6" ht="15" customHeight="1" x14ac:dyDescent="0.2">
      <c r="A9" s="26">
        <v>215</v>
      </c>
      <c r="B9" s="26">
        <v>186</v>
      </c>
      <c r="D9" s="69" t="s">
        <v>39</v>
      </c>
      <c r="E9" s="73">
        <f>STDEV($A:$A)</f>
        <v>47.705578523084959</v>
      </c>
      <c r="F9" s="72"/>
    </row>
    <row r="10" spans="1:6" ht="15" customHeight="1" x14ac:dyDescent="0.2">
      <c r="A10" s="26">
        <v>280</v>
      </c>
      <c r="B10" s="26">
        <v>219</v>
      </c>
      <c r="D10" s="69" t="s">
        <v>49</v>
      </c>
      <c r="E10" s="73">
        <f>E9^2</f>
        <v>2275.8222222222248</v>
      </c>
      <c r="F10" s="72"/>
    </row>
    <row r="11" spans="1:6" ht="15" customHeight="1" x14ac:dyDescent="0.2">
      <c r="A11" s="26">
        <v>317</v>
      </c>
      <c r="B11" s="26">
        <v>202</v>
      </c>
      <c r="D11" s="70" t="s">
        <v>40</v>
      </c>
      <c r="E11" s="71"/>
      <c r="F11" s="72"/>
    </row>
    <row r="12" spans="1:6" ht="15" customHeight="1" x14ac:dyDescent="0.2">
      <c r="D12" s="69" t="s">
        <v>37</v>
      </c>
      <c r="E12" s="69">
        <f>COUNT($B:$B)</f>
        <v>10</v>
      </c>
    </row>
    <row r="13" spans="1:6" ht="15" customHeight="1" x14ac:dyDescent="0.2">
      <c r="D13" s="69" t="s">
        <v>38</v>
      </c>
      <c r="E13" s="69">
        <f>AVERAGE([1]DataCopy!$B:$B)</f>
        <v>202.3</v>
      </c>
    </row>
    <row r="14" spans="1:6" ht="15" customHeight="1" x14ac:dyDescent="0.2">
      <c r="D14" s="69" t="s">
        <v>39</v>
      </c>
      <c r="E14" s="73">
        <f>STDEV($B:$B)</f>
        <v>32.527082732872131</v>
      </c>
      <c r="F14" s="72"/>
    </row>
    <row r="15" spans="1:6" ht="15" customHeight="1" x14ac:dyDescent="0.2">
      <c r="D15" s="74" t="s">
        <v>49</v>
      </c>
      <c r="E15" s="75">
        <f>E14^2</f>
        <v>1058.0111111111084</v>
      </c>
    </row>
    <row r="16" spans="1:6" ht="15" customHeight="1" x14ac:dyDescent="0.2">
      <c r="D16" s="72"/>
      <c r="E16" s="72"/>
    </row>
    <row r="17" spans="4:6" ht="15" customHeight="1" x14ac:dyDescent="0.2">
      <c r="D17" s="296" t="s">
        <v>41</v>
      </c>
      <c r="E17" s="296"/>
    </row>
    <row r="18" spans="4:6" ht="15" customHeight="1" x14ac:dyDescent="0.2">
      <c r="D18" s="76" t="s">
        <v>43</v>
      </c>
      <c r="E18" s="77">
        <f>INT(((E10/E7+E15/E12)^2)/((E10/E7)^2/(E7-1)+(E15/E12)^2/(E12-1)))</f>
        <v>15</v>
      </c>
    </row>
    <row r="19" spans="4:6" ht="15" customHeight="1" x14ac:dyDescent="0.2">
      <c r="D19" s="78" t="s">
        <v>102</v>
      </c>
      <c r="E19" s="79">
        <f>(E8-E13)/SQRT(E10/E7 + E15/E12)</f>
        <v>2.2509708948594991</v>
      </c>
    </row>
    <row r="20" spans="4:6" ht="15" customHeight="1" x14ac:dyDescent="0.2">
      <c r="D20" s="80"/>
      <c r="F20" s="72"/>
    </row>
    <row r="21" spans="4:6" ht="15" customHeight="1" x14ac:dyDescent="0.2">
      <c r="D21" s="30" t="s">
        <v>104</v>
      </c>
      <c r="E21" s="31"/>
    </row>
    <row r="22" spans="4:6" ht="15" customHeight="1" x14ac:dyDescent="0.2">
      <c r="D22" s="32" t="s">
        <v>48</v>
      </c>
      <c r="E22" s="60">
        <f>(_xlfn.T.INV.2T(2*E5,E18))</f>
        <v>1.7530503556925723</v>
      </c>
      <c r="F22" s="72"/>
    </row>
    <row r="23" spans="4:6" ht="15" customHeight="1" x14ac:dyDescent="0.2">
      <c r="D23" s="59" t="s">
        <v>103</v>
      </c>
      <c r="E23" s="60">
        <f>IF(E19&lt;0,_xlfn.T.DIST.RT(ABS(E19),E18),1-_xlfn.T.DIST.RT(ABS(E19),E18))</f>
        <v>0.98009316046940709</v>
      </c>
      <c r="F23" s="72"/>
    </row>
    <row r="24" spans="4:6" ht="15" customHeight="1" x14ac:dyDescent="0.2">
      <c r="D24" s="31" t="str">
        <f>IF(E23 &lt; E5,"Reject the null hypothesis","Do not reject the null hypothesis")</f>
        <v>Do not reject the null hypothesis</v>
      </c>
      <c r="E24" s="31"/>
      <c r="F24" s="72"/>
    </row>
  </sheetData>
  <mergeCells count="2">
    <mergeCell ref="D3:E3"/>
    <mergeCell ref="D17:E17"/>
  </mergeCells>
  <printOptions gridLines="1" gridLinesSet="0"/>
  <pageMargins left="0.75" right="0.75" top="1" bottom="1" header="0.5" footer="0.5"/>
  <pageSetup orientation="landscape" horizontalDpi="300"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5D85-B3D2-4769-B360-1E64F4946715}">
  <sheetPr>
    <tabColor rgb="FF00B050"/>
  </sheetPr>
  <dimension ref="A1:E34"/>
  <sheetViews>
    <sheetView workbookViewId="0">
      <selection activeCell="A21" sqref="A21"/>
    </sheetView>
  </sheetViews>
  <sheetFormatPr baseColWidth="10" defaultColWidth="9.1640625" defaultRowHeight="15" x14ac:dyDescent="0.2"/>
  <cols>
    <col min="1" max="1" width="27.5" style="68" customWidth="1"/>
    <col min="2" max="2" width="12.33203125" style="68" customWidth="1"/>
    <col min="3" max="3" width="7.6640625" style="68" customWidth="1"/>
    <col min="4" max="4" width="42.33203125" style="68" customWidth="1"/>
    <col min="5" max="5" width="10.6640625" style="68" customWidth="1"/>
    <col min="6" max="16384" width="9.1640625" style="68"/>
  </cols>
  <sheetData>
    <row r="1" spans="1:5" ht="15" customHeight="1" x14ac:dyDescent="0.2">
      <c r="A1" s="66" t="s">
        <v>115</v>
      </c>
      <c r="B1" s="67"/>
      <c r="D1" s="72"/>
    </row>
    <row r="2" spans="1:5" ht="15" customHeight="1" thickBot="1" x14ac:dyDescent="0.25">
      <c r="A2" s="66"/>
      <c r="B2" s="67"/>
    </row>
    <row r="3" spans="1:5" ht="15" customHeight="1" x14ac:dyDescent="0.2">
      <c r="A3" s="295" t="s">
        <v>33</v>
      </c>
      <c r="B3" s="295"/>
      <c r="D3" s="299" t="s">
        <v>96</v>
      </c>
      <c r="E3" s="300"/>
    </row>
    <row r="4" spans="1:5" ht="15" customHeight="1" x14ac:dyDescent="0.2">
      <c r="A4" s="69" t="s">
        <v>34</v>
      </c>
      <c r="B4" s="69">
        <v>0</v>
      </c>
      <c r="D4" s="301" t="s">
        <v>116</v>
      </c>
      <c r="E4" s="302"/>
    </row>
    <row r="5" spans="1:5" ht="15" customHeight="1" x14ac:dyDescent="0.2">
      <c r="A5" s="69" t="s">
        <v>35</v>
      </c>
      <c r="B5" s="69">
        <v>0.05</v>
      </c>
      <c r="D5" s="113"/>
      <c r="E5" s="114"/>
    </row>
    <row r="6" spans="1:5" ht="15" customHeight="1" x14ac:dyDescent="0.2">
      <c r="A6" s="70" t="s">
        <v>117</v>
      </c>
      <c r="B6" s="70"/>
      <c r="D6" s="303" t="s">
        <v>33</v>
      </c>
      <c r="E6" s="304"/>
    </row>
    <row r="7" spans="1:5" ht="15" customHeight="1" x14ac:dyDescent="0.2">
      <c r="A7" s="69" t="s">
        <v>118</v>
      </c>
      <c r="B7" s="69">
        <v>163</v>
      </c>
      <c r="C7" s="115"/>
      <c r="D7" s="116" t="s">
        <v>56</v>
      </c>
      <c r="E7" s="117">
        <v>0.95</v>
      </c>
    </row>
    <row r="8" spans="1:5" ht="15" customHeight="1" x14ac:dyDescent="0.2">
      <c r="A8" s="69" t="s">
        <v>37</v>
      </c>
      <c r="B8" s="69">
        <v>227</v>
      </c>
      <c r="C8" s="115"/>
      <c r="D8" s="113"/>
      <c r="E8" s="114"/>
    </row>
    <row r="9" spans="1:5" ht="15" customHeight="1" x14ac:dyDescent="0.2">
      <c r="A9" s="70" t="s">
        <v>119</v>
      </c>
      <c r="B9" s="70"/>
      <c r="C9" s="115"/>
      <c r="D9" s="305" t="s">
        <v>41</v>
      </c>
      <c r="E9" s="306"/>
    </row>
    <row r="10" spans="1:5" ht="15" customHeight="1" x14ac:dyDescent="0.2">
      <c r="A10" s="69" t="s">
        <v>118</v>
      </c>
      <c r="B10" s="69">
        <v>154</v>
      </c>
      <c r="D10" s="118" t="s">
        <v>120</v>
      </c>
      <c r="E10" s="119">
        <f>_xlfn.NORM.S.INV((1 - E7)/2)</f>
        <v>-1.9599639845400536</v>
      </c>
    </row>
    <row r="11" spans="1:5" ht="15" customHeight="1" x14ac:dyDescent="0.2">
      <c r="A11" s="69" t="s">
        <v>37</v>
      </c>
      <c r="B11" s="69">
        <v>262</v>
      </c>
      <c r="D11" s="120" t="s">
        <v>121</v>
      </c>
      <c r="E11" s="119">
        <f>SQRT((B14*(1 - B14)/B8) + (B15 * (1 - B15)/B11))</f>
        <v>4.2621953401570066E-2</v>
      </c>
    </row>
    <row r="12" spans="1:5" ht="15" customHeight="1" x14ac:dyDescent="0.2">
      <c r="A12" s="72"/>
      <c r="B12" s="72"/>
      <c r="D12" s="120" t="s">
        <v>57</v>
      </c>
      <c r="E12" s="119">
        <f>ABS(E10 * E11)</f>
        <v>8.3537493617821756E-2</v>
      </c>
    </row>
    <row r="13" spans="1:5" ht="15" customHeight="1" x14ac:dyDescent="0.2">
      <c r="A13" s="296" t="s">
        <v>41</v>
      </c>
      <c r="B13" s="296"/>
      <c r="D13" s="113"/>
      <c r="E13" s="114"/>
    </row>
    <row r="14" spans="1:5" ht="15" customHeight="1" x14ac:dyDescent="0.2">
      <c r="A14" s="76" t="s">
        <v>122</v>
      </c>
      <c r="B14" s="85">
        <f>B7/B8</f>
        <v>0.7180616740088106</v>
      </c>
      <c r="D14" s="297" t="s">
        <v>58</v>
      </c>
      <c r="E14" s="298"/>
    </row>
    <row r="15" spans="1:5" ht="15" customHeight="1" x14ac:dyDescent="0.2">
      <c r="A15" s="76" t="s">
        <v>123</v>
      </c>
      <c r="B15" s="85">
        <f>B10/B11</f>
        <v>0.58778625954198471</v>
      </c>
      <c r="D15" s="121" t="s">
        <v>59</v>
      </c>
      <c r="E15" s="122">
        <f>B16 - E12</f>
        <v>4.6737920849004133E-2</v>
      </c>
    </row>
    <row r="16" spans="1:5" ht="15" customHeight="1" thickBot="1" x14ac:dyDescent="0.25">
      <c r="A16" s="76" t="s">
        <v>124</v>
      </c>
      <c r="B16" s="85">
        <f>B14 - B15</f>
        <v>0.13027541446682589</v>
      </c>
      <c r="D16" s="123" t="s">
        <v>60</v>
      </c>
      <c r="E16" s="124">
        <f>B16 + E12</f>
        <v>0.21381290808464765</v>
      </c>
    </row>
    <row r="17" spans="1:2" ht="15" customHeight="1" x14ac:dyDescent="0.2">
      <c r="A17" s="76" t="s">
        <v>125</v>
      </c>
      <c r="B17" s="85">
        <f>(B7 + B10)/(B8 + B11)</f>
        <v>0.6482617586912065</v>
      </c>
    </row>
    <row r="18" spans="1:2" ht="15" customHeight="1" x14ac:dyDescent="0.2">
      <c r="A18" s="83" t="s">
        <v>126</v>
      </c>
      <c r="B18" s="79">
        <f>(B16 - B4)/SQRT(B17 * (1 - B17) * (1/B8 + 1/B11))</f>
        <v>3.0087535298151025</v>
      </c>
    </row>
    <row r="19" spans="1:2" ht="15" customHeight="1" x14ac:dyDescent="0.2">
      <c r="A19" s="125"/>
      <c r="B19" s="126"/>
    </row>
    <row r="20" spans="1:2" ht="15" customHeight="1" x14ac:dyDescent="0.2">
      <c r="A20" s="81" t="s">
        <v>50</v>
      </c>
      <c r="B20" s="81"/>
    </row>
    <row r="21" spans="1:2" ht="15" customHeight="1" x14ac:dyDescent="0.2">
      <c r="A21" s="83" t="s">
        <v>62</v>
      </c>
      <c r="B21" s="79">
        <f>_xlfn.NORM.S.INV(B5/2)</f>
        <v>-1.9599639845400538</v>
      </c>
    </row>
    <row r="22" spans="1:2" ht="15" customHeight="1" x14ac:dyDescent="0.2">
      <c r="A22" s="83" t="s">
        <v>48</v>
      </c>
      <c r="B22" s="79">
        <f>_xlfn.NORM.S.INV(1 - B5/2)</f>
        <v>1.9599639845400536</v>
      </c>
    </row>
    <row r="23" spans="1:2" ht="15" customHeight="1" x14ac:dyDescent="0.2">
      <c r="A23" s="84" t="s">
        <v>103</v>
      </c>
      <c r="B23" s="79">
        <f>2 * (1 - _xlfn.NORM.S.DIST(ABS(B18), TRUE))</f>
        <v>2.6232183024965661E-3</v>
      </c>
    </row>
    <row r="24" spans="1:2" ht="15" customHeight="1" x14ac:dyDescent="0.2">
      <c r="A24" s="82" t="str">
        <f>IF(B23 &lt; B5, "Reject the null hypothesis", "Do not reject the null hypothesis")</f>
        <v>Reject the null hypothesis</v>
      </c>
      <c r="B24" s="82"/>
    </row>
    <row r="25" spans="1:2" ht="15" customHeight="1" x14ac:dyDescent="0.2"/>
    <row r="26" spans="1:2" ht="15" customHeight="1" x14ac:dyDescent="0.2"/>
    <row r="27" spans="1:2" ht="15" customHeight="1" x14ac:dyDescent="0.2"/>
    <row r="28" spans="1:2" ht="15" customHeight="1" x14ac:dyDescent="0.2"/>
    <row r="29" spans="1:2" ht="15" customHeight="1" x14ac:dyDescent="0.2"/>
    <row r="30" spans="1:2" ht="15" customHeight="1" x14ac:dyDescent="0.2"/>
    <row r="31" spans="1:2" ht="15" customHeight="1" x14ac:dyDescent="0.2"/>
    <row r="34" ht="15" customHeight="1" x14ac:dyDescent="0.2"/>
  </sheetData>
  <mergeCells count="7">
    <mergeCell ref="D14:E14"/>
    <mergeCell ref="A3:B3"/>
    <mergeCell ref="D3:E3"/>
    <mergeCell ref="D4:E4"/>
    <mergeCell ref="D6:E6"/>
    <mergeCell ref="D9:E9"/>
    <mergeCell ref="A13:B13"/>
  </mergeCells>
  <printOptions gridLines="1" gridLinesSet="0"/>
  <pageMargins left="0.75" right="0.75" top="1" bottom="1" header="0.5" footer="0.5"/>
  <pageSetup orientation="portrait" horizontalDpi="300"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3D80-FAAA-4E3E-9D30-8B4EDBB02319}">
  <sheetPr>
    <tabColor rgb="FF00B050"/>
  </sheetPr>
  <dimension ref="A1:E34"/>
  <sheetViews>
    <sheetView workbookViewId="0">
      <selection activeCell="A21" sqref="A21"/>
    </sheetView>
  </sheetViews>
  <sheetFormatPr baseColWidth="10" defaultColWidth="9.1640625" defaultRowHeight="15" x14ac:dyDescent="0.2"/>
  <cols>
    <col min="1" max="1" width="27.5" style="68" customWidth="1"/>
    <col min="2" max="2" width="12.33203125" style="68" customWidth="1"/>
    <col min="3" max="3" width="7.6640625" style="68" customWidth="1"/>
    <col min="4" max="4" width="42.33203125" style="68" customWidth="1"/>
    <col min="5" max="5" width="10.6640625" style="68" customWidth="1"/>
    <col min="6" max="16384" width="9.1640625" style="68"/>
  </cols>
  <sheetData>
    <row r="1" spans="1:5" ht="15" customHeight="1" x14ac:dyDescent="0.2">
      <c r="A1" s="66" t="s">
        <v>115</v>
      </c>
      <c r="B1" s="67"/>
      <c r="D1" s="72"/>
    </row>
    <row r="2" spans="1:5" ht="15" customHeight="1" thickBot="1" x14ac:dyDescent="0.25">
      <c r="A2" s="66"/>
      <c r="B2" s="67"/>
    </row>
    <row r="3" spans="1:5" ht="15" customHeight="1" x14ac:dyDescent="0.2">
      <c r="A3" s="295" t="s">
        <v>33</v>
      </c>
      <c r="B3" s="295"/>
      <c r="D3" s="299" t="s">
        <v>96</v>
      </c>
      <c r="E3" s="300"/>
    </row>
    <row r="4" spans="1:5" ht="15" customHeight="1" x14ac:dyDescent="0.2">
      <c r="A4" s="69" t="s">
        <v>34</v>
      </c>
      <c r="B4" s="69">
        <v>0</v>
      </c>
      <c r="D4" s="301" t="s">
        <v>116</v>
      </c>
      <c r="E4" s="302"/>
    </row>
    <row r="5" spans="1:5" ht="15" customHeight="1" x14ac:dyDescent="0.2">
      <c r="A5" s="69" t="s">
        <v>35</v>
      </c>
      <c r="B5" s="69">
        <v>0.05</v>
      </c>
      <c r="D5" s="113"/>
      <c r="E5" s="114"/>
    </row>
    <row r="6" spans="1:5" ht="15" customHeight="1" x14ac:dyDescent="0.2">
      <c r="A6" s="70" t="s">
        <v>117</v>
      </c>
      <c r="B6" s="70"/>
      <c r="D6" s="303" t="s">
        <v>33</v>
      </c>
      <c r="E6" s="304"/>
    </row>
    <row r="7" spans="1:5" ht="15" customHeight="1" x14ac:dyDescent="0.2">
      <c r="A7" s="69" t="s">
        <v>118</v>
      </c>
      <c r="B7" s="69">
        <v>163</v>
      </c>
      <c r="C7" s="115"/>
      <c r="D7" s="116" t="s">
        <v>56</v>
      </c>
      <c r="E7" s="117">
        <v>0.95</v>
      </c>
    </row>
    <row r="8" spans="1:5" ht="15" customHeight="1" x14ac:dyDescent="0.2">
      <c r="A8" s="69" t="s">
        <v>37</v>
      </c>
      <c r="B8" s="69">
        <v>227</v>
      </c>
      <c r="C8" s="115"/>
      <c r="D8" s="113"/>
      <c r="E8" s="114"/>
    </row>
    <row r="9" spans="1:5" ht="15" customHeight="1" x14ac:dyDescent="0.2">
      <c r="A9" s="70" t="s">
        <v>119</v>
      </c>
      <c r="B9" s="70"/>
      <c r="C9" s="115"/>
      <c r="D9" s="305" t="s">
        <v>41</v>
      </c>
      <c r="E9" s="306"/>
    </row>
    <row r="10" spans="1:5" ht="15" customHeight="1" x14ac:dyDescent="0.2">
      <c r="A10" s="69" t="s">
        <v>118</v>
      </c>
      <c r="B10" s="69">
        <v>154</v>
      </c>
      <c r="D10" s="118" t="s">
        <v>120</v>
      </c>
      <c r="E10" s="119">
        <f>_xlfn.NORM.S.INV((1 - E7)/2)</f>
        <v>-1.9599639845400536</v>
      </c>
    </row>
    <row r="11" spans="1:5" ht="15" customHeight="1" x14ac:dyDescent="0.2">
      <c r="A11" s="69" t="s">
        <v>37</v>
      </c>
      <c r="B11" s="69">
        <v>262</v>
      </c>
      <c r="D11" s="120" t="s">
        <v>121</v>
      </c>
      <c r="E11" s="119">
        <f>SQRT((B14*(1 - B14)/B8) + (B15 * (1 - B15)/B11))</f>
        <v>4.2621953401570066E-2</v>
      </c>
    </row>
    <row r="12" spans="1:5" ht="15" customHeight="1" x14ac:dyDescent="0.2">
      <c r="A12" s="72"/>
      <c r="B12" s="72"/>
      <c r="D12" s="120" t="s">
        <v>57</v>
      </c>
      <c r="E12" s="119">
        <f>ABS(E10 * E11)</f>
        <v>8.3537493617821756E-2</v>
      </c>
    </row>
    <row r="13" spans="1:5" ht="15" customHeight="1" x14ac:dyDescent="0.2">
      <c r="A13" s="296" t="s">
        <v>41</v>
      </c>
      <c r="B13" s="296"/>
      <c r="D13" s="113"/>
      <c r="E13" s="114"/>
    </row>
    <row r="14" spans="1:5" ht="15" customHeight="1" x14ac:dyDescent="0.2">
      <c r="A14" s="76" t="s">
        <v>122</v>
      </c>
      <c r="B14" s="85">
        <f>B7/B8</f>
        <v>0.7180616740088106</v>
      </c>
      <c r="D14" s="297" t="s">
        <v>58</v>
      </c>
      <c r="E14" s="298"/>
    </row>
    <row r="15" spans="1:5" ht="15" customHeight="1" x14ac:dyDescent="0.2">
      <c r="A15" s="76" t="s">
        <v>123</v>
      </c>
      <c r="B15" s="85">
        <f>B10/B11</f>
        <v>0.58778625954198471</v>
      </c>
      <c r="D15" s="121" t="s">
        <v>59</v>
      </c>
      <c r="E15" s="122">
        <f>B16 - E12</f>
        <v>4.6737920849004133E-2</v>
      </c>
    </row>
    <row r="16" spans="1:5" ht="15" customHeight="1" thickBot="1" x14ac:dyDescent="0.25">
      <c r="A16" s="76" t="s">
        <v>124</v>
      </c>
      <c r="B16" s="85">
        <f>B14 - B15</f>
        <v>0.13027541446682589</v>
      </c>
      <c r="D16" s="123" t="s">
        <v>60</v>
      </c>
      <c r="E16" s="124">
        <f>B16 + E12</f>
        <v>0.21381290808464765</v>
      </c>
    </row>
    <row r="17" spans="1:2" ht="15" customHeight="1" x14ac:dyDescent="0.2">
      <c r="A17" s="76" t="s">
        <v>125</v>
      </c>
      <c r="B17" s="85">
        <f>(B7 + B10)/(B8 + B11)</f>
        <v>0.6482617586912065</v>
      </c>
    </row>
    <row r="18" spans="1:2" ht="15" customHeight="1" x14ac:dyDescent="0.2">
      <c r="A18" s="84" t="s">
        <v>127</v>
      </c>
      <c r="B18" s="79">
        <f>(B16 - B4)/SQRT(B17 * (1 - B17) * (1/B8 + 1/B11))</f>
        <v>3.0087535298151025</v>
      </c>
    </row>
    <row r="19" spans="1:2" ht="15" customHeight="1" x14ac:dyDescent="0.2">
      <c r="A19" s="72"/>
      <c r="B19" s="72"/>
    </row>
    <row r="20" spans="1:2" ht="15" customHeight="1" x14ac:dyDescent="0.2">
      <c r="A20" s="81" t="s">
        <v>112</v>
      </c>
      <c r="B20" s="81"/>
    </row>
    <row r="21" spans="1:2" ht="15" customHeight="1" x14ac:dyDescent="0.2">
      <c r="A21" s="83" t="s">
        <v>62</v>
      </c>
      <c r="B21" s="79">
        <f>_xlfn.NORM.S.INV(B5)</f>
        <v>-1.6448536269514726</v>
      </c>
    </row>
    <row r="22" spans="1:2" ht="15" customHeight="1" x14ac:dyDescent="0.2">
      <c r="A22" s="84" t="s">
        <v>103</v>
      </c>
      <c r="B22" s="79">
        <f>_xlfn.NORM.S.DIST(B18, TRUE)</f>
        <v>0.99868839084875172</v>
      </c>
    </row>
    <row r="23" spans="1:2" ht="15" customHeight="1" x14ac:dyDescent="0.2">
      <c r="A23" s="82" t="str">
        <f>IF(B22&lt; B5, "Reject the null hypothesis", "Do not reject the null hypothesis")</f>
        <v>Do not reject the null hypothesis</v>
      </c>
      <c r="B23" s="82"/>
    </row>
    <row r="24" spans="1:2" ht="15" customHeight="1" x14ac:dyDescent="0.2"/>
    <row r="25" spans="1:2" ht="15" customHeight="1" x14ac:dyDescent="0.2"/>
    <row r="26" spans="1:2" ht="15" customHeight="1" x14ac:dyDescent="0.2"/>
    <row r="27" spans="1:2" ht="15" customHeight="1" x14ac:dyDescent="0.2"/>
    <row r="28" spans="1:2" ht="15" customHeight="1" x14ac:dyDescent="0.2"/>
    <row r="29" spans="1:2" ht="15" customHeight="1" x14ac:dyDescent="0.2"/>
    <row r="30" spans="1:2" ht="15" customHeight="1" x14ac:dyDescent="0.2"/>
    <row r="31" spans="1:2" ht="15" customHeight="1" x14ac:dyDescent="0.2"/>
    <row r="34" ht="15" customHeight="1" x14ac:dyDescent="0.2"/>
  </sheetData>
  <mergeCells count="7">
    <mergeCell ref="D14:E14"/>
    <mergeCell ref="A3:B3"/>
    <mergeCell ref="D3:E3"/>
    <mergeCell ref="D4:E4"/>
    <mergeCell ref="D6:E6"/>
    <mergeCell ref="D9:E9"/>
    <mergeCell ref="A13:B13"/>
  </mergeCells>
  <printOptions gridLines="1" gridLinesSet="0"/>
  <pageMargins left="0.75" right="0.75" top="1" bottom="1" header="0.5" footer="0.5"/>
  <pageSetup orientation="portrait" horizontalDpi="300" verticalDpi="3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0003-3ED8-43AC-83C2-30E75533664F}">
  <sheetPr>
    <tabColor rgb="FF00B050"/>
  </sheetPr>
  <dimension ref="A1:E34"/>
  <sheetViews>
    <sheetView workbookViewId="0">
      <selection activeCell="D19" sqref="D19"/>
    </sheetView>
  </sheetViews>
  <sheetFormatPr baseColWidth="10" defaultColWidth="9.1640625" defaultRowHeight="15" x14ac:dyDescent="0.2"/>
  <cols>
    <col min="1" max="1" width="27.5" style="68" customWidth="1"/>
    <col min="2" max="2" width="12.33203125" style="68" customWidth="1"/>
    <col min="3" max="3" width="7.6640625" style="68" customWidth="1"/>
    <col min="4" max="4" width="42.33203125" style="68" customWidth="1"/>
    <col min="5" max="5" width="10.6640625" style="68" customWidth="1"/>
    <col min="6" max="16384" width="9.1640625" style="68"/>
  </cols>
  <sheetData>
    <row r="1" spans="1:5" ht="15" customHeight="1" x14ac:dyDescent="0.2">
      <c r="A1" s="66" t="s">
        <v>115</v>
      </c>
      <c r="B1" s="67"/>
      <c r="D1" s="72"/>
    </row>
    <row r="2" spans="1:5" ht="15" customHeight="1" thickBot="1" x14ac:dyDescent="0.25">
      <c r="A2" s="66"/>
      <c r="B2" s="67"/>
    </row>
    <row r="3" spans="1:5" ht="15" customHeight="1" x14ac:dyDescent="0.2">
      <c r="A3" s="295" t="s">
        <v>33</v>
      </c>
      <c r="B3" s="295"/>
      <c r="D3" s="299" t="s">
        <v>96</v>
      </c>
      <c r="E3" s="300"/>
    </row>
    <row r="4" spans="1:5" ht="15" customHeight="1" x14ac:dyDescent="0.2">
      <c r="A4" s="69" t="s">
        <v>34</v>
      </c>
      <c r="B4" s="69">
        <v>0</v>
      </c>
      <c r="D4" s="301" t="s">
        <v>116</v>
      </c>
      <c r="E4" s="302"/>
    </row>
    <row r="5" spans="1:5" ht="15" customHeight="1" x14ac:dyDescent="0.2">
      <c r="A5" s="69" t="s">
        <v>35</v>
      </c>
      <c r="B5" s="69">
        <v>0.05</v>
      </c>
      <c r="D5" s="113"/>
      <c r="E5" s="114"/>
    </row>
    <row r="6" spans="1:5" ht="15" customHeight="1" x14ac:dyDescent="0.2">
      <c r="A6" s="70" t="s">
        <v>117</v>
      </c>
      <c r="B6" s="70"/>
      <c r="D6" s="303" t="s">
        <v>33</v>
      </c>
      <c r="E6" s="304"/>
    </row>
    <row r="7" spans="1:5" ht="15" customHeight="1" x14ac:dyDescent="0.2">
      <c r="A7" s="69" t="s">
        <v>118</v>
      </c>
      <c r="B7" s="69">
        <v>163</v>
      </c>
      <c r="C7" s="115"/>
      <c r="D7" s="116" t="s">
        <v>56</v>
      </c>
      <c r="E7" s="117">
        <v>0.95</v>
      </c>
    </row>
    <row r="8" spans="1:5" ht="15" customHeight="1" x14ac:dyDescent="0.2">
      <c r="A8" s="69" t="s">
        <v>37</v>
      </c>
      <c r="B8" s="69">
        <v>227</v>
      </c>
      <c r="C8" s="115"/>
      <c r="D8" s="113"/>
      <c r="E8" s="114"/>
    </row>
    <row r="9" spans="1:5" ht="15" customHeight="1" x14ac:dyDescent="0.2">
      <c r="A9" s="70" t="s">
        <v>119</v>
      </c>
      <c r="B9" s="70"/>
      <c r="C9" s="115"/>
      <c r="D9" s="305" t="s">
        <v>41</v>
      </c>
      <c r="E9" s="306"/>
    </row>
    <row r="10" spans="1:5" ht="15" customHeight="1" x14ac:dyDescent="0.2">
      <c r="A10" s="69" t="s">
        <v>118</v>
      </c>
      <c r="B10" s="69">
        <v>154</v>
      </c>
      <c r="D10" s="118" t="s">
        <v>120</v>
      </c>
      <c r="E10" s="119">
        <f>_xlfn.NORM.S.INV((1 - E7)/2)</f>
        <v>-1.9599639845400536</v>
      </c>
    </row>
    <row r="11" spans="1:5" ht="15" customHeight="1" x14ac:dyDescent="0.2">
      <c r="A11" s="69" t="s">
        <v>37</v>
      </c>
      <c r="B11" s="69">
        <v>262</v>
      </c>
      <c r="D11" s="120" t="s">
        <v>121</v>
      </c>
      <c r="E11" s="119">
        <f>SQRT((B14*(1 - B14)/B8) + (B15 * (1 - B15)/B11))</f>
        <v>4.2621953401570066E-2</v>
      </c>
    </row>
    <row r="12" spans="1:5" ht="15" customHeight="1" x14ac:dyDescent="0.2">
      <c r="A12" s="72"/>
      <c r="B12" s="72"/>
      <c r="D12" s="120" t="s">
        <v>57</v>
      </c>
      <c r="E12" s="119">
        <f>ABS(E10 * E11)</f>
        <v>8.3537493617821756E-2</v>
      </c>
    </row>
    <row r="13" spans="1:5" ht="15" customHeight="1" x14ac:dyDescent="0.2">
      <c r="A13" s="296" t="s">
        <v>41</v>
      </c>
      <c r="B13" s="296"/>
      <c r="D13" s="113"/>
      <c r="E13" s="114"/>
    </row>
    <row r="14" spans="1:5" ht="15" customHeight="1" x14ac:dyDescent="0.2">
      <c r="A14" s="76" t="s">
        <v>122</v>
      </c>
      <c r="B14" s="85">
        <f>B7/B8</f>
        <v>0.7180616740088106</v>
      </c>
      <c r="D14" s="297" t="s">
        <v>58</v>
      </c>
      <c r="E14" s="298"/>
    </row>
    <row r="15" spans="1:5" ht="15" customHeight="1" x14ac:dyDescent="0.2">
      <c r="A15" s="76" t="s">
        <v>123</v>
      </c>
      <c r="B15" s="85">
        <f>B10/B11</f>
        <v>0.58778625954198471</v>
      </c>
      <c r="D15" s="121" t="s">
        <v>59</v>
      </c>
      <c r="E15" s="122">
        <f>B16 - E12</f>
        <v>4.6737920849004133E-2</v>
      </c>
    </row>
    <row r="16" spans="1:5" ht="15" customHeight="1" thickBot="1" x14ac:dyDescent="0.25">
      <c r="A16" s="76" t="s">
        <v>124</v>
      </c>
      <c r="B16" s="85">
        <f>B14 - B15</f>
        <v>0.13027541446682589</v>
      </c>
      <c r="D16" s="123" t="s">
        <v>60</v>
      </c>
      <c r="E16" s="124">
        <f>B16 + E12</f>
        <v>0.21381290808464765</v>
      </c>
    </row>
    <row r="17" spans="1:2" ht="15" customHeight="1" x14ac:dyDescent="0.2">
      <c r="A17" s="76" t="s">
        <v>125</v>
      </c>
      <c r="B17" s="85">
        <f>(B7 + B10)/(B8 + B11)</f>
        <v>0.6482617586912065</v>
      </c>
    </row>
    <row r="18" spans="1:2" ht="15" customHeight="1" x14ac:dyDescent="0.2">
      <c r="A18" s="84" t="s">
        <v>127</v>
      </c>
      <c r="B18" s="79">
        <f>(B16 - B4)/SQRT(B17 * (1 - B17) * (1/B8 + 1/B11))</f>
        <v>3.0087535298151025</v>
      </c>
    </row>
    <row r="19" spans="1:2" ht="15" customHeight="1" x14ac:dyDescent="0.2">
      <c r="A19" s="72"/>
      <c r="B19" s="72"/>
    </row>
    <row r="20" spans="1:2" ht="15" customHeight="1" x14ac:dyDescent="0.2">
      <c r="A20" s="81" t="s">
        <v>47</v>
      </c>
      <c r="B20" s="81"/>
    </row>
    <row r="21" spans="1:2" ht="15" customHeight="1" x14ac:dyDescent="0.2">
      <c r="A21" s="83" t="s">
        <v>48</v>
      </c>
      <c r="B21" s="79">
        <f>_xlfn.NORM.S.INV(1 - B5)</f>
        <v>1.6448536269514715</v>
      </c>
    </row>
    <row r="22" spans="1:2" ht="15" customHeight="1" x14ac:dyDescent="0.2">
      <c r="A22" s="84" t="s">
        <v>103</v>
      </c>
      <c r="B22" s="79">
        <f>1 - _xlfn.NORM.S.DIST(B18, TRUE)</f>
        <v>1.311609151248283E-3</v>
      </c>
    </row>
    <row r="23" spans="1:2" ht="15" customHeight="1" x14ac:dyDescent="0.2">
      <c r="A23" s="82" t="str">
        <f>IF(B22&lt; B5, "Reject the null hypothesis", "Do not reject the null hypothesis")</f>
        <v>Reject the null hypothesis</v>
      </c>
      <c r="B23" s="82"/>
    </row>
    <row r="24" spans="1:2" ht="15" customHeight="1" x14ac:dyDescent="0.2"/>
    <row r="25" spans="1:2" ht="15" customHeight="1" x14ac:dyDescent="0.2"/>
    <row r="26" spans="1:2" ht="15" customHeight="1" x14ac:dyDescent="0.2"/>
    <row r="27" spans="1:2" ht="15" customHeight="1" x14ac:dyDescent="0.2"/>
    <row r="28" spans="1:2" ht="15" customHeight="1" x14ac:dyDescent="0.2"/>
    <row r="29" spans="1:2" ht="15" customHeight="1" x14ac:dyDescent="0.2"/>
    <row r="30" spans="1:2" ht="15" customHeight="1" x14ac:dyDescent="0.2"/>
    <row r="31" spans="1:2" ht="15" customHeight="1" x14ac:dyDescent="0.2"/>
    <row r="34" ht="15" customHeight="1" x14ac:dyDescent="0.2"/>
  </sheetData>
  <dataConsolidate/>
  <mergeCells count="7">
    <mergeCell ref="D14:E14"/>
    <mergeCell ref="A3:B3"/>
    <mergeCell ref="D3:E3"/>
    <mergeCell ref="D4:E4"/>
    <mergeCell ref="D6:E6"/>
    <mergeCell ref="D9:E9"/>
    <mergeCell ref="A13:B13"/>
  </mergeCells>
  <printOptions gridLines="1" gridLinesSet="0"/>
  <pageMargins left="0.75" right="0.75" top="1" bottom="1" header="0.5" footer="0.5"/>
  <pageSetup orientation="portrait" horizontalDpi="300" verticalDpi="3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1154D-041B-47B1-9052-17867E502DC8}">
  <sheetPr>
    <tabColor rgb="FF00B0F0"/>
  </sheetPr>
  <dimension ref="A1:E20"/>
  <sheetViews>
    <sheetView workbookViewId="0">
      <selection activeCell="D1" sqref="D1:E20"/>
    </sheetView>
  </sheetViews>
  <sheetFormatPr baseColWidth="10" defaultColWidth="8.83203125" defaultRowHeight="15" x14ac:dyDescent="0.2"/>
  <cols>
    <col min="1" max="1" width="11.5" customWidth="1"/>
    <col min="4" max="4" width="38.33203125" customWidth="1"/>
  </cols>
  <sheetData>
    <row r="1" spans="1:5" x14ac:dyDescent="0.2">
      <c r="A1" s="25" t="s">
        <v>128</v>
      </c>
      <c r="B1" s="25" t="s">
        <v>93</v>
      </c>
      <c r="D1" s="127" t="s">
        <v>129</v>
      </c>
      <c r="E1" s="128"/>
    </row>
    <row r="2" spans="1:5" x14ac:dyDescent="0.2">
      <c r="A2" s="26">
        <v>224</v>
      </c>
      <c r="B2" s="26">
        <v>192</v>
      </c>
      <c r="D2" s="129"/>
      <c r="E2" s="128"/>
    </row>
    <row r="3" spans="1:5" x14ac:dyDescent="0.2">
      <c r="A3" s="26">
        <v>189</v>
      </c>
      <c r="B3" s="26">
        <v>236</v>
      </c>
      <c r="D3" s="307" t="s">
        <v>33</v>
      </c>
      <c r="E3" s="307"/>
    </row>
    <row r="4" spans="1:5" x14ac:dyDescent="0.2">
      <c r="A4" s="26">
        <v>248</v>
      </c>
      <c r="B4" s="26">
        <v>164</v>
      </c>
      <c r="D4" s="28" t="s">
        <v>35</v>
      </c>
      <c r="E4" s="28">
        <v>0.05</v>
      </c>
    </row>
    <row r="5" spans="1:5" x14ac:dyDescent="0.2">
      <c r="A5" s="26">
        <v>285</v>
      </c>
      <c r="B5" s="26">
        <v>154</v>
      </c>
      <c r="D5" s="130" t="s">
        <v>68</v>
      </c>
      <c r="E5" s="130"/>
    </row>
    <row r="6" spans="1:5" x14ac:dyDescent="0.2">
      <c r="A6" s="26">
        <v>273</v>
      </c>
      <c r="B6" s="26">
        <v>189</v>
      </c>
      <c r="D6" s="28" t="s">
        <v>37</v>
      </c>
      <c r="E6" s="28">
        <f>COUNT($A:$A)</f>
        <v>10</v>
      </c>
    </row>
    <row r="7" spans="1:5" x14ac:dyDescent="0.2">
      <c r="A7" s="26">
        <v>160</v>
      </c>
      <c r="B7" s="26">
        <v>220</v>
      </c>
      <c r="D7" s="28" t="s">
        <v>49</v>
      </c>
      <c r="E7" s="28">
        <f>_xlfn.VAR.S($A:$A)</f>
        <v>2275.8222222222248</v>
      </c>
    </row>
    <row r="8" spans="1:5" x14ac:dyDescent="0.2">
      <c r="A8" s="26">
        <v>243</v>
      </c>
      <c r="B8" s="26">
        <v>261</v>
      </c>
      <c r="D8" s="130" t="s">
        <v>69</v>
      </c>
      <c r="E8" s="130"/>
    </row>
    <row r="9" spans="1:5" x14ac:dyDescent="0.2">
      <c r="A9" s="26">
        <v>215</v>
      </c>
      <c r="B9" s="26">
        <v>186</v>
      </c>
      <c r="D9" s="28" t="s">
        <v>37</v>
      </c>
      <c r="E9" s="28">
        <f>COUNT($B:$B)</f>
        <v>10</v>
      </c>
    </row>
    <row r="10" spans="1:5" x14ac:dyDescent="0.2">
      <c r="A10" s="26">
        <v>280</v>
      </c>
      <c r="B10" s="26">
        <v>219</v>
      </c>
      <c r="D10" s="28" t="s">
        <v>49</v>
      </c>
      <c r="E10" s="28">
        <f>_xlfn.VAR.S($B:$B)</f>
        <v>1058.0111111111084</v>
      </c>
    </row>
    <row r="11" spans="1:5" x14ac:dyDescent="0.2">
      <c r="A11" s="26">
        <v>317</v>
      </c>
      <c r="B11" s="26">
        <v>202</v>
      </c>
      <c r="D11" s="29"/>
      <c r="E11" s="29"/>
    </row>
    <row r="12" spans="1:5" x14ac:dyDescent="0.2">
      <c r="D12" s="308" t="s">
        <v>41</v>
      </c>
      <c r="E12" s="308"/>
    </row>
    <row r="13" spans="1:5" x14ac:dyDescent="0.2">
      <c r="D13" s="131" t="s">
        <v>130</v>
      </c>
      <c r="E13" s="132">
        <f>E7/E10</f>
        <v>2.1510381113409935</v>
      </c>
    </row>
    <row r="14" spans="1:5" x14ac:dyDescent="0.2">
      <c r="D14" s="133" t="s">
        <v>51</v>
      </c>
      <c r="E14" s="133">
        <f>E6 - 1</f>
        <v>9</v>
      </c>
    </row>
    <row r="15" spans="1:5" x14ac:dyDescent="0.2">
      <c r="D15" s="133" t="s">
        <v>52</v>
      </c>
      <c r="E15" s="133">
        <f>E9 - 1</f>
        <v>9</v>
      </c>
    </row>
    <row r="16" spans="1:5" x14ac:dyDescent="0.2">
      <c r="D16" s="134"/>
      <c r="E16" s="134"/>
    </row>
    <row r="17" spans="4:5" x14ac:dyDescent="0.2">
      <c r="D17" s="135" t="s">
        <v>50</v>
      </c>
      <c r="E17" s="135"/>
    </row>
    <row r="18" spans="4:5" x14ac:dyDescent="0.2">
      <c r="D18" s="136" t="s">
        <v>48</v>
      </c>
      <c r="E18" s="132">
        <f>_xlfn.F.INV.RT(E4/2, E14, E15)</f>
        <v>4.0259941582829777</v>
      </c>
    </row>
    <row r="19" spans="4:5" x14ac:dyDescent="0.2">
      <c r="D19" s="131" t="s">
        <v>103</v>
      </c>
      <c r="E19" s="132">
        <f>2 * _xlfn.F.DIST.RT(E13, E14, E15)</f>
        <v>0.26930172738450237</v>
      </c>
    </row>
    <row r="20" spans="4:5" x14ac:dyDescent="0.2">
      <c r="D20" s="137" t="str">
        <f>IF(E19 &lt; E4, "Reject the null hypothesis","Do not reject the null hypothesis")</f>
        <v>Do not reject the null hypothesis</v>
      </c>
      <c r="E20" s="137"/>
    </row>
  </sheetData>
  <mergeCells count="2">
    <mergeCell ref="D3:E3"/>
    <mergeCell ref="D12:E12"/>
  </mergeCells>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0AD68-63FA-4496-B9F9-F5018E12343D}">
  <sheetPr>
    <tabColor rgb="FF00B0F0"/>
  </sheetPr>
  <dimension ref="A1:E20"/>
  <sheetViews>
    <sheetView workbookViewId="0">
      <selection activeCell="G13" sqref="G13"/>
    </sheetView>
  </sheetViews>
  <sheetFormatPr baseColWidth="10" defaultColWidth="8.83203125" defaultRowHeight="15" x14ac:dyDescent="0.2"/>
  <cols>
    <col min="4" max="4" width="38.33203125" customWidth="1"/>
  </cols>
  <sheetData>
    <row r="1" spans="1:5" x14ac:dyDescent="0.2">
      <c r="A1" s="25" t="s">
        <v>128</v>
      </c>
      <c r="B1" s="25" t="s">
        <v>93</v>
      </c>
      <c r="D1" s="127" t="s">
        <v>129</v>
      </c>
      <c r="E1" s="128"/>
    </row>
    <row r="2" spans="1:5" x14ac:dyDescent="0.2">
      <c r="A2" s="26">
        <v>224</v>
      </c>
      <c r="B2" s="26">
        <v>192</v>
      </c>
      <c r="D2" s="129"/>
      <c r="E2" s="128"/>
    </row>
    <row r="3" spans="1:5" x14ac:dyDescent="0.2">
      <c r="A3" s="26">
        <v>189</v>
      </c>
      <c r="B3" s="26">
        <v>236</v>
      </c>
      <c r="D3" s="307" t="s">
        <v>33</v>
      </c>
      <c r="E3" s="307"/>
    </row>
    <row r="4" spans="1:5" x14ac:dyDescent="0.2">
      <c r="A4" s="26">
        <v>248</v>
      </c>
      <c r="B4" s="26">
        <v>164</v>
      </c>
      <c r="D4" s="28" t="s">
        <v>35</v>
      </c>
      <c r="E4" s="28">
        <v>0.05</v>
      </c>
    </row>
    <row r="5" spans="1:5" x14ac:dyDescent="0.2">
      <c r="A5" s="26">
        <v>285</v>
      </c>
      <c r="B5" s="26">
        <v>154</v>
      </c>
      <c r="D5" s="130" t="s">
        <v>68</v>
      </c>
      <c r="E5" s="130"/>
    </row>
    <row r="6" spans="1:5" x14ac:dyDescent="0.2">
      <c r="A6" s="26">
        <v>273</v>
      </c>
      <c r="B6" s="26">
        <v>189</v>
      </c>
      <c r="D6" s="28" t="s">
        <v>37</v>
      </c>
      <c r="E6" s="28">
        <f>COUNT($A:$A)</f>
        <v>10</v>
      </c>
    </row>
    <row r="7" spans="1:5" x14ac:dyDescent="0.2">
      <c r="A7" s="26">
        <v>160</v>
      </c>
      <c r="B7" s="26">
        <v>220</v>
      </c>
      <c r="D7" s="28" t="s">
        <v>49</v>
      </c>
      <c r="E7" s="28">
        <f>_xlfn.VAR.S($A:$A)</f>
        <v>2275.8222222222248</v>
      </c>
    </row>
    <row r="8" spans="1:5" x14ac:dyDescent="0.2">
      <c r="A8" s="26">
        <v>243</v>
      </c>
      <c r="B8" s="26">
        <v>261</v>
      </c>
      <c r="D8" s="130" t="s">
        <v>69</v>
      </c>
      <c r="E8" s="130"/>
    </row>
    <row r="9" spans="1:5" x14ac:dyDescent="0.2">
      <c r="A9" s="26">
        <v>215</v>
      </c>
      <c r="B9" s="26">
        <v>186</v>
      </c>
      <c r="D9" s="28" t="s">
        <v>37</v>
      </c>
      <c r="E9" s="28">
        <f>COUNT($B:$B)</f>
        <v>10</v>
      </c>
    </row>
    <row r="10" spans="1:5" x14ac:dyDescent="0.2">
      <c r="A10" s="26">
        <v>280</v>
      </c>
      <c r="B10" s="26">
        <v>219</v>
      </c>
      <c r="D10" s="28" t="s">
        <v>49</v>
      </c>
      <c r="E10" s="28">
        <f>_xlfn.VAR.S($B:$B)</f>
        <v>1058.0111111111084</v>
      </c>
    </row>
    <row r="11" spans="1:5" x14ac:dyDescent="0.2">
      <c r="A11" s="26">
        <v>317</v>
      </c>
      <c r="B11" s="26">
        <v>202</v>
      </c>
      <c r="D11" s="29"/>
      <c r="E11" s="29"/>
    </row>
    <row r="12" spans="1:5" x14ac:dyDescent="0.2">
      <c r="D12" s="308" t="s">
        <v>41</v>
      </c>
      <c r="E12" s="308"/>
    </row>
    <row r="13" spans="1:5" x14ac:dyDescent="0.2">
      <c r="D13" s="131" t="s">
        <v>130</v>
      </c>
      <c r="E13" s="132">
        <f>E7/E10</f>
        <v>2.1510381113409935</v>
      </c>
    </row>
    <row r="14" spans="1:5" x14ac:dyDescent="0.2">
      <c r="D14" s="133" t="s">
        <v>51</v>
      </c>
      <c r="E14" s="133">
        <f>E6 - 1</f>
        <v>9</v>
      </c>
    </row>
    <row r="15" spans="1:5" x14ac:dyDescent="0.2">
      <c r="D15" s="133" t="s">
        <v>52</v>
      </c>
      <c r="E15" s="133">
        <f>E9 - 1</f>
        <v>9</v>
      </c>
    </row>
    <row r="16" spans="1:5" x14ac:dyDescent="0.2">
      <c r="D16" s="138"/>
      <c r="E16" s="138"/>
    </row>
    <row r="17" spans="4:5" x14ac:dyDescent="0.2">
      <c r="D17" s="135" t="s">
        <v>47</v>
      </c>
      <c r="E17" s="135"/>
    </row>
    <row r="18" spans="4:5" x14ac:dyDescent="0.2">
      <c r="D18" s="136" t="s">
        <v>48</v>
      </c>
      <c r="E18" s="132">
        <f>_xlfn.F.INV.RT(E4, E14, E15)</f>
        <v>3.17889310445827</v>
      </c>
    </row>
    <row r="19" spans="4:5" x14ac:dyDescent="0.2">
      <c r="D19" s="131" t="s">
        <v>103</v>
      </c>
      <c r="E19" s="132">
        <f>_xlfn.F.DIST.RT(E13, E14, E15)</f>
        <v>0.13465086369225118</v>
      </c>
    </row>
    <row r="20" spans="4:5" x14ac:dyDescent="0.2">
      <c r="D20" s="137" t="str">
        <f>IF(E19 &lt; E4, "Reject the null hypothesis","Do not reject the null hypothesis")</f>
        <v>Do not reject the null hypothesis</v>
      </c>
      <c r="E20" s="137"/>
    </row>
  </sheetData>
  <mergeCells count="2">
    <mergeCell ref="D3:E3"/>
    <mergeCell ref="D12:E12"/>
  </mergeCells>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711AB-E423-4C45-B223-AC073DD08771}">
  <sheetPr>
    <tabColor rgb="FF0070C0"/>
  </sheetPr>
  <dimension ref="A1:D8"/>
  <sheetViews>
    <sheetView workbookViewId="0">
      <selection activeCell="I19" sqref="I19"/>
    </sheetView>
  </sheetViews>
  <sheetFormatPr baseColWidth="10" defaultColWidth="9.1640625" defaultRowHeight="15" x14ac:dyDescent="0.2"/>
  <cols>
    <col min="1" max="4" width="10.33203125" style="68" customWidth="1"/>
    <col min="5" max="16384" width="9.1640625" style="68"/>
  </cols>
  <sheetData>
    <row r="1" spans="1:4" x14ac:dyDescent="0.2">
      <c r="A1" s="36" t="s">
        <v>131</v>
      </c>
      <c r="B1" s="36" t="s">
        <v>132</v>
      </c>
      <c r="C1" s="36" t="s">
        <v>133</v>
      </c>
      <c r="D1" s="36" t="s">
        <v>134</v>
      </c>
    </row>
    <row r="2" spans="1:4" x14ac:dyDescent="0.2">
      <c r="A2" s="37">
        <v>30.06</v>
      </c>
      <c r="B2" s="37">
        <v>32.22</v>
      </c>
      <c r="C2" s="37">
        <v>30.78</v>
      </c>
      <c r="D2" s="37">
        <v>30.33</v>
      </c>
    </row>
    <row r="3" spans="1:4" x14ac:dyDescent="0.2">
      <c r="A3" s="37">
        <v>29.96</v>
      </c>
      <c r="B3" s="37">
        <v>31.47</v>
      </c>
      <c r="C3" s="37">
        <v>30.91</v>
      </c>
      <c r="D3" s="37">
        <v>30.29</v>
      </c>
    </row>
    <row r="4" spans="1:4" x14ac:dyDescent="0.2">
      <c r="A4" s="37">
        <v>30.19</v>
      </c>
      <c r="B4" s="37">
        <v>32.130000000000003</v>
      </c>
      <c r="C4" s="37">
        <v>30.79</v>
      </c>
      <c r="D4" s="37">
        <v>30.25</v>
      </c>
    </row>
    <row r="5" spans="1:4" x14ac:dyDescent="0.2">
      <c r="A5" s="37">
        <v>29.96</v>
      </c>
      <c r="B5" s="37">
        <v>31.86</v>
      </c>
      <c r="C5" s="37">
        <v>30.95</v>
      </c>
      <c r="D5" s="37">
        <v>30.25</v>
      </c>
    </row>
    <row r="6" spans="1:4" x14ac:dyDescent="0.2">
      <c r="A6" s="37">
        <v>29.74</v>
      </c>
      <c r="B6" s="37">
        <v>32.29</v>
      </c>
      <c r="C6" s="37">
        <v>31.13</v>
      </c>
      <c r="D6" s="37">
        <v>30.55</v>
      </c>
    </row>
    <row r="7" spans="1:4" x14ac:dyDescent="0.2">
      <c r="A7" s="72" t="s">
        <v>135</v>
      </c>
    </row>
    <row r="8" spans="1:4" x14ac:dyDescent="0.2">
      <c r="A8" s="68">
        <f>MEDIAN(A2:A6)</f>
        <v>29.96</v>
      </c>
      <c r="B8" s="68">
        <f>MEDIAN(B2:B6)</f>
        <v>32.130000000000003</v>
      </c>
      <c r="C8" s="68">
        <f>MEDIAN(C2:C6)</f>
        <v>30.91</v>
      </c>
      <c r="D8" s="68">
        <f>MEDIAN(D2:D6)</f>
        <v>30.29</v>
      </c>
    </row>
  </sheetData>
  <pageMargins left="0.75" right="0.75" top="1" bottom="1" header="0.5" footer="0.5"/>
  <pageSetup orientation="portrait" horizontalDpi="0"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0A3E-A875-4DFA-91CA-6E302823F67B}">
  <sheetPr>
    <tabColor rgb="FF0070C0"/>
  </sheetPr>
  <dimension ref="A1:D6"/>
  <sheetViews>
    <sheetView workbookViewId="0">
      <selection activeCell="B8" sqref="B8"/>
    </sheetView>
  </sheetViews>
  <sheetFormatPr baseColWidth="10" defaultColWidth="8.6640625" defaultRowHeight="13" x14ac:dyDescent="0.15"/>
  <cols>
    <col min="1" max="4" width="8.5" style="140" bestFit="1" customWidth="1"/>
    <col min="5" max="16384" width="8.6640625" style="140"/>
  </cols>
  <sheetData>
    <row r="1" spans="1:4" ht="15" x14ac:dyDescent="0.2">
      <c r="A1" s="139" t="s">
        <v>136</v>
      </c>
      <c r="B1" s="139" t="s">
        <v>137</v>
      </c>
      <c r="C1" s="139" t="s">
        <v>138</v>
      </c>
      <c r="D1" s="139" t="s">
        <v>139</v>
      </c>
    </row>
    <row r="2" spans="1:4" ht="15" x14ac:dyDescent="0.2">
      <c r="A2" s="141">
        <f>ABS('Levene''s DATA'!A2 - 'Levene''s DATA'!A$8)</f>
        <v>9.9999999999997868E-2</v>
      </c>
      <c r="B2" s="141">
        <f>ABS('Levene''s DATA'!B2 - 'Levene''s DATA'!B$8)</f>
        <v>8.9999999999996305E-2</v>
      </c>
      <c r="C2" s="141">
        <f>ABS('Levene''s DATA'!C2 - 'Levene''s DATA'!C$8)</f>
        <v>0.12999999999999901</v>
      </c>
      <c r="D2" s="141">
        <f>ABS('Levene''s DATA'!D2 - 'Levene''s DATA'!D$8)</f>
        <v>3.9999999999999147E-2</v>
      </c>
    </row>
    <row r="3" spans="1:4" ht="15" x14ac:dyDescent="0.2">
      <c r="A3" s="141">
        <f>ABS('Levene''s DATA'!A3 - 'Levene''s DATA'!A$8)</f>
        <v>0</v>
      </c>
      <c r="B3" s="141">
        <f>ABS('Levene''s DATA'!B3 - 'Levene''s DATA'!B$8)</f>
        <v>0.66000000000000369</v>
      </c>
      <c r="C3" s="141">
        <f>ABS('Levene''s DATA'!C3 - 'Levene''s DATA'!C$8)</f>
        <v>0</v>
      </c>
      <c r="D3" s="141">
        <f>ABS('Levene''s DATA'!D3 - 'Levene''s DATA'!D$8)</f>
        <v>0</v>
      </c>
    </row>
    <row r="4" spans="1:4" ht="15" x14ac:dyDescent="0.2">
      <c r="A4" s="141">
        <f>ABS('Levene''s DATA'!A4 - 'Levene''s DATA'!A$8)</f>
        <v>0.23000000000000043</v>
      </c>
      <c r="B4" s="141">
        <f>ABS('Levene''s DATA'!B4 - 'Levene''s DATA'!B$8)</f>
        <v>0</v>
      </c>
      <c r="C4" s="141">
        <f>ABS('Levene''s DATA'!C4 - 'Levene''s DATA'!C$8)</f>
        <v>0.12000000000000099</v>
      </c>
      <c r="D4" s="141">
        <f>ABS('Levene''s DATA'!D4 - 'Levene''s DATA'!D$8)</f>
        <v>3.9999999999999147E-2</v>
      </c>
    </row>
    <row r="5" spans="1:4" ht="15" x14ac:dyDescent="0.2">
      <c r="A5" s="141">
        <f>ABS('Levene''s DATA'!A5 - 'Levene''s DATA'!A$8)</f>
        <v>0</v>
      </c>
      <c r="B5" s="141">
        <f>ABS('Levene''s DATA'!B5 - 'Levene''s DATA'!B$8)</f>
        <v>0.27000000000000313</v>
      </c>
      <c r="C5" s="141">
        <f>ABS('Levene''s DATA'!C5 - 'Levene''s DATA'!C$8)</f>
        <v>3.9999999999999147E-2</v>
      </c>
      <c r="D5" s="141">
        <f>ABS('Levene''s DATA'!D5 - 'Levene''s DATA'!D$8)</f>
        <v>3.9999999999999147E-2</v>
      </c>
    </row>
    <row r="6" spans="1:4" ht="15" x14ac:dyDescent="0.2">
      <c r="A6" s="141">
        <f>ABS('Levene''s DATA'!A6 - 'Levene''s DATA'!A$8)</f>
        <v>0.22000000000000242</v>
      </c>
      <c r="B6" s="141">
        <f>ABS('Levene''s DATA'!B6 - 'Levene''s DATA'!B$8)</f>
        <v>0.15999999999999659</v>
      </c>
      <c r="C6" s="141">
        <f>ABS('Levene''s DATA'!C6 - 'Levene''s DATA'!C$8)</f>
        <v>0.21999999999999886</v>
      </c>
      <c r="D6" s="141">
        <f>ABS('Levene''s DATA'!D6 - 'Levene''s DATA'!D$8)</f>
        <v>0.26000000000000156</v>
      </c>
    </row>
  </sheetData>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19DDF-5481-4CD8-9374-5FD64377E984}">
  <sheetPr>
    <tabColor rgb="FF0070C0"/>
  </sheetPr>
  <dimension ref="A1:J17"/>
  <sheetViews>
    <sheetView workbookViewId="0"/>
  </sheetViews>
  <sheetFormatPr baseColWidth="10" defaultColWidth="9.1640625" defaultRowHeight="15" x14ac:dyDescent="0.2"/>
  <cols>
    <col min="1" max="1" width="19" style="37" customWidth="1"/>
    <col min="2" max="2" width="9" style="37" customWidth="1"/>
    <col min="3" max="3" width="6" style="37" customWidth="1"/>
    <col min="4" max="4" width="8.83203125" style="37" customWidth="1"/>
    <col min="5" max="5" width="9.5" style="37" customWidth="1"/>
    <col min="6" max="6" width="9" style="37" customWidth="1"/>
    <col min="7" max="7" width="6.5" style="37" customWidth="1"/>
    <col min="8" max="8" width="2.33203125" style="37" customWidth="1"/>
    <col min="9" max="9" width="4.1640625" style="37" customWidth="1"/>
    <col min="10" max="10" width="7.1640625" style="37" customWidth="1"/>
    <col min="11" max="16384" width="9.1640625" style="37"/>
  </cols>
  <sheetData>
    <row r="1" spans="1:10" x14ac:dyDescent="0.2">
      <c r="A1" s="40" t="s">
        <v>140</v>
      </c>
      <c r="B1" s="40"/>
      <c r="C1" s="40"/>
      <c r="D1" s="40"/>
      <c r="E1" s="40"/>
      <c r="F1" s="40"/>
      <c r="G1" s="40"/>
      <c r="I1" s="309" t="s">
        <v>141</v>
      </c>
      <c r="J1" s="310"/>
    </row>
    <row r="2" spans="1:10" x14ac:dyDescent="0.2">
      <c r="A2" s="40"/>
      <c r="B2" s="40"/>
      <c r="C2" s="40"/>
      <c r="D2" s="40"/>
      <c r="E2" s="40"/>
      <c r="F2" s="40"/>
      <c r="G2" s="40"/>
      <c r="I2" s="142" t="s">
        <v>142</v>
      </c>
      <c r="J2" s="143">
        <f>COUNTA('Levene''s AbsDiffs'!$1:$1)</f>
        <v>4</v>
      </c>
    </row>
    <row r="3" spans="1:10" ht="16" thickBot="1" x14ac:dyDescent="0.25">
      <c r="A3" s="40" t="s">
        <v>70</v>
      </c>
      <c r="B3" s="40"/>
      <c r="C3" s="40"/>
      <c r="D3" s="40"/>
      <c r="E3" s="40"/>
      <c r="F3" s="40"/>
      <c r="G3" s="40"/>
      <c r="H3" s="144"/>
      <c r="I3" s="145" t="s">
        <v>143</v>
      </c>
      <c r="J3" s="146">
        <f>SUM(B5:B8)</f>
        <v>20</v>
      </c>
    </row>
    <row r="4" spans="1:10" x14ac:dyDescent="0.2">
      <c r="A4" s="147" t="s">
        <v>71</v>
      </c>
      <c r="B4" s="147" t="s">
        <v>72</v>
      </c>
      <c r="C4" s="147" t="s">
        <v>73</v>
      </c>
      <c r="D4" s="147" t="s">
        <v>74</v>
      </c>
      <c r="E4" s="147" t="s">
        <v>75</v>
      </c>
      <c r="F4" s="40"/>
      <c r="G4" s="40"/>
    </row>
    <row r="5" spans="1:10" x14ac:dyDescent="0.2">
      <c r="A5" s="37" t="str">
        <f>'Levene''s DATA'!A1</f>
        <v>In-aisle</v>
      </c>
      <c r="B5" s="37">
        <f>COUNT('Levene''s AbsDiffs'!$A:$A)</f>
        <v>5</v>
      </c>
      <c r="C5" s="37">
        <f>SUM('Levene''s AbsDiffs'!$A:$A)</f>
        <v>0.55000000000000071</v>
      </c>
      <c r="D5" s="37">
        <f>AVERAGE('Levene''s AbsDiffs'!$A:$A)</f>
        <v>0.11000000000000014</v>
      </c>
      <c r="E5" s="37">
        <f>_xlfn.VAR.S('Levene''s AbsDiffs'!$A:$A)</f>
        <v>1.2700000000000173E-2</v>
      </c>
      <c r="F5" s="40"/>
      <c r="G5" s="40"/>
    </row>
    <row r="6" spans="1:10" x14ac:dyDescent="0.2">
      <c r="A6" s="37" t="str">
        <f>'Levene''s DATA'!B1</f>
        <v>Front</v>
      </c>
      <c r="B6" s="37">
        <f>COUNT('Levene''s AbsDiffs'!$B:$B)</f>
        <v>5</v>
      </c>
      <c r="C6" s="37">
        <f>SUM('Levene''s AbsDiffs'!$B:$B)</f>
        <v>1.1799999999999997</v>
      </c>
      <c r="D6" s="37">
        <f>AVERAGE('Levene''s AbsDiffs'!$B:$B)</f>
        <v>0.23599999999999993</v>
      </c>
      <c r="E6" s="37">
        <f>_xlfn.VAR.S('Levene''s AbsDiffs'!$B:$B)</f>
        <v>6.5930000000001251E-2</v>
      </c>
      <c r="F6" s="40"/>
      <c r="G6" s="40"/>
    </row>
    <row r="7" spans="1:10" x14ac:dyDescent="0.2">
      <c r="A7" s="37" t="str">
        <f>'Levene''s DATA'!C1</f>
        <v xml:space="preserve">Kiosk </v>
      </c>
      <c r="B7" s="37">
        <f>COUNT('Levene''s AbsDiffs'!$C:$C)</f>
        <v>5</v>
      </c>
      <c r="C7" s="37">
        <f>SUM('Levene''s AbsDiffs'!$C:$C)</f>
        <v>0.50999999999999801</v>
      </c>
      <c r="D7" s="37">
        <f>AVERAGE('Levene''s AbsDiffs'!$C:$C)</f>
        <v>0.1019999999999996</v>
      </c>
      <c r="E7" s="37">
        <f>_xlfn.VAR.S('Levene''s AbsDiffs'!$C:$C)</f>
        <v>7.3199999999999567E-3</v>
      </c>
      <c r="F7" s="40"/>
      <c r="G7" s="40"/>
    </row>
    <row r="8" spans="1:10" ht="16" thickBot="1" x14ac:dyDescent="0.25">
      <c r="A8" s="148" t="str">
        <f>'Levene''s DATA'!D1</f>
        <v>Expert</v>
      </c>
      <c r="B8" s="148">
        <f>COUNT('Levene''s AbsDiffs'!$D:$D)</f>
        <v>5</v>
      </c>
      <c r="C8" s="148">
        <f>SUM('Levene''s AbsDiffs'!$D:$D)</f>
        <v>0.37999999999999901</v>
      </c>
      <c r="D8" s="148">
        <f>AVERAGE('Levene''s AbsDiffs'!$D:$D)</f>
        <v>7.5999999999999804E-2</v>
      </c>
      <c r="E8" s="148">
        <f>_xlfn.VAR.S('Levene''s AbsDiffs'!$D:$D)</f>
        <v>1.0880000000000188E-2</v>
      </c>
      <c r="F8" s="40"/>
      <c r="G8" s="40"/>
    </row>
    <row r="9" spans="1:10" x14ac:dyDescent="0.2">
      <c r="A9" s="40"/>
      <c r="B9" s="40"/>
      <c r="C9" s="40"/>
      <c r="D9" s="40"/>
      <c r="E9" s="40"/>
      <c r="F9" s="40"/>
      <c r="G9" s="40"/>
    </row>
    <row r="10" spans="1:10" x14ac:dyDescent="0.2">
      <c r="A10" s="40"/>
      <c r="B10" s="40"/>
      <c r="C10" s="40"/>
      <c r="D10" s="40"/>
      <c r="E10" s="40"/>
      <c r="F10" s="40"/>
      <c r="G10" s="40"/>
    </row>
    <row r="11" spans="1:10" ht="16" thickBot="1" x14ac:dyDescent="0.25">
      <c r="A11" s="40" t="s">
        <v>76</v>
      </c>
      <c r="B11" s="40"/>
      <c r="C11" s="40"/>
      <c r="D11" s="40"/>
      <c r="E11" s="40"/>
      <c r="F11" s="40"/>
      <c r="G11" s="40"/>
    </row>
    <row r="12" spans="1:10" x14ac:dyDescent="0.2">
      <c r="A12" s="147" t="s">
        <v>77</v>
      </c>
      <c r="B12" s="147" t="s">
        <v>25</v>
      </c>
      <c r="C12" s="147" t="s">
        <v>78</v>
      </c>
      <c r="D12" s="147" t="s">
        <v>26</v>
      </c>
      <c r="E12" s="147" t="s">
        <v>27</v>
      </c>
      <c r="F12" s="147" t="s">
        <v>144</v>
      </c>
      <c r="G12" s="147" t="s">
        <v>80</v>
      </c>
    </row>
    <row r="13" spans="1:10" x14ac:dyDescent="0.2">
      <c r="A13" s="37" t="s">
        <v>81</v>
      </c>
      <c r="B13" s="37">
        <f>B16 - DEVSQ('Levene''s AbsDiffs'!$A:$A) - DEVSQ('Levene''s AbsDiffs'!$B:$B) - DEVSQ('Levene''s AbsDiffs'!$C:$C) - DEVSQ('Levene''s AbsDiffs'!$D:$D)</f>
        <v>7.6660000000000283E-2</v>
      </c>
      <c r="C13" s="37">
        <f>J2 - 1</f>
        <v>3</v>
      </c>
      <c r="D13" s="86">
        <f>B13/C13</f>
        <v>2.5553333333333428E-2</v>
      </c>
      <c r="E13" s="86">
        <f>D13/D14</f>
        <v>1.0555957175806265</v>
      </c>
      <c r="F13" s="86">
        <f>_xlfn.F.DIST.RT(E13, C13, C14)</f>
        <v>0.39532418335335928</v>
      </c>
      <c r="G13" s="86">
        <f>_xlfn.F.INV.RT(0.05, C13, C14)</f>
        <v>3.2388715174535854</v>
      </c>
    </row>
    <row r="14" spans="1:10" x14ac:dyDescent="0.2">
      <c r="A14" s="37" t="s">
        <v>82</v>
      </c>
      <c r="B14" s="37">
        <f>B16 - B13</f>
        <v>0.38732000000000621</v>
      </c>
      <c r="C14" s="37">
        <f>J3 - J2</f>
        <v>16</v>
      </c>
      <c r="D14" s="86">
        <f>B14/C14</f>
        <v>2.4207500000000388E-2</v>
      </c>
    </row>
    <row r="16" spans="1:10" ht="16" thickBot="1" x14ac:dyDescent="0.25">
      <c r="A16" s="148" t="s">
        <v>83</v>
      </c>
      <c r="B16" s="148">
        <f>DEVSQ('Levene''s AbsDiffs'!$A$1:$D$6)</f>
        <v>0.4639800000000065</v>
      </c>
      <c r="C16" s="148">
        <f>C13+C14</f>
        <v>19</v>
      </c>
      <c r="D16" s="148"/>
      <c r="E16" s="148"/>
      <c r="F16" s="148"/>
      <c r="G16" s="148"/>
    </row>
    <row r="17" spans="5:7" x14ac:dyDescent="0.2">
      <c r="E17" s="311" t="s">
        <v>111</v>
      </c>
      <c r="F17" s="311"/>
      <c r="G17" s="149">
        <v>0.05</v>
      </c>
    </row>
  </sheetData>
  <mergeCells count="2">
    <mergeCell ref="I1:J1"/>
    <mergeCell ref="E17:F17"/>
  </mergeCells>
  <pageMargins left="0.7" right="0.7" top="0.75" bottom="0.75" header="0.3" footer="0.3"/>
  <pageSetup orientation="portrait" horizontalDpi="0"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3CD9D-EDA4-4CAB-947C-005F00BCB938}">
  <sheetPr>
    <tabColor rgb="FF002060"/>
  </sheetPr>
  <dimension ref="A1:G13"/>
  <sheetViews>
    <sheetView workbookViewId="0">
      <selection activeCell="K14" sqref="K14"/>
    </sheetView>
  </sheetViews>
  <sheetFormatPr baseColWidth="10" defaultColWidth="9.1640625" defaultRowHeight="15" x14ac:dyDescent="0.2"/>
  <cols>
    <col min="1" max="4" width="10.33203125" style="37" bestFit="1" customWidth="1"/>
    <col min="5" max="16384" width="9.1640625" style="37"/>
  </cols>
  <sheetData>
    <row r="1" spans="1:7" x14ac:dyDescent="0.2">
      <c r="A1" s="36" t="s">
        <v>131</v>
      </c>
      <c r="B1" s="36" t="s">
        <v>132</v>
      </c>
      <c r="C1" s="36" t="s">
        <v>133</v>
      </c>
      <c r="D1" s="36" t="s">
        <v>134</v>
      </c>
    </row>
    <row r="2" spans="1:7" x14ac:dyDescent="0.2">
      <c r="A2" s="37">
        <v>30.06</v>
      </c>
      <c r="B2" s="37">
        <v>32.22</v>
      </c>
      <c r="C2" s="37">
        <v>30.78</v>
      </c>
      <c r="D2" s="37">
        <v>30.33</v>
      </c>
    </row>
    <row r="3" spans="1:7" x14ac:dyDescent="0.2">
      <c r="A3" s="37">
        <v>29.96</v>
      </c>
      <c r="B3" s="37">
        <v>31.47</v>
      </c>
      <c r="C3" s="37">
        <v>30.91</v>
      </c>
      <c r="D3" s="37">
        <v>30.29</v>
      </c>
    </row>
    <row r="4" spans="1:7" x14ac:dyDescent="0.2">
      <c r="A4" s="37">
        <v>30.19</v>
      </c>
      <c r="B4" s="37">
        <v>32.130000000000003</v>
      </c>
      <c r="C4" s="37">
        <v>30.79</v>
      </c>
      <c r="D4" s="37">
        <v>30.25</v>
      </c>
    </row>
    <row r="5" spans="1:7" x14ac:dyDescent="0.2">
      <c r="A5" s="37">
        <v>29.96</v>
      </c>
      <c r="B5" s="37">
        <v>31.86</v>
      </c>
      <c r="C5" s="37">
        <v>30.95</v>
      </c>
      <c r="D5" s="37">
        <v>30.25</v>
      </c>
    </row>
    <row r="6" spans="1:7" x14ac:dyDescent="0.2">
      <c r="A6" s="37">
        <v>29.74</v>
      </c>
      <c r="B6" s="37">
        <v>32.29</v>
      </c>
      <c r="C6" s="37">
        <v>31.13</v>
      </c>
      <c r="D6" s="37">
        <v>30.55</v>
      </c>
    </row>
    <row r="13" spans="1:7" x14ac:dyDescent="0.2">
      <c r="E13" s="86"/>
      <c r="F13" s="86"/>
      <c r="G13" s="86"/>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F778A-D2FD-4A7D-AB56-AE2D731CA95D}">
  <sheetPr>
    <tabColor rgb="FF002060"/>
  </sheetPr>
  <dimension ref="A1:J17"/>
  <sheetViews>
    <sheetView workbookViewId="0">
      <selection sqref="A1:J17"/>
    </sheetView>
  </sheetViews>
  <sheetFormatPr baseColWidth="10" defaultColWidth="9.1640625" defaultRowHeight="15" x14ac:dyDescent="0.2"/>
  <cols>
    <col min="1" max="1" width="19" style="37" customWidth="1"/>
    <col min="2" max="2" width="14.1640625" style="37" customWidth="1"/>
    <col min="3" max="3" width="7.5" style="37" customWidth="1"/>
    <col min="4" max="4" width="8.83203125" style="37" customWidth="1"/>
    <col min="5" max="5" width="9.5" style="37" customWidth="1"/>
    <col min="6" max="6" width="9" style="37" customWidth="1"/>
    <col min="7" max="7" width="9.1640625" style="37" customWidth="1"/>
    <col min="8" max="8" width="2.33203125" style="37" customWidth="1"/>
    <col min="9" max="9" width="4.1640625" style="37" customWidth="1"/>
    <col min="10" max="10" width="7.1640625" style="37" customWidth="1"/>
    <col min="11" max="16384" width="9.1640625" style="37"/>
  </cols>
  <sheetData>
    <row r="1" spans="1:10" x14ac:dyDescent="0.2">
      <c r="A1" s="40" t="s">
        <v>145</v>
      </c>
      <c r="B1" s="40"/>
      <c r="C1" s="40"/>
      <c r="D1" s="40"/>
      <c r="E1" s="40"/>
      <c r="F1" s="40"/>
      <c r="G1" s="40"/>
      <c r="I1" s="309" t="s">
        <v>141</v>
      </c>
      <c r="J1" s="310"/>
    </row>
    <row r="2" spans="1:10" x14ac:dyDescent="0.2">
      <c r="A2" s="40"/>
      <c r="B2" s="40"/>
      <c r="C2" s="40"/>
      <c r="D2" s="40"/>
      <c r="E2" s="40"/>
      <c r="F2" s="40"/>
      <c r="G2" s="40"/>
      <c r="I2" s="142" t="s">
        <v>142</v>
      </c>
      <c r="J2" s="143">
        <f>COUNTA(ASFData!$1:$1)</f>
        <v>4</v>
      </c>
    </row>
    <row r="3" spans="1:10" ht="16" thickBot="1" x14ac:dyDescent="0.25">
      <c r="A3" s="40" t="s">
        <v>70</v>
      </c>
      <c r="B3" s="40"/>
      <c r="C3" s="40"/>
      <c r="D3" s="40"/>
      <c r="E3" s="40"/>
      <c r="F3" s="40"/>
      <c r="G3" s="40"/>
      <c r="H3" s="144"/>
      <c r="I3" s="145" t="s">
        <v>143</v>
      </c>
      <c r="J3" s="146">
        <f>SUM(B5:B8)</f>
        <v>20</v>
      </c>
    </row>
    <row r="4" spans="1:10" x14ac:dyDescent="0.2">
      <c r="A4" s="147" t="s">
        <v>71</v>
      </c>
      <c r="B4" s="147" t="s">
        <v>72</v>
      </c>
      <c r="C4" s="147" t="s">
        <v>73</v>
      </c>
      <c r="D4" s="147" t="s">
        <v>74</v>
      </c>
      <c r="E4" s="147" t="s">
        <v>75</v>
      </c>
      <c r="F4" s="40"/>
      <c r="G4" s="40"/>
    </row>
    <row r="5" spans="1:10" x14ac:dyDescent="0.2">
      <c r="A5" s="37" t="str">
        <f>ASFData!A1</f>
        <v>In-aisle</v>
      </c>
      <c r="B5" s="37">
        <f>COUNT(ASFData!$A:$A)</f>
        <v>5</v>
      </c>
      <c r="C5" s="37">
        <f>SUM(ASFData!$A:$A)</f>
        <v>149.91</v>
      </c>
      <c r="D5" s="37">
        <f>AVERAGE(ASFData!$A:$A)</f>
        <v>29.981999999999999</v>
      </c>
      <c r="E5" s="37">
        <f>_xlfn.VAR.S(ASFData!$A:$A)</f>
        <v>2.7220000000000254E-2</v>
      </c>
      <c r="F5" s="40"/>
      <c r="G5" s="40"/>
    </row>
    <row r="6" spans="1:10" x14ac:dyDescent="0.2">
      <c r="A6" s="37" t="str">
        <f>ASFData!B1</f>
        <v>Front</v>
      </c>
      <c r="B6" s="37">
        <f>COUNT(ASFData!$B:$B)</f>
        <v>5</v>
      </c>
      <c r="C6" s="37">
        <f>SUM(ASFData!$B:$B)</f>
        <v>159.97</v>
      </c>
      <c r="D6" s="37">
        <f>AVERAGE(ASFData!$B:$B)</f>
        <v>31.994</v>
      </c>
      <c r="E6" s="37">
        <f>_xlfn.VAR.S(ASFData!$B:$B)</f>
        <v>0.11243000000000024</v>
      </c>
      <c r="F6" s="40"/>
      <c r="G6" s="40"/>
    </row>
    <row r="7" spans="1:10" x14ac:dyDescent="0.2">
      <c r="A7" s="37" t="str">
        <f>ASFData!C1</f>
        <v xml:space="preserve">Kiosk </v>
      </c>
      <c r="B7" s="37">
        <f>COUNT(ASFData!$C:$C)</f>
        <v>5</v>
      </c>
      <c r="C7" s="37">
        <f>SUM(ASFData!$C:$C)</f>
        <v>154.56</v>
      </c>
      <c r="D7" s="37">
        <f>AVERAGE(ASFData!$C:$C)</f>
        <v>30.911999999999999</v>
      </c>
      <c r="E7" s="37">
        <f>_xlfn.VAR.S(ASFData!$C:$C)</f>
        <v>2.0319999999999856E-2</v>
      </c>
      <c r="F7" s="40"/>
      <c r="G7" s="40"/>
    </row>
    <row r="8" spans="1:10" ht="16" thickBot="1" x14ac:dyDescent="0.25">
      <c r="A8" s="148" t="str">
        <f>ASFData!D1</f>
        <v>Expert</v>
      </c>
      <c r="B8" s="148">
        <f>COUNT(ASFData!$D:$D)</f>
        <v>5</v>
      </c>
      <c r="C8" s="148">
        <f>SUM(ASFData!$D:$D)</f>
        <v>151.67000000000002</v>
      </c>
      <c r="D8" s="148">
        <f>AVERAGE(ASFData!$D:$D)</f>
        <v>30.334000000000003</v>
      </c>
      <c r="E8" s="148">
        <f>_xlfn.VAR.S(ASFData!$D:$D)</f>
        <v>1.56800000000001E-2</v>
      </c>
      <c r="F8" s="40"/>
      <c r="G8" s="40"/>
    </row>
    <row r="9" spans="1:10" x14ac:dyDescent="0.2">
      <c r="A9" s="40"/>
      <c r="B9" s="40"/>
      <c r="C9" s="40"/>
      <c r="D9" s="40"/>
      <c r="E9" s="40"/>
      <c r="F9" s="40"/>
      <c r="G9" s="40"/>
    </row>
    <row r="10" spans="1:10" x14ac:dyDescent="0.2">
      <c r="A10" s="40"/>
      <c r="B10" s="40"/>
      <c r="C10" s="40"/>
      <c r="D10" s="40"/>
      <c r="E10" s="40"/>
      <c r="F10" s="40"/>
      <c r="G10" s="40"/>
    </row>
    <row r="11" spans="1:10" ht="16" thickBot="1" x14ac:dyDescent="0.25">
      <c r="A11" s="40" t="s">
        <v>76</v>
      </c>
      <c r="B11" s="40"/>
      <c r="C11" s="40"/>
      <c r="D11" s="40"/>
      <c r="E11" s="40"/>
      <c r="F11" s="40"/>
      <c r="G11" s="40"/>
    </row>
    <row r="12" spans="1:10" x14ac:dyDescent="0.2">
      <c r="A12" s="147" t="s">
        <v>77</v>
      </c>
      <c r="B12" s="147" t="s">
        <v>25</v>
      </c>
      <c r="C12" s="147" t="s">
        <v>78</v>
      </c>
      <c r="D12" s="147" t="s">
        <v>26</v>
      </c>
      <c r="E12" s="147" t="s">
        <v>27</v>
      </c>
      <c r="F12" s="147" t="s">
        <v>79</v>
      </c>
      <c r="G12" s="147" t="s">
        <v>80</v>
      </c>
    </row>
    <row r="13" spans="1:10" x14ac:dyDescent="0.2">
      <c r="A13" s="37" t="s">
        <v>81</v>
      </c>
      <c r="B13" s="86">
        <f>B16-DEVSQ(ASFData!$A:$A)-DEVSQ(ASFData!$B:$B)-DEVSQ(ASFData!$C:$C)-DEVSQ(ASFData!$D:$D)</f>
        <v>11.621695000000001</v>
      </c>
      <c r="C13" s="37">
        <f>J2-1</f>
        <v>3</v>
      </c>
      <c r="D13" s="86">
        <f>B13/C13</f>
        <v>3.8738983333333334</v>
      </c>
      <c r="E13" s="86">
        <f>D13/D14</f>
        <v>88.218578612771353</v>
      </c>
      <c r="F13" s="86">
        <f>_xlfn.F.DIST.RT(E13,C13,C14)</f>
        <v>3.6292890527421005E-10</v>
      </c>
      <c r="G13" s="86">
        <f>_xlfn.F.INV.RT(G17,C13,C14)</f>
        <v>3.2388715174535854</v>
      </c>
    </row>
    <row r="14" spans="1:10" x14ac:dyDescent="0.2">
      <c r="A14" s="37" t="s">
        <v>82</v>
      </c>
      <c r="B14" s="86">
        <f>B16-B13</f>
        <v>0.70260000000000211</v>
      </c>
      <c r="C14" s="37">
        <f>J3-J2</f>
        <v>16</v>
      </c>
      <c r="D14" s="86">
        <f>B14/C14</f>
        <v>4.3912500000000132E-2</v>
      </c>
    </row>
    <row r="15" spans="1:10" x14ac:dyDescent="0.2">
      <c r="B15" s="86"/>
    </row>
    <row r="16" spans="1:10" ht="16" thickBot="1" x14ac:dyDescent="0.25">
      <c r="A16" s="148" t="s">
        <v>83</v>
      </c>
      <c r="B16" s="150">
        <f>DEVSQ(ASFData!$A$1:$D$6)</f>
        <v>12.324295000000003</v>
      </c>
      <c r="C16" s="148">
        <f>C13+C14</f>
        <v>19</v>
      </c>
      <c r="D16" s="148"/>
      <c r="E16" s="148"/>
      <c r="F16" s="148"/>
      <c r="G16" s="148"/>
    </row>
    <row r="17" spans="5:7" x14ac:dyDescent="0.2">
      <c r="E17" s="151" t="s">
        <v>111</v>
      </c>
      <c r="F17" s="152"/>
      <c r="G17" s="152">
        <v>0.05</v>
      </c>
    </row>
  </sheetData>
  <mergeCells count="1">
    <mergeCell ref="I1:J1"/>
  </mergeCells>
  <pageMargins left="0.7" right="0.7" top="0.75" bottom="0.75" header="0.3" footer="0.3"/>
  <pageSetup orientation="portrait" horizontalDpi="0"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DCE05-A8D7-442C-9648-7961C10CBA95}">
  <sheetPr>
    <tabColor rgb="FF002060"/>
  </sheetPr>
  <dimension ref="A1:I15"/>
  <sheetViews>
    <sheetView workbookViewId="0">
      <selection sqref="A1:I15"/>
    </sheetView>
  </sheetViews>
  <sheetFormatPr baseColWidth="10" defaultColWidth="9.1640625" defaultRowHeight="15" x14ac:dyDescent="0.2"/>
  <cols>
    <col min="1" max="1" width="20.6640625" style="37" customWidth="1"/>
    <col min="2" max="3" width="9.1640625" style="37"/>
    <col min="4" max="4" width="2.33203125" style="37" customWidth="1"/>
    <col min="5" max="5" width="18.5" style="37" bestFit="1" customWidth="1"/>
    <col min="6" max="6" width="10.1640625" style="37" customWidth="1"/>
    <col min="7" max="7" width="13.1640625" style="37" customWidth="1"/>
    <col min="8" max="8" width="9" style="37" customWidth="1"/>
    <col min="9" max="9" width="23.5" style="40" customWidth="1"/>
    <col min="10" max="16384" width="9.1640625" style="37"/>
  </cols>
  <sheetData>
    <row r="1" spans="1:9" x14ac:dyDescent="0.2">
      <c r="A1" s="40" t="s">
        <v>146</v>
      </c>
    </row>
    <row r="3" spans="1:9" x14ac:dyDescent="0.2">
      <c r="A3" s="64"/>
      <c r="B3" s="64" t="s">
        <v>87</v>
      </c>
      <c r="C3" s="64" t="s">
        <v>87</v>
      </c>
      <c r="D3" s="64"/>
      <c r="E3" s="64"/>
      <c r="F3" s="64" t="s">
        <v>147</v>
      </c>
      <c r="G3" s="64" t="s">
        <v>148</v>
      </c>
      <c r="H3" s="64" t="s">
        <v>149</v>
      </c>
    </row>
    <row r="4" spans="1:9" x14ac:dyDescent="0.2">
      <c r="A4" s="36" t="s">
        <v>150</v>
      </c>
      <c r="B4" s="36" t="s">
        <v>151</v>
      </c>
      <c r="C4" s="36" t="s">
        <v>152</v>
      </c>
      <c r="D4" s="64"/>
      <c r="E4" s="36" t="s">
        <v>84</v>
      </c>
      <c r="F4" s="36" t="s">
        <v>153</v>
      </c>
      <c r="G4" s="36" t="s">
        <v>154</v>
      </c>
      <c r="H4" s="36" t="s">
        <v>155</v>
      </c>
      <c r="I4" s="36" t="str">
        <f>IF(B15="","Results are NOT valid until Q Statistic is entered into B15","Results")</f>
        <v>Results</v>
      </c>
    </row>
    <row r="5" spans="1:9" x14ac:dyDescent="0.2">
      <c r="A5" s="65" t="str">
        <f xml:space="preserve"> "1: " &amp; 'One Way Anova'!A5</f>
        <v>1: In-aisle</v>
      </c>
      <c r="B5" s="37">
        <f>'One Way Anova'!D5</f>
        <v>29.981999999999999</v>
      </c>
      <c r="C5" s="37">
        <f>'One Way Anova'!B5</f>
        <v>5</v>
      </c>
      <c r="E5" s="37" t="s">
        <v>156</v>
      </c>
      <c r="F5" s="37">
        <f>ABS($B$5-$B$6)</f>
        <v>2.0120000000000005</v>
      </c>
      <c r="G5" s="86">
        <f>SQRT(($B$14/2)*((1/$C$5)+(1/$C$6)))</f>
        <v>9.3714993464226556E-2</v>
      </c>
      <c r="H5" s="86">
        <f>$B$15*$G$5</f>
        <v>0.37954572353011756</v>
      </c>
      <c r="I5" s="37" t="str">
        <f>IF($F$5&gt;$H$5,"Means are different","Means are not different")</f>
        <v>Means are different</v>
      </c>
    </row>
    <row r="6" spans="1:9" x14ac:dyDescent="0.2">
      <c r="A6" s="65" t="str">
        <f xml:space="preserve"> "2: " &amp; 'One Way Anova'!A6</f>
        <v>2: Front</v>
      </c>
      <c r="B6" s="37">
        <f>'One Way Anova'!D6</f>
        <v>31.994</v>
      </c>
      <c r="C6" s="37">
        <f>'One Way Anova'!B6</f>
        <v>5</v>
      </c>
      <c r="E6" s="37" t="s">
        <v>157</v>
      </c>
      <c r="F6" s="37">
        <f>ABS($B$5-$B$7)</f>
        <v>0.92999999999999972</v>
      </c>
      <c r="G6" s="86">
        <f>SQRT(($B$14/2)*((1/$C$5)+(1/$C$7)))</f>
        <v>9.3714993464226556E-2</v>
      </c>
      <c r="H6" s="86">
        <f>$B$15*$G$6</f>
        <v>0.37954572353011756</v>
      </c>
      <c r="I6" s="37" t="str">
        <f>IF($F$6&gt;$H$6,"Means are different","Means are not different")</f>
        <v>Means are different</v>
      </c>
    </row>
    <row r="7" spans="1:9" x14ac:dyDescent="0.2">
      <c r="A7" s="65" t="str">
        <f xml:space="preserve"> "3: " &amp; 'One Way Anova'!A7</f>
        <v xml:space="preserve">3: Kiosk </v>
      </c>
      <c r="B7" s="37">
        <f>'One Way Anova'!D7</f>
        <v>30.911999999999999</v>
      </c>
      <c r="C7" s="37">
        <f>'One Way Anova'!B7</f>
        <v>5</v>
      </c>
      <c r="E7" s="37" t="s">
        <v>158</v>
      </c>
      <c r="F7" s="37">
        <f>ABS($B$5-$B$8)</f>
        <v>0.35200000000000387</v>
      </c>
      <c r="G7" s="86">
        <f>SQRT(($B$14/2)*((1/$C$5)+(1/$C$8)))</f>
        <v>9.3714993464226556E-2</v>
      </c>
      <c r="H7" s="86">
        <f>$B$15*$G$7</f>
        <v>0.37954572353011756</v>
      </c>
      <c r="I7" s="37" t="str">
        <f>IF($F$7&gt;$H$7,"Means are different","Means are not different")</f>
        <v>Means are not different</v>
      </c>
    </row>
    <row r="8" spans="1:9" x14ac:dyDescent="0.2">
      <c r="A8" s="65" t="str">
        <f xml:space="preserve"> "4: " &amp; 'One Way Anova'!A8</f>
        <v>4: Expert</v>
      </c>
      <c r="B8" s="37">
        <f>'One Way Anova'!D8</f>
        <v>30.334000000000003</v>
      </c>
      <c r="C8" s="37">
        <f>'One Way Anova'!B8</f>
        <v>5</v>
      </c>
      <c r="E8" s="37" t="s">
        <v>159</v>
      </c>
      <c r="F8" s="37">
        <f>ABS($B$6-$B$7)</f>
        <v>1.0820000000000007</v>
      </c>
      <c r="G8" s="86">
        <f>SQRT(($B$14/2)*((1/$C$6)+(1/$C$7)))</f>
        <v>9.3714993464226556E-2</v>
      </c>
      <c r="H8" s="86">
        <f>$B$15*$G$8</f>
        <v>0.37954572353011756</v>
      </c>
      <c r="I8" s="37" t="str">
        <f>IF($F$8&gt;$H$8,"Means are different","Means are not different")</f>
        <v>Means are different</v>
      </c>
    </row>
    <row r="9" spans="1:9" x14ac:dyDescent="0.2">
      <c r="E9" s="37" t="s">
        <v>160</v>
      </c>
      <c r="F9" s="37">
        <f>ABS($B$6-$B$8)</f>
        <v>1.6599999999999966</v>
      </c>
      <c r="G9" s="86">
        <f>SQRT(($B$14/2)*((1/$C$6)+(1/$C$8)))</f>
        <v>9.3714993464226556E-2</v>
      </c>
      <c r="H9" s="86">
        <f>$B$15*$G$9</f>
        <v>0.37954572353011756</v>
      </c>
      <c r="I9" s="37" t="str">
        <f>IF($F$9&gt;$H$9,"Means are different","Means are not different")</f>
        <v>Means are different</v>
      </c>
    </row>
    <row r="10" spans="1:9" x14ac:dyDescent="0.2">
      <c r="A10" s="283" t="s">
        <v>161</v>
      </c>
      <c r="B10" s="283"/>
      <c r="E10" s="37" t="s">
        <v>162</v>
      </c>
      <c r="F10" s="37">
        <f>ABS($B$7-$B$8)</f>
        <v>0.57799999999999585</v>
      </c>
      <c r="G10" s="86">
        <f>SQRT(($B$14/2)*((1/$C$7)+(1/$C$8)))</f>
        <v>9.3714993464226556E-2</v>
      </c>
      <c r="H10" s="86">
        <f>$B$15*$G$10</f>
        <v>0.37954572353011756</v>
      </c>
      <c r="I10" s="37" t="str">
        <f>IF($F$10&gt;$H$10,"Means are different","Means are not different")</f>
        <v>Means are different</v>
      </c>
    </row>
    <row r="11" spans="1:9" x14ac:dyDescent="0.2">
      <c r="A11" s="55" t="s">
        <v>111</v>
      </c>
      <c r="B11" s="55">
        <f>'One Way Anova'!G17</f>
        <v>0.05</v>
      </c>
    </row>
    <row r="12" spans="1:9" x14ac:dyDescent="0.2">
      <c r="A12" s="55" t="s">
        <v>163</v>
      </c>
      <c r="B12" s="55">
        <f>'One Way Anova'!J2</f>
        <v>4</v>
      </c>
    </row>
    <row r="13" spans="1:9" x14ac:dyDescent="0.2">
      <c r="A13" s="55" t="s">
        <v>85</v>
      </c>
      <c r="B13" s="55">
        <f>'One Way Anova'!C14</f>
        <v>16</v>
      </c>
    </row>
    <row r="14" spans="1:9" x14ac:dyDescent="0.2">
      <c r="A14" s="55" t="s">
        <v>86</v>
      </c>
      <c r="B14" s="55">
        <f>'One Way Anova'!D14</f>
        <v>4.3912500000000132E-2</v>
      </c>
    </row>
    <row r="15" spans="1:9" x14ac:dyDescent="0.2">
      <c r="A15" s="152" t="s">
        <v>164</v>
      </c>
      <c r="B15" s="152">
        <v>4.05</v>
      </c>
    </row>
  </sheetData>
  <mergeCells count="1">
    <mergeCell ref="A10:B10"/>
  </mergeCells>
  <pageMargins left="0.75" right="0.75" top="1" bottom="1" header="0.5" footer="0.5"/>
  <pageSetup orientation="portrait" horizontalDpi="0" verticalDpi="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CC7B6-313C-40F7-ACA9-0587E72D190B}">
  <sheetPr>
    <tabColor rgb="FF002060"/>
  </sheetPr>
  <dimension ref="A1:I14"/>
  <sheetViews>
    <sheetView workbookViewId="0">
      <selection activeCell="K14" sqref="K14"/>
    </sheetView>
  </sheetViews>
  <sheetFormatPr baseColWidth="10" defaultColWidth="9.1640625" defaultRowHeight="15" x14ac:dyDescent="0.2"/>
  <cols>
    <col min="1" max="1" width="20.6640625" style="37" customWidth="1"/>
    <col min="2" max="3" width="9.1640625" style="37"/>
    <col min="4" max="4" width="2.33203125" style="37" customWidth="1"/>
    <col min="5" max="5" width="18.5" style="37" bestFit="1" customWidth="1"/>
    <col min="6" max="6" width="10.1640625" style="37" customWidth="1"/>
    <col min="7" max="7" width="13.1640625" style="37" customWidth="1"/>
    <col min="8" max="8" width="9" style="37" customWidth="1"/>
    <col min="9" max="9" width="23.5" style="37" customWidth="1"/>
    <col min="10" max="16384" width="9.1640625" style="37"/>
  </cols>
  <sheetData>
    <row r="1" spans="1:9" x14ac:dyDescent="0.2">
      <c r="A1" s="40" t="s">
        <v>146</v>
      </c>
    </row>
    <row r="3" spans="1:9" x14ac:dyDescent="0.2">
      <c r="A3" s="64"/>
      <c r="B3" s="64" t="s">
        <v>87</v>
      </c>
      <c r="C3" s="64" t="s">
        <v>87</v>
      </c>
      <c r="D3" s="64"/>
      <c r="E3" s="64"/>
      <c r="F3" s="64" t="s">
        <v>147</v>
      </c>
      <c r="G3" s="64" t="s">
        <v>148</v>
      </c>
      <c r="H3" s="64" t="s">
        <v>149</v>
      </c>
      <c r="I3" s="40"/>
    </row>
    <row r="4" spans="1:9" x14ac:dyDescent="0.2">
      <c r="A4" s="36" t="s">
        <v>150</v>
      </c>
      <c r="B4" s="36" t="s">
        <v>151</v>
      </c>
      <c r="C4" s="36" t="s">
        <v>152</v>
      </c>
      <c r="D4" s="64"/>
      <c r="E4" s="36" t="s">
        <v>84</v>
      </c>
      <c r="F4" s="36" t="s">
        <v>153</v>
      </c>
      <c r="G4" s="36" t="s">
        <v>154</v>
      </c>
      <c r="H4" s="36" t="s">
        <v>155</v>
      </c>
      <c r="I4" s="36" t="str">
        <f>IF(B14="","Results are NOT valid until Q Statistic is entered into B15","Results")</f>
        <v>Results</v>
      </c>
    </row>
    <row r="5" spans="1:9" x14ac:dyDescent="0.2">
      <c r="A5" s="65" t="str">
        <f xml:space="preserve"> "1: " &amp; [2]COMPUTE_FORMULAS!A5</f>
        <v>1: =ASFData!A1</v>
      </c>
      <c r="B5" s="37" t="str">
        <f>[2]COMPUTE_FORMULAS!D5</f>
        <v>=AVERAGE(ASFData!$A:$A)</v>
      </c>
      <c r="C5" s="37" t="str">
        <f>[2]COMPUTE_FORMULAS!B5</f>
        <v>=COUNT(ASFData!$A:$A)</v>
      </c>
      <c r="E5" s="37" t="s">
        <v>156</v>
      </c>
      <c r="F5" s="37" t="e">
        <f>ABS($B$5-$B$6)</f>
        <v>#VALUE!</v>
      </c>
      <c r="G5" s="86" t="e">
        <f>SQRT(($B$13/2)*((1/$C$5)+(1/$C$6)))</f>
        <v>#VALUE!</v>
      </c>
      <c r="H5" s="86" t="e">
        <f>$B$14*$G$5</f>
        <v>#VALUE!</v>
      </c>
      <c r="I5" s="37" t="e">
        <f>IF($F$5&gt;$H$5,"Means are different","Means are not different")</f>
        <v>#VALUE!</v>
      </c>
    </row>
    <row r="6" spans="1:9" x14ac:dyDescent="0.2">
      <c r="A6" s="65" t="str">
        <f xml:space="preserve"> "2: " &amp; [2]COMPUTE_FORMULAS!A6</f>
        <v>2: =ASFData!B1</v>
      </c>
      <c r="B6" s="37" t="str">
        <f>[2]COMPUTE_FORMULAS!D6</f>
        <v>=AVERAGE(ASFData!$B:$B)</v>
      </c>
      <c r="C6" s="37" t="str">
        <f>[2]COMPUTE_FORMULAS!B6</f>
        <v>=COUNT(ASFData!$B:$B)</v>
      </c>
      <c r="E6" s="37" t="s">
        <v>157</v>
      </c>
      <c r="F6" s="37" t="e">
        <f>ABS($B$5-$B$7)</f>
        <v>#VALUE!</v>
      </c>
      <c r="G6" s="86" t="e">
        <f>SQRT(($B$13/2)*((1/$C$5)+(1/$C$7)))</f>
        <v>#VALUE!</v>
      </c>
      <c r="H6" s="86" t="e">
        <f>$B$14*$G$6</f>
        <v>#VALUE!</v>
      </c>
      <c r="I6" s="37" t="e">
        <f>IF($F$6&gt;$H$6,"Means are different","Means are not different")</f>
        <v>#VALUE!</v>
      </c>
    </row>
    <row r="7" spans="1:9" x14ac:dyDescent="0.2">
      <c r="A7" s="65" t="str">
        <f xml:space="preserve"> "3: " &amp; [2]COMPUTE_FORMULAS!A7</f>
        <v>3: =ASFData!C1</v>
      </c>
      <c r="B7" s="37" t="str">
        <f>[2]COMPUTE_FORMULAS!D7</f>
        <v>=AVERAGE(ASFData!$C:$C)</v>
      </c>
      <c r="C7" s="37" t="str">
        <f>[2]COMPUTE_FORMULAS!B7</f>
        <v>=COUNT(ASFData!$C:$C)</v>
      </c>
      <c r="E7" s="37" t="s">
        <v>159</v>
      </c>
      <c r="F7" s="37" t="e">
        <f>ABS($B$6-$B$7)</f>
        <v>#VALUE!</v>
      </c>
      <c r="G7" s="86" t="e">
        <f>SQRT(($B$13/2)*((1/$C$6)+(1/$C$7)))</f>
        <v>#VALUE!</v>
      </c>
      <c r="H7" s="86" t="e">
        <f>$B$14*$G$7</f>
        <v>#VALUE!</v>
      </c>
      <c r="I7" s="37" t="e">
        <f>IF($F$7&gt;$H$7,"Means are different","Means are not different")</f>
        <v>#VALUE!</v>
      </c>
    </row>
    <row r="9" spans="1:9" x14ac:dyDescent="0.2">
      <c r="A9" s="283" t="s">
        <v>161</v>
      </c>
      <c r="B9" s="283"/>
    </row>
    <row r="10" spans="1:9" x14ac:dyDescent="0.2">
      <c r="A10" s="55" t="s">
        <v>111</v>
      </c>
      <c r="B10" s="55">
        <f>[2]COMPUTE_FORMULAS!G17</f>
        <v>0.05</v>
      </c>
    </row>
    <row r="11" spans="1:9" x14ac:dyDescent="0.2">
      <c r="A11" s="55" t="s">
        <v>163</v>
      </c>
      <c r="B11" s="55" t="str">
        <f>[2]COMPUTE_FORMULAS!J2</f>
        <v>=COUNTA(ASFData!$1:$1)</v>
      </c>
    </row>
    <row r="12" spans="1:9" x14ac:dyDescent="0.2">
      <c r="A12" s="55" t="s">
        <v>85</v>
      </c>
      <c r="B12" s="55" t="str">
        <f>[2]COMPUTE_FORMULAS!C14</f>
        <v>=J3-J2</v>
      </c>
    </row>
    <row r="13" spans="1:9" x14ac:dyDescent="0.2">
      <c r="A13" s="55" t="s">
        <v>86</v>
      </c>
      <c r="B13" s="55">
        <f>[2]COMPUTE!D14</f>
        <v>4.3912500000000132E-2</v>
      </c>
    </row>
    <row r="14" spans="1:9" x14ac:dyDescent="0.2">
      <c r="A14" s="152" t="s">
        <v>164</v>
      </c>
      <c r="B14" s="152">
        <v>4.05</v>
      </c>
    </row>
  </sheetData>
  <mergeCells count="1">
    <mergeCell ref="A9:B9"/>
  </mergeCells>
  <pageMargins left="0.75" right="0.75" top="1" bottom="1" header="0.5" footer="0.5"/>
  <pageSetup orientation="portrait" horizontalDpi="0" verticalDpi="0"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7ABB5-5B59-4F50-9974-2E41175BB828}">
  <sheetPr>
    <tabColor rgb="FF002060"/>
  </sheetPr>
  <dimension ref="A1:I16"/>
  <sheetViews>
    <sheetView workbookViewId="0">
      <selection activeCell="K14" sqref="K14"/>
    </sheetView>
  </sheetViews>
  <sheetFormatPr baseColWidth="10" defaultColWidth="9.1640625" defaultRowHeight="15" x14ac:dyDescent="0.2"/>
  <cols>
    <col min="1" max="1" width="20.6640625" style="37" customWidth="1"/>
    <col min="2" max="3" width="9.1640625" style="37"/>
    <col min="4" max="4" width="2.33203125" style="37" customWidth="1"/>
    <col min="5" max="5" width="18.5" style="37" customWidth="1"/>
    <col min="6" max="6" width="10.1640625" style="37" customWidth="1"/>
    <col min="7" max="7" width="13.1640625" style="37" customWidth="1"/>
    <col min="8" max="8" width="9" style="37" customWidth="1"/>
    <col min="9" max="9" width="23.5" style="37" customWidth="1"/>
    <col min="10" max="16384" width="9.1640625" style="37"/>
  </cols>
  <sheetData>
    <row r="1" spans="1:9" x14ac:dyDescent="0.2">
      <c r="A1" s="40" t="s">
        <v>146</v>
      </c>
    </row>
    <row r="3" spans="1:9" x14ac:dyDescent="0.2">
      <c r="A3" s="64"/>
      <c r="B3" s="64" t="s">
        <v>87</v>
      </c>
      <c r="C3" s="64" t="s">
        <v>87</v>
      </c>
      <c r="D3" s="64"/>
      <c r="E3" s="64"/>
      <c r="F3" s="64" t="s">
        <v>147</v>
      </c>
      <c r="G3" s="64" t="s">
        <v>148</v>
      </c>
      <c r="H3" s="64" t="s">
        <v>149</v>
      </c>
      <c r="I3" s="40"/>
    </row>
    <row r="4" spans="1:9" x14ac:dyDescent="0.2">
      <c r="A4" s="36" t="s">
        <v>150</v>
      </c>
      <c r="B4" s="36" t="s">
        <v>151</v>
      </c>
      <c r="C4" s="36" t="s">
        <v>152</v>
      </c>
      <c r="D4" s="64"/>
      <c r="E4" s="36" t="s">
        <v>84</v>
      </c>
      <c r="F4" s="36" t="s">
        <v>153</v>
      </c>
      <c r="G4" s="36" t="s">
        <v>154</v>
      </c>
      <c r="H4" s="36" t="s">
        <v>155</v>
      </c>
      <c r="I4" s="36" t="s">
        <v>165</v>
      </c>
    </row>
    <row r="5" spans="1:9" x14ac:dyDescent="0.2">
      <c r="A5" s="65" t="str">
        <f xml:space="preserve"> "1: " &amp; [2]COMPUTE_FORMULAS!A5</f>
        <v>1: =ASFData!A1</v>
      </c>
      <c r="B5" s="37" t="str">
        <f>[2]COMPUTE_FORMULAS!D5</f>
        <v>=AVERAGE(ASFData!$A:$A)</v>
      </c>
      <c r="C5" s="37" t="str">
        <f>[2]COMPUTE_FORMULAS!B5</f>
        <v>=COUNT(ASFData!$A:$A)</v>
      </c>
      <c r="E5" s="37" t="s">
        <v>156</v>
      </c>
      <c r="F5" s="37" t="e">
        <f>ABS($B$5-$B$6)</f>
        <v>#VALUE!</v>
      </c>
      <c r="G5" s="86" t="e">
        <f>SQRT(($B$15/2)*((1/$C$5)+(1/$C$6)))</f>
        <v>#VALUE!</v>
      </c>
      <c r="H5" s="86" t="e">
        <f>$B$16*$G$5</f>
        <v>#VALUE!</v>
      </c>
      <c r="I5" s="37" t="e">
        <f>IF($F$5&gt;$H$5,"Means are different","Means are not different")</f>
        <v>#VALUE!</v>
      </c>
    </row>
    <row r="6" spans="1:9" x14ac:dyDescent="0.2">
      <c r="A6" s="65" t="str">
        <f xml:space="preserve"> "2: " &amp; [2]COMPUTE_FORMULAS!A6</f>
        <v>2: =ASFData!B1</v>
      </c>
      <c r="B6" s="37" t="str">
        <f>[2]COMPUTE_FORMULAS!D6</f>
        <v>=AVERAGE(ASFData!$B:$B)</v>
      </c>
      <c r="C6" s="37" t="str">
        <f>[2]COMPUTE_FORMULAS!B6</f>
        <v>=COUNT(ASFData!$B:$B)</v>
      </c>
      <c r="E6" s="37" t="s">
        <v>157</v>
      </c>
      <c r="F6" s="37" t="e">
        <f>ABS($B$5-$B$7)</f>
        <v>#VALUE!</v>
      </c>
      <c r="G6" s="86" t="e">
        <f>SQRT(($B$15/2)*((1/$C$5)+(1/$C$7)))</f>
        <v>#VALUE!</v>
      </c>
      <c r="H6" s="86" t="e">
        <f>$B$16*$G$6</f>
        <v>#VALUE!</v>
      </c>
      <c r="I6" s="37" t="e">
        <f>IF($F$6&gt;$H$6,"Means are different","Means are not different")</f>
        <v>#VALUE!</v>
      </c>
    </row>
    <row r="7" spans="1:9" x14ac:dyDescent="0.2">
      <c r="A7" s="65" t="str">
        <f xml:space="preserve"> "3: " &amp; [2]COMPUTE_FORMULAS!A7</f>
        <v>3: =ASFData!C1</v>
      </c>
      <c r="B7" s="37" t="str">
        <f>[2]COMPUTE_FORMULAS!D7</f>
        <v>=AVERAGE(ASFData!$C:$C)</v>
      </c>
      <c r="C7" s="37" t="str">
        <f>[2]COMPUTE_FORMULAS!B7</f>
        <v>=COUNT(ASFData!$C:$C)</v>
      </c>
      <c r="E7" s="37" t="s">
        <v>158</v>
      </c>
      <c r="F7" s="37" t="e">
        <f>ABS($B$5-$B$8)</f>
        <v>#VALUE!</v>
      </c>
      <c r="G7" s="86" t="e">
        <f>SQRT(($B$15/2)*((1/$C$5)+(1/$C$8)))</f>
        <v>#VALUE!</v>
      </c>
      <c r="H7" s="86" t="e">
        <f>$B$16*$G$7</f>
        <v>#VALUE!</v>
      </c>
      <c r="I7" s="37" t="e">
        <f>IF($F$7&gt;$H$7,"Means are different","Means are not different")</f>
        <v>#VALUE!</v>
      </c>
    </row>
    <row r="8" spans="1:9" x14ac:dyDescent="0.2">
      <c r="A8" s="65" t="str">
        <f xml:space="preserve"> "4: " &amp; [2]COMPUTE_FORMULAS!A8</f>
        <v>4: =ASFData!D1</v>
      </c>
      <c r="B8" s="37" t="str">
        <f>[2]COMPUTE_FORMULAS!D8</f>
        <v>=AVERAGE(ASFData!$D:$D)</v>
      </c>
      <c r="C8" s="37" t="str">
        <f>[2]COMPUTE_FORMULAS!B8</f>
        <v>=COUNT(ASFData!$D:$D)</v>
      </c>
      <c r="E8" s="37" t="s">
        <v>166</v>
      </c>
      <c r="F8" s="37" t="e">
        <f>ABS($B$5-$B$9)</f>
        <v>#VALUE!</v>
      </c>
      <c r="G8" s="86" t="e">
        <f>SQRT(($B$15/2)*((1/$C$5)+(1/$C$9)))</f>
        <v>#VALUE!</v>
      </c>
      <c r="H8" s="86" t="e">
        <f>$B$16*$G$8</f>
        <v>#VALUE!</v>
      </c>
      <c r="I8" s="37" t="e">
        <f>IF($F$8&gt;$H$8,"Means are different","Means are not different")</f>
        <v>#VALUE!</v>
      </c>
    </row>
    <row r="9" spans="1:9" x14ac:dyDescent="0.2">
      <c r="A9" s="153" t="s">
        <v>167</v>
      </c>
      <c r="B9" s="41"/>
      <c r="C9" s="41"/>
      <c r="E9" s="37" t="s">
        <v>159</v>
      </c>
      <c r="F9" s="37" t="e">
        <f>ABS($B$6-$B$7)</f>
        <v>#VALUE!</v>
      </c>
      <c r="G9" s="86" t="e">
        <f>SQRT(($B$15/2)*((1/$C$6)+(1/$C$7)))</f>
        <v>#VALUE!</v>
      </c>
      <c r="H9" s="86" t="e">
        <f>$B$16*$G$9</f>
        <v>#VALUE!</v>
      </c>
      <c r="I9" s="37" t="e">
        <f>IF($F$9&gt;$H$9,"Means are different","Means are not different")</f>
        <v>#VALUE!</v>
      </c>
    </row>
    <row r="10" spans="1:9" x14ac:dyDescent="0.2">
      <c r="E10" s="37" t="s">
        <v>160</v>
      </c>
      <c r="F10" s="37" t="e">
        <f>ABS($B$6-$B$8)</f>
        <v>#VALUE!</v>
      </c>
      <c r="G10" s="86" t="e">
        <f>SQRT(($B$15/2)*((1/$C$6)+(1/$C$8)))</f>
        <v>#VALUE!</v>
      </c>
      <c r="H10" s="86" t="e">
        <f>$B$16*$G$10</f>
        <v>#VALUE!</v>
      </c>
      <c r="I10" s="37" t="e">
        <f>IF($F$10&gt;$H$10,"Means are different","Means are not different")</f>
        <v>#VALUE!</v>
      </c>
    </row>
    <row r="11" spans="1:9" x14ac:dyDescent="0.2">
      <c r="A11" s="265" t="s">
        <v>161</v>
      </c>
      <c r="B11" s="265"/>
      <c r="E11" s="37" t="s">
        <v>168</v>
      </c>
      <c r="F11" s="37" t="e">
        <f>ABS($B$6-$B$9)</f>
        <v>#VALUE!</v>
      </c>
      <c r="G11" s="86" t="e">
        <f>SQRT(($B$15/2)*((1/$C$6)+(1/$C$9)))</f>
        <v>#VALUE!</v>
      </c>
      <c r="H11" s="86" t="e">
        <f>$B$16*$G$11</f>
        <v>#VALUE!</v>
      </c>
      <c r="I11" s="37" t="e">
        <f>IF($F$11&gt;$H$11,"Means are different","Means are not different")</f>
        <v>#VALUE!</v>
      </c>
    </row>
    <row r="12" spans="1:9" x14ac:dyDescent="0.2">
      <c r="A12" s="55" t="s">
        <v>111</v>
      </c>
      <c r="B12" s="55">
        <f>[2]COMPUTE_FORMULAS!G17</f>
        <v>0.05</v>
      </c>
      <c r="E12" s="37" t="s">
        <v>162</v>
      </c>
      <c r="F12" s="37" t="e">
        <f>ABS($B$7-$B$8)</f>
        <v>#VALUE!</v>
      </c>
      <c r="G12" s="86" t="e">
        <f>SQRT(($B$15/2)*((1/$C$7)+(1/$C$8)))</f>
        <v>#VALUE!</v>
      </c>
      <c r="H12" s="86" t="e">
        <f>$B$16*$G$12</f>
        <v>#VALUE!</v>
      </c>
      <c r="I12" s="37" t="e">
        <f>IF($F$12&gt;$H$12,"Means are different","Means are not different")</f>
        <v>#VALUE!</v>
      </c>
    </row>
    <row r="13" spans="1:9" x14ac:dyDescent="0.2">
      <c r="A13" s="55" t="s">
        <v>163</v>
      </c>
      <c r="B13" s="55" t="str">
        <f>[2]COMPUTE_FORMULAS!J2</f>
        <v>=COUNTA(ASFData!$1:$1)</v>
      </c>
      <c r="E13" s="37" t="s">
        <v>169</v>
      </c>
      <c r="F13" s="37" t="e">
        <f>ABS($B$7-$B$9)</f>
        <v>#VALUE!</v>
      </c>
      <c r="G13" s="86" t="e">
        <f>SQRT(($B$15/2)*((1/$C$7)+(1/$C$9)))</f>
        <v>#VALUE!</v>
      </c>
      <c r="H13" s="86" t="e">
        <f>$B$16*$G$13</f>
        <v>#VALUE!</v>
      </c>
      <c r="I13" s="37" t="e">
        <f>IF($F$13&gt;$H$13,"Means are different","Means are not different")</f>
        <v>#VALUE!</v>
      </c>
    </row>
    <row r="14" spans="1:9" x14ac:dyDescent="0.2">
      <c r="A14" s="55" t="s">
        <v>85</v>
      </c>
      <c r="B14" s="55" t="str">
        <f>[2]COMPUTE_FORMULAS!C14</f>
        <v>=J3-J2</v>
      </c>
      <c r="E14" s="37" t="s">
        <v>170</v>
      </c>
      <c r="F14" s="37" t="e">
        <f>ABS($B$8-$B$9)</f>
        <v>#VALUE!</v>
      </c>
      <c r="G14" s="86" t="e">
        <f>SQRT(($B$15/2)*((1/$C$8)+(1/$C$9)))</f>
        <v>#VALUE!</v>
      </c>
      <c r="H14" s="86" t="e">
        <f>$B$16*$G$14</f>
        <v>#VALUE!</v>
      </c>
      <c r="I14" s="37" t="e">
        <f>IF($F$14&gt;$H$14,"Means are different","Means are not different")</f>
        <v>#VALUE!</v>
      </c>
    </row>
    <row r="15" spans="1:9" x14ac:dyDescent="0.2">
      <c r="A15" s="55" t="s">
        <v>86</v>
      </c>
      <c r="B15" s="55">
        <f>[2]COMPUTE!D14</f>
        <v>4.3912500000000132E-2</v>
      </c>
    </row>
    <row r="16" spans="1:9" x14ac:dyDescent="0.2">
      <c r="A16" s="152" t="s">
        <v>164</v>
      </c>
      <c r="B16" s="152">
        <v>4.05</v>
      </c>
    </row>
  </sheetData>
  <mergeCells count="1">
    <mergeCell ref="A11:B11"/>
  </mergeCells>
  <pageMargins left="0.75" right="0.75" top="1" bottom="1" header="0.5" footer="0.5"/>
  <pageSetup orientation="portrait" horizontalDpi="0" verticalDpi="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C1EE-93FB-4398-9AE3-68112E766BBA}">
  <sheetPr>
    <tabColor rgb="FF002060"/>
  </sheetPr>
  <dimension ref="A1:I19"/>
  <sheetViews>
    <sheetView workbookViewId="0">
      <selection activeCell="K14" sqref="K14"/>
    </sheetView>
  </sheetViews>
  <sheetFormatPr baseColWidth="10" defaultColWidth="9.1640625" defaultRowHeight="15" x14ac:dyDescent="0.2"/>
  <cols>
    <col min="1" max="1" width="20.6640625" style="37" customWidth="1"/>
    <col min="2" max="3" width="9.1640625" style="37"/>
    <col min="4" max="4" width="2.33203125" style="37" customWidth="1"/>
    <col min="5" max="5" width="18.5" style="37" bestFit="1" customWidth="1"/>
    <col min="6" max="6" width="10.1640625" style="37" customWidth="1"/>
    <col min="7" max="7" width="13.1640625" style="37" customWidth="1"/>
    <col min="8" max="8" width="9" style="37" customWidth="1"/>
    <col min="9" max="9" width="23.5" style="37" customWidth="1"/>
    <col min="10" max="16384" width="9.1640625" style="37"/>
  </cols>
  <sheetData>
    <row r="1" spans="1:9" x14ac:dyDescent="0.2">
      <c r="A1" s="40" t="s">
        <v>146</v>
      </c>
    </row>
    <row r="3" spans="1:9" x14ac:dyDescent="0.2">
      <c r="A3" s="64"/>
      <c r="B3" s="64" t="s">
        <v>87</v>
      </c>
      <c r="C3" s="64" t="s">
        <v>87</v>
      </c>
      <c r="D3" s="64"/>
      <c r="E3" s="64"/>
      <c r="F3" s="64" t="s">
        <v>147</v>
      </c>
      <c r="G3" s="64" t="s">
        <v>148</v>
      </c>
      <c r="H3" s="64" t="s">
        <v>149</v>
      </c>
      <c r="I3" s="40"/>
    </row>
    <row r="4" spans="1:9" x14ac:dyDescent="0.2">
      <c r="A4" s="36" t="s">
        <v>150</v>
      </c>
      <c r="B4" s="36" t="s">
        <v>151</v>
      </c>
      <c r="C4" s="36" t="s">
        <v>152</v>
      </c>
      <c r="D4" s="64"/>
      <c r="E4" s="36" t="s">
        <v>84</v>
      </c>
      <c r="F4" s="36" t="s">
        <v>153</v>
      </c>
      <c r="G4" s="36" t="s">
        <v>154</v>
      </c>
      <c r="H4" s="36" t="s">
        <v>155</v>
      </c>
      <c r="I4" s="36" t="str">
        <f>IF(B15="","Results are NOT valid until Q Statistic is entered into B15","Results")</f>
        <v>Results</v>
      </c>
    </row>
    <row r="5" spans="1:9" x14ac:dyDescent="0.2">
      <c r="A5" s="65" t="str">
        <f xml:space="preserve"> "1: " &amp; [2]COMPUTE_FORMULAS!A5</f>
        <v>1: =ASFData!A1</v>
      </c>
      <c r="B5" s="37" t="str">
        <f>[2]COMPUTE_FORMULAS!D5</f>
        <v>=AVERAGE(ASFData!$A:$A)</v>
      </c>
      <c r="C5" s="37" t="str">
        <f>[2]COMPUTE_FORMULAS!B5</f>
        <v>=COUNT(ASFData!$A:$A)</v>
      </c>
      <c r="E5" s="37" t="s">
        <v>156</v>
      </c>
      <c r="F5" s="37" t="e">
        <f>ABS($B$5-$B$6)</f>
        <v>#VALUE!</v>
      </c>
      <c r="G5" s="86" t="e">
        <f>SQRT(($B$16/2)*((1/$C$5)+(1/$C$6)))</f>
        <v>#VALUE!</v>
      </c>
      <c r="H5" s="86" t="e">
        <f>$B$17*$G$5</f>
        <v>#VALUE!</v>
      </c>
      <c r="I5" s="37" t="e">
        <f>IF($F$5&gt;$H$5,"Means are different","Means are not different")</f>
        <v>#VALUE!</v>
      </c>
    </row>
    <row r="6" spans="1:9" x14ac:dyDescent="0.2">
      <c r="A6" s="65" t="str">
        <f xml:space="preserve"> "2: " &amp; [2]COMPUTE_FORMULAS!A6</f>
        <v>2: =ASFData!B1</v>
      </c>
      <c r="B6" s="37" t="str">
        <f>[2]COMPUTE_FORMULAS!D6</f>
        <v>=AVERAGE(ASFData!$B:$B)</v>
      </c>
      <c r="C6" s="37" t="str">
        <f>[2]COMPUTE_FORMULAS!B6</f>
        <v>=COUNT(ASFData!$B:$B)</v>
      </c>
      <c r="E6" s="37" t="s">
        <v>157</v>
      </c>
      <c r="F6" s="37" t="e">
        <f>ABS($B$5-$B$7)</f>
        <v>#VALUE!</v>
      </c>
      <c r="G6" s="86" t="e">
        <f>SQRT(($B$16/2)*((1/$C$5)+(1/$C$7)))</f>
        <v>#VALUE!</v>
      </c>
      <c r="H6" s="86" t="e">
        <f>$B$17*$G$6</f>
        <v>#VALUE!</v>
      </c>
      <c r="I6" s="37" t="e">
        <f>IF($F$6&gt;$H$6,"Means are different","Means are not different")</f>
        <v>#VALUE!</v>
      </c>
    </row>
    <row r="7" spans="1:9" x14ac:dyDescent="0.2">
      <c r="A7" s="65" t="str">
        <f xml:space="preserve"> "3: " &amp; [2]COMPUTE_FORMULAS!A7</f>
        <v>3: =ASFData!C1</v>
      </c>
      <c r="B7" s="37" t="str">
        <f>[2]COMPUTE_FORMULAS!D7</f>
        <v>=AVERAGE(ASFData!$C:$C)</v>
      </c>
      <c r="C7" s="37" t="str">
        <f>[2]COMPUTE_FORMULAS!B7</f>
        <v>=COUNT(ASFData!$C:$C)</v>
      </c>
      <c r="E7" s="37" t="s">
        <v>158</v>
      </c>
      <c r="F7" s="37" t="e">
        <f>ABS($B$5-$B$8)</f>
        <v>#VALUE!</v>
      </c>
      <c r="G7" s="86" t="e">
        <f>SQRT(($B$16/2)*((1/$C$5)+(1/$C$8)))</f>
        <v>#VALUE!</v>
      </c>
      <c r="H7" s="86" t="e">
        <f>$B$17*$G$7</f>
        <v>#VALUE!</v>
      </c>
      <c r="I7" s="37" t="e">
        <f>IF($F$7&gt;$H$7,"Means are different","Means are not different")</f>
        <v>#VALUE!</v>
      </c>
    </row>
    <row r="8" spans="1:9" x14ac:dyDescent="0.2">
      <c r="A8" s="65" t="str">
        <f xml:space="preserve"> "4: " &amp; [2]COMPUTE_FORMULAS!A8</f>
        <v>4: =ASFData!D1</v>
      </c>
      <c r="B8" s="37" t="str">
        <f>[2]COMPUTE_FORMULAS!D8</f>
        <v>=AVERAGE(ASFData!$D:$D)</v>
      </c>
      <c r="C8" s="37" t="str">
        <f>[2]COMPUTE_FORMULAS!B8</f>
        <v>=COUNT(ASFData!$D:$D)</v>
      </c>
      <c r="E8" s="37" t="s">
        <v>166</v>
      </c>
      <c r="F8" s="37" t="e">
        <f>ABS($B$5-$B$9)</f>
        <v>#VALUE!</v>
      </c>
      <c r="G8" s="86" t="e">
        <f>SQRT(($B$16/2)*((1/$C$5)+(1/$C$9)))</f>
        <v>#VALUE!</v>
      </c>
      <c r="H8" s="86" t="e">
        <f>$B$17*$G$8</f>
        <v>#VALUE!</v>
      </c>
      <c r="I8" s="37" t="e">
        <f>IF($F$8&gt;$H$8,"Means are different","Means are not different")</f>
        <v>#VALUE!</v>
      </c>
    </row>
    <row r="9" spans="1:9" x14ac:dyDescent="0.2">
      <c r="A9" s="153" t="s">
        <v>167</v>
      </c>
      <c r="B9" s="41"/>
      <c r="C9" s="41"/>
      <c r="E9" s="37" t="s">
        <v>171</v>
      </c>
      <c r="F9" s="37" t="e">
        <f>ABS($B$5-$B$10)</f>
        <v>#VALUE!</v>
      </c>
      <c r="G9" s="86" t="e">
        <f>SQRT(($B$16/2)*((1/$C$5)+(1/$C$10)))</f>
        <v>#VALUE!</v>
      </c>
      <c r="H9" s="86" t="e">
        <f>$B$17*$G$9</f>
        <v>#VALUE!</v>
      </c>
      <c r="I9" s="37" t="e">
        <f>IF($F$9&gt;$H$9,"Means are different","Means are not different")</f>
        <v>#VALUE!</v>
      </c>
    </row>
    <row r="10" spans="1:9" x14ac:dyDescent="0.2">
      <c r="A10" s="153" t="s">
        <v>172</v>
      </c>
      <c r="B10" s="41"/>
      <c r="C10" s="41"/>
      <c r="E10" s="37" t="s">
        <v>159</v>
      </c>
      <c r="F10" s="37" t="e">
        <f>ABS($B$6-$B$7)</f>
        <v>#VALUE!</v>
      </c>
      <c r="G10" s="86" t="e">
        <f>SQRT(($B$16/2)*((1/$C$6)+(1/$C$7)))</f>
        <v>#VALUE!</v>
      </c>
      <c r="H10" s="86" t="e">
        <f>$B$17*$G$10</f>
        <v>#VALUE!</v>
      </c>
      <c r="I10" s="37" t="e">
        <f>IF($F$10&gt;$H$10,"Means are different","Means are not different")</f>
        <v>#VALUE!</v>
      </c>
    </row>
    <row r="11" spans="1:9" x14ac:dyDescent="0.2">
      <c r="E11" s="37" t="s">
        <v>160</v>
      </c>
      <c r="F11" s="37" t="e">
        <f>ABS($B$6-$B$8)</f>
        <v>#VALUE!</v>
      </c>
      <c r="G11" s="86" t="e">
        <f>SQRT(($B$16/2)*((1/$C$6)+(1/$C$8)))</f>
        <v>#VALUE!</v>
      </c>
      <c r="H11" s="86" t="e">
        <f>$B$17*$G$11</f>
        <v>#VALUE!</v>
      </c>
      <c r="I11" s="37" t="e">
        <f>IF($F$11&gt;$H$11,"Means are different","Means are not different")</f>
        <v>#VALUE!</v>
      </c>
    </row>
    <row r="12" spans="1:9" x14ac:dyDescent="0.2">
      <c r="A12" s="265" t="s">
        <v>161</v>
      </c>
      <c r="B12" s="265"/>
      <c r="E12" s="37" t="s">
        <v>168</v>
      </c>
      <c r="F12" s="37" t="e">
        <f>ABS($B$6-$B$9)</f>
        <v>#VALUE!</v>
      </c>
      <c r="G12" s="86" t="e">
        <f>SQRT(($B$16/2)*((1/$C$6)+(1/$C$9)))</f>
        <v>#VALUE!</v>
      </c>
      <c r="H12" s="86" t="e">
        <f>$B$17*$G$12</f>
        <v>#VALUE!</v>
      </c>
      <c r="I12" s="37" t="e">
        <f>IF($F$12&gt;$H$12,"Means are different","Means are not different")</f>
        <v>#VALUE!</v>
      </c>
    </row>
    <row r="13" spans="1:9" x14ac:dyDescent="0.2">
      <c r="A13" s="55" t="s">
        <v>111</v>
      </c>
      <c r="B13" s="55">
        <f>[2]COMPUTE_FORMULAS!G17</f>
        <v>0.05</v>
      </c>
      <c r="E13" s="37" t="s">
        <v>173</v>
      </c>
      <c r="F13" s="37" t="e">
        <f>ABS($B$6-$B$10)</f>
        <v>#VALUE!</v>
      </c>
      <c r="G13" s="86" t="e">
        <f>SQRT(($B$16/2)*((1/$C$6)+(1/$C$10)))</f>
        <v>#VALUE!</v>
      </c>
      <c r="H13" s="86" t="e">
        <f>$B$17*$G$13</f>
        <v>#VALUE!</v>
      </c>
      <c r="I13" s="37" t="e">
        <f>IF($F$13&gt;$H$13,"Means are different","Means are not different")</f>
        <v>#VALUE!</v>
      </c>
    </row>
    <row r="14" spans="1:9" x14ac:dyDescent="0.2">
      <c r="A14" s="55" t="s">
        <v>163</v>
      </c>
      <c r="B14" s="55" t="str">
        <f>[2]COMPUTE_FORMULAS!J2</f>
        <v>=COUNTA(ASFData!$1:$1)</v>
      </c>
      <c r="E14" s="37" t="s">
        <v>162</v>
      </c>
      <c r="F14" s="37" t="e">
        <f>ABS($B$7-$B$8)</f>
        <v>#VALUE!</v>
      </c>
      <c r="G14" s="86" t="e">
        <f>SQRT(($B$16/2)*((1/$C$7)+(1/$C$8)))</f>
        <v>#VALUE!</v>
      </c>
      <c r="H14" s="86" t="e">
        <f>$B$17*$G$14</f>
        <v>#VALUE!</v>
      </c>
      <c r="I14" s="37" t="e">
        <f>IF($F$14&gt;$H$14,"Means are different","Means are not different")</f>
        <v>#VALUE!</v>
      </c>
    </row>
    <row r="15" spans="1:9" x14ac:dyDescent="0.2">
      <c r="A15" s="55" t="s">
        <v>85</v>
      </c>
      <c r="B15" s="55" t="str">
        <f>[2]COMPUTE_FORMULAS!C14</f>
        <v>=J3-J2</v>
      </c>
      <c r="E15" s="37" t="s">
        <v>169</v>
      </c>
      <c r="F15" s="37" t="e">
        <f>ABS($B$7-$B$9)</f>
        <v>#VALUE!</v>
      </c>
      <c r="G15" s="86" t="e">
        <f>SQRT(($B$16/2)*((1/$C$7)+(1/$C$9)))</f>
        <v>#VALUE!</v>
      </c>
      <c r="H15" s="86" t="e">
        <f>$B$17*$G$15</f>
        <v>#VALUE!</v>
      </c>
      <c r="I15" s="37" t="e">
        <f>IF($F$15&gt;$H$15,"Means are different","Means are not different")</f>
        <v>#VALUE!</v>
      </c>
    </row>
    <row r="16" spans="1:9" x14ac:dyDescent="0.2">
      <c r="A16" s="55" t="s">
        <v>86</v>
      </c>
      <c r="B16" s="55">
        <f>[2]COMPUTE!D14</f>
        <v>4.3912500000000132E-2</v>
      </c>
      <c r="E16" s="37" t="s">
        <v>174</v>
      </c>
      <c r="F16" s="37" t="e">
        <f>ABS($B$7-$B$10)</f>
        <v>#VALUE!</v>
      </c>
      <c r="G16" s="86" t="e">
        <f>SQRT(($B$16/2)*((1/$C$7)+(1/$C$10)))</f>
        <v>#VALUE!</v>
      </c>
      <c r="H16" s="86" t="e">
        <f>$B$17*$G$16</f>
        <v>#VALUE!</v>
      </c>
      <c r="I16" s="37" t="e">
        <f>IF($F$16&gt;$H$16,"Means are different","Means are not different")</f>
        <v>#VALUE!</v>
      </c>
    </row>
    <row r="17" spans="1:9" x14ac:dyDescent="0.2">
      <c r="A17" s="152" t="s">
        <v>164</v>
      </c>
      <c r="B17" s="152">
        <v>4.05</v>
      </c>
      <c r="E17" s="37" t="s">
        <v>170</v>
      </c>
      <c r="F17" s="37" t="e">
        <f>ABS($B$8-$B$9)</f>
        <v>#VALUE!</v>
      </c>
      <c r="G17" s="86" t="e">
        <f>SQRT(($B$16/2)*((1/$C$8)+(1/$C$9)))</f>
        <v>#VALUE!</v>
      </c>
      <c r="H17" s="86" t="e">
        <f>$B$17*$G$17</f>
        <v>#VALUE!</v>
      </c>
      <c r="I17" s="37" t="e">
        <f>IF($F$17&gt;$H$17,"Means are different","Means are not different")</f>
        <v>#VALUE!</v>
      </c>
    </row>
    <row r="18" spans="1:9" x14ac:dyDescent="0.2">
      <c r="E18" s="37" t="s">
        <v>175</v>
      </c>
      <c r="F18" s="37" t="e">
        <f>ABS($B$8-$B$10)</f>
        <v>#VALUE!</v>
      </c>
      <c r="G18" s="86" t="e">
        <f>SQRT(($B$16/2)*((1/$C$8)+(1/$C$10)))</f>
        <v>#VALUE!</v>
      </c>
      <c r="H18" s="86" t="e">
        <f>$B$17*$G$18</f>
        <v>#VALUE!</v>
      </c>
      <c r="I18" s="37" t="e">
        <f>IF($F$18&gt;$H$18,"Means are different","Means are not different")</f>
        <v>#VALUE!</v>
      </c>
    </row>
    <row r="19" spans="1:9" x14ac:dyDescent="0.2">
      <c r="E19" s="37" t="s">
        <v>176</v>
      </c>
      <c r="F19" s="37">
        <f>ABS($B$9-$B$10)</f>
        <v>0</v>
      </c>
      <c r="G19" s="86" t="e">
        <f>SQRT(($B$16/2)*((1/$C$9)+(1/$C$10)))</f>
        <v>#DIV/0!</v>
      </c>
      <c r="H19" s="86" t="e">
        <f>$B$17*$G$19</f>
        <v>#DIV/0!</v>
      </c>
      <c r="I19" s="37" t="e">
        <f>IF($F$19&gt;$H$19,"Means are different","Means are not different")</f>
        <v>#DIV/0!</v>
      </c>
    </row>
  </sheetData>
  <mergeCells count="1">
    <mergeCell ref="A12:B12"/>
  </mergeCells>
  <pageMargins left="0.75" right="0.75" top="1" bottom="1" header="0.5" footer="0.5"/>
  <pageSetup orientation="portrait" horizontalDpi="1200" verticalDpi="12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451E9-C9D0-4563-BF05-CD86A3A871D9}">
  <sheetPr>
    <tabColor rgb="FF002060"/>
  </sheetPr>
  <dimension ref="A1:I25"/>
  <sheetViews>
    <sheetView workbookViewId="0">
      <selection activeCell="K14" sqref="K14"/>
    </sheetView>
  </sheetViews>
  <sheetFormatPr baseColWidth="10" defaultColWidth="9.1640625" defaultRowHeight="15" x14ac:dyDescent="0.2"/>
  <cols>
    <col min="1" max="1" width="20.6640625" style="37" customWidth="1"/>
    <col min="2" max="3" width="9.1640625" style="37"/>
    <col min="4" max="4" width="2.33203125" style="37" customWidth="1"/>
    <col min="5" max="5" width="18.5" style="37" customWidth="1"/>
    <col min="6" max="6" width="10.1640625" style="37" customWidth="1"/>
    <col min="7" max="7" width="13.1640625" style="37" customWidth="1"/>
    <col min="8" max="8" width="9" style="37" customWidth="1"/>
    <col min="9" max="9" width="23.5" style="37" customWidth="1"/>
    <col min="10" max="16384" width="9.1640625" style="37"/>
  </cols>
  <sheetData>
    <row r="1" spans="1:9" x14ac:dyDescent="0.2">
      <c r="A1" s="40" t="s">
        <v>146</v>
      </c>
      <c r="B1" s="40"/>
    </row>
    <row r="3" spans="1:9" x14ac:dyDescent="0.2">
      <c r="A3" s="64"/>
      <c r="B3" s="64" t="s">
        <v>87</v>
      </c>
      <c r="C3" s="64" t="s">
        <v>87</v>
      </c>
      <c r="D3" s="64"/>
      <c r="E3" s="64"/>
      <c r="F3" s="64" t="s">
        <v>147</v>
      </c>
      <c r="G3" s="64" t="s">
        <v>148</v>
      </c>
      <c r="H3" s="64" t="s">
        <v>149</v>
      </c>
      <c r="I3" s="40"/>
    </row>
    <row r="4" spans="1:9" x14ac:dyDescent="0.2">
      <c r="A4" s="36" t="s">
        <v>150</v>
      </c>
      <c r="B4" s="36" t="s">
        <v>151</v>
      </c>
      <c r="C4" s="36" t="s">
        <v>152</v>
      </c>
      <c r="D4" s="64"/>
      <c r="E4" s="36" t="s">
        <v>84</v>
      </c>
      <c r="F4" s="36" t="s">
        <v>153</v>
      </c>
      <c r="G4" s="36" t="s">
        <v>154</v>
      </c>
      <c r="H4" s="36" t="s">
        <v>155</v>
      </c>
      <c r="I4" s="36" t="str">
        <f>IF(B15="","Results are NOT valid until Q Statistic is entered into B15","Results")</f>
        <v>Results</v>
      </c>
    </row>
    <row r="5" spans="1:9" x14ac:dyDescent="0.2">
      <c r="A5" s="65" t="str">
        <f xml:space="preserve"> "1: " &amp; [2]COMPUTE_FORMULAS!A5</f>
        <v>1: =ASFData!A1</v>
      </c>
      <c r="B5" s="37" t="str">
        <f>[2]COMPUTE_FORMULAS!D5</f>
        <v>=AVERAGE(ASFData!$A:$A)</v>
      </c>
      <c r="C5" s="37" t="str">
        <f>[2]COMPUTE_FORMULAS!B5</f>
        <v>=COUNT(ASFData!$A:$A)</v>
      </c>
      <c r="E5" s="37" t="s">
        <v>156</v>
      </c>
      <c r="F5" s="37" t="e">
        <f>ABS($B$5-$B$6)</f>
        <v>#VALUE!</v>
      </c>
      <c r="G5" s="86" t="e">
        <f>SQRT(($B$17/2)*((1/$C$5)+(1/$C$6)))</f>
        <v>#VALUE!</v>
      </c>
      <c r="H5" s="86" t="e">
        <f>$B$18*$G$5</f>
        <v>#VALUE!</v>
      </c>
      <c r="I5" s="37" t="e">
        <f>IF($F$5&gt;$H$5,"Means are different","Means are not different")</f>
        <v>#VALUE!</v>
      </c>
    </row>
    <row r="6" spans="1:9" x14ac:dyDescent="0.2">
      <c r="A6" s="65" t="str">
        <f xml:space="preserve"> "2: " &amp; [2]COMPUTE_FORMULAS!A6</f>
        <v>2: =ASFData!B1</v>
      </c>
      <c r="B6" s="37" t="str">
        <f>[2]COMPUTE_FORMULAS!D6</f>
        <v>=AVERAGE(ASFData!$B:$B)</v>
      </c>
      <c r="C6" s="37" t="str">
        <f>[2]COMPUTE_FORMULAS!B6</f>
        <v>=COUNT(ASFData!$B:$B)</v>
      </c>
      <c r="E6" s="37" t="s">
        <v>157</v>
      </c>
      <c r="F6" s="37" t="e">
        <f>ABS($B$5-$B$7)</f>
        <v>#VALUE!</v>
      </c>
      <c r="G6" s="86" t="e">
        <f>SQRT(($B$17/2)*((1/$C$5)+(1/$C$7)))</f>
        <v>#VALUE!</v>
      </c>
      <c r="H6" s="86" t="e">
        <f>$B$18*$G$6</f>
        <v>#VALUE!</v>
      </c>
      <c r="I6" s="37" t="e">
        <f>IF($F$6&gt;$H$6,"Means are different","Means are not different")</f>
        <v>#VALUE!</v>
      </c>
    </row>
    <row r="7" spans="1:9" x14ac:dyDescent="0.2">
      <c r="A7" s="65" t="str">
        <f xml:space="preserve"> "3: " &amp; [2]COMPUTE_FORMULAS!A7</f>
        <v>3: =ASFData!C1</v>
      </c>
      <c r="B7" s="37" t="str">
        <f>[2]COMPUTE_FORMULAS!D7</f>
        <v>=AVERAGE(ASFData!$C:$C)</v>
      </c>
      <c r="C7" s="37" t="str">
        <f>[2]COMPUTE_FORMULAS!B7</f>
        <v>=COUNT(ASFData!$C:$C)</v>
      </c>
      <c r="E7" s="37" t="s">
        <v>158</v>
      </c>
      <c r="F7" s="37" t="e">
        <f>ABS($B$5-$B$8)</f>
        <v>#VALUE!</v>
      </c>
      <c r="G7" s="86" t="e">
        <f>SQRT(($B$17/2)*((1/$C$5)+(1/$C$8)))</f>
        <v>#VALUE!</v>
      </c>
      <c r="H7" s="86" t="e">
        <f>$B$18*$G$7</f>
        <v>#VALUE!</v>
      </c>
      <c r="I7" s="37" t="e">
        <f>IF($F$7&gt;$H$7,"Means are different","Means are not different")</f>
        <v>#VALUE!</v>
      </c>
    </row>
    <row r="8" spans="1:9" x14ac:dyDescent="0.2">
      <c r="A8" s="65" t="str">
        <f xml:space="preserve"> "4: " &amp; [2]COMPUTE_FORMULAS!A8</f>
        <v>4: =ASFData!D1</v>
      </c>
      <c r="B8" s="37" t="str">
        <f>[2]COMPUTE_FORMULAS!D8</f>
        <v>=AVERAGE(ASFData!$D:$D)</v>
      </c>
      <c r="C8" s="37" t="str">
        <f>[2]COMPUTE_FORMULAS!B8</f>
        <v>=COUNT(ASFData!$D:$D)</v>
      </c>
      <c r="E8" s="37" t="s">
        <v>166</v>
      </c>
      <c r="F8" s="37" t="e">
        <f>ABS($B$5-$B$9)</f>
        <v>#VALUE!</v>
      </c>
      <c r="G8" s="86" t="e">
        <f>SQRT(($B$17/2)*((1/$C$5)+(1/$C$9)))</f>
        <v>#VALUE!</v>
      </c>
      <c r="H8" s="86" t="e">
        <f>$B$18*$G$8</f>
        <v>#VALUE!</v>
      </c>
      <c r="I8" s="37" t="e">
        <f>IF($F$8&gt;$H$8,"Means are different","Means are not different")</f>
        <v>#VALUE!</v>
      </c>
    </row>
    <row r="9" spans="1:9" x14ac:dyDescent="0.2">
      <c r="A9" s="153" t="s">
        <v>167</v>
      </c>
      <c r="B9" s="41"/>
      <c r="C9" s="41"/>
      <c r="E9" s="37" t="s">
        <v>171</v>
      </c>
      <c r="F9" s="37" t="e">
        <f>ABS($B$5-$B$10)</f>
        <v>#VALUE!</v>
      </c>
      <c r="G9" s="86" t="e">
        <f>SQRT(($B$17/2)*((1/$C$5)+(1/$C$10)))</f>
        <v>#VALUE!</v>
      </c>
      <c r="H9" s="86" t="e">
        <f>$B$18*$G$9</f>
        <v>#VALUE!</v>
      </c>
      <c r="I9" s="37" t="e">
        <f>IF($F$9&gt;$H$9,"Means are different","Means are not different")</f>
        <v>#VALUE!</v>
      </c>
    </row>
    <row r="10" spans="1:9" x14ac:dyDescent="0.2">
      <c r="A10" s="153" t="s">
        <v>172</v>
      </c>
      <c r="B10" s="41"/>
      <c r="C10" s="41"/>
      <c r="E10" s="37" t="s">
        <v>177</v>
      </c>
      <c r="F10" s="37" t="e">
        <f>ABS($B$5-$B$11)</f>
        <v>#VALUE!</v>
      </c>
      <c r="G10" s="86" t="e">
        <f>SQRT(($B$17/2)*((1/$C$5)+(1/$C$11)))</f>
        <v>#VALUE!</v>
      </c>
      <c r="H10" s="86" t="e">
        <f>$B$18*$G$10</f>
        <v>#VALUE!</v>
      </c>
      <c r="I10" s="37" t="e">
        <f>IF($F$10&gt;$H$10,"Means are different","Means are not different")</f>
        <v>#VALUE!</v>
      </c>
    </row>
    <row r="11" spans="1:9" x14ac:dyDescent="0.2">
      <c r="A11" s="153" t="s">
        <v>178</v>
      </c>
      <c r="B11" s="41"/>
      <c r="C11" s="41"/>
      <c r="E11" s="37" t="s">
        <v>159</v>
      </c>
      <c r="F11" s="37" t="e">
        <f>ABS($B$6-$B$7)</f>
        <v>#VALUE!</v>
      </c>
      <c r="G11" s="86" t="e">
        <f>SQRT(($B$17/2)*((1/$C$6)+(1/$C$7)))</f>
        <v>#VALUE!</v>
      </c>
      <c r="H11" s="86" t="e">
        <f>$B$18*$G$11</f>
        <v>#VALUE!</v>
      </c>
      <c r="I11" s="37" t="e">
        <f>IF($F$11&gt;$H$11,"Means are different","Means are not different")</f>
        <v>#VALUE!</v>
      </c>
    </row>
    <row r="12" spans="1:9" x14ac:dyDescent="0.2">
      <c r="E12" s="37" t="s">
        <v>160</v>
      </c>
      <c r="F12" s="37" t="e">
        <f>ABS($B$6-$B$8)</f>
        <v>#VALUE!</v>
      </c>
      <c r="G12" s="86" t="e">
        <f>SQRT(($B$17/2)*((1/$C$6)+(1/$C$8)))</f>
        <v>#VALUE!</v>
      </c>
      <c r="H12" s="86" t="e">
        <f>$B$18*$G$12</f>
        <v>#VALUE!</v>
      </c>
      <c r="I12" s="37" t="e">
        <f>IF($F$12&gt;$H$12,"Means are different","Means are not different")</f>
        <v>#VALUE!</v>
      </c>
    </row>
    <row r="13" spans="1:9" x14ac:dyDescent="0.2">
      <c r="A13" s="265" t="s">
        <v>161</v>
      </c>
      <c r="B13" s="265"/>
      <c r="E13" s="37" t="s">
        <v>168</v>
      </c>
      <c r="F13" s="37" t="e">
        <f>ABS($B$6-$B$9)</f>
        <v>#VALUE!</v>
      </c>
      <c r="G13" s="86" t="e">
        <f>SQRT(($B$17/2)*((1/$C$6)+(1/$C$9)))</f>
        <v>#VALUE!</v>
      </c>
      <c r="H13" s="86" t="e">
        <f>$B$18*$G$13</f>
        <v>#VALUE!</v>
      </c>
      <c r="I13" s="37" t="e">
        <f>IF($F$13&gt;$H$13,"Means are different","Means are not different")</f>
        <v>#VALUE!</v>
      </c>
    </row>
    <row r="14" spans="1:9" x14ac:dyDescent="0.2">
      <c r="A14" s="55" t="s">
        <v>111</v>
      </c>
      <c r="B14" s="55">
        <f>[2]COMPUTE_FORMULAS!G17</f>
        <v>0.05</v>
      </c>
      <c r="E14" s="37" t="s">
        <v>173</v>
      </c>
      <c r="F14" s="37" t="e">
        <f>ABS($B$6-$B$10)</f>
        <v>#VALUE!</v>
      </c>
      <c r="G14" s="86" t="e">
        <f>SQRT(($B$17/2)*((1/$C$6)+(1/$C$10)))</f>
        <v>#VALUE!</v>
      </c>
      <c r="H14" s="86" t="e">
        <f>$B$18*$G$14</f>
        <v>#VALUE!</v>
      </c>
      <c r="I14" s="37" t="e">
        <f>IF($F$14&gt;$H$14,"Means are different","Means are not different")</f>
        <v>#VALUE!</v>
      </c>
    </row>
    <row r="15" spans="1:9" x14ac:dyDescent="0.2">
      <c r="A15" s="55" t="s">
        <v>163</v>
      </c>
      <c r="B15" s="55" t="str">
        <f>[2]COMPUTE_FORMULAS!J2</f>
        <v>=COUNTA(ASFData!$1:$1)</v>
      </c>
      <c r="E15" s="37" t="s">
        <v>179</v>
      </c>
      <c r="F15" s="37" t="e">
        <f>ABS($B$6-$B$11)</f>
        <v>#VALUE!</v>
      </c>
      <c r="G15" s="86" t="e">
        <f>SQRT(($B$17/2)*((1/$C$6)+(1/$C$11)))</f>
        <v>#VALUE!</v>
      </c>
      <c r="H15" s="86" t="e">
        <f>$B$18*$G$15</f>
        <v>#VALUE!</v>
      </c>
      <c r="I15" s="37" t="e">
        <f>IF($F$15&gt;$H$15,"Means are different","Means are not different")</f>
        <v>#VALUE!</v>
      </c>
    </row>
    <row r="16" spans="1:9" x14ac:dyDescent="0.2">
      <c r="A16" s="55" t="s">
        <v>85</v>
      </c>
      <c r="B16" s="55" t="str">
        <f>[2]COMPUTE_FORMULAS!C14</f>
        <v>=J3-J2</v>
      </c>
      <c r="E16" s="37" t="s">
        <v>162</v>
      </c>
      <c r="F16" s="37" t="e">
        <f>ABS($B$7-$B$8)</f>
        <v>#VALUE!</v>
      </c>
      <c r="G16" s="86" t="e">
        <f>SQRT(($B$17/2)*((1/$C$7)+(1/$C$8)))</f>
        <v>#VALUE!</v>
      </c>
      <c r="H16" s="86" t="e">
        <f>$B$18*$G$16</f>
        <v>#VALUE!</v>
      </c>
      <c r="I16" s="37" t="e">
        <f>IF($F$16&gt;$H$16,"Means are different","Means are not different")</f>
        <v>#VALUE!</v>
      </c>
    </row>
    <row r="17" spans="1:9" x14ac:dyDescent="0.2">
      <c r="A17" s="55" t="s">
        <v>86</v>
      </c>
      <c r="B17" s="55">
        <f>[2]COMPUTE!D14</f>
        <v>4.3912500000000132E-2</v>
      </c>
      <c r="E17" s="37" t="s">
        <v>169</v>
      </c>
      <c r="F17" s="37" t="e">
        <f>ABS($B$7-$B$9)</f>
        <v>#VALUE!</v>
      </c>
      <c r="G17" s="86" t="e">
        <f>SQRT(($B$17/2)*((1/$C$7)+(1/$C$9)))</f>
        <v>#VALUE!</v>
      </c>
      <c r="H17" s="86" t="e">
        <f>$B$18*$G$17</f>
        <v>#VALUE!</v>
      </c>
      <c r="I17" s="37" t="e">
        <f>IF($F$17&gt;$H$17,"Means are different","Means are not different")</f>
        <v>#VALUE!</v>
      </c>
    </row>
    <row r="18" spans="1:9" x14ac:dyDescent="0.2">
      <c r="A18" s="152" t="s">
        <v>164</v>
      </c>
      <c r="B18" s="152">
        <v>4.05</v>
      </c>
      <c r="E18" s="37" t="s">
        <v>174</v>
      </c>
      <c r="F18" s="37" t="e">
        <f>ABS($B$7-$B$10)</f>
        <v>#VALUE!</v>
      </c>
      <c r="G18" s="86" t="e">
        <f>SQRT(($B$17/2)*((1/$C$7)+(1/$C$10)))</f>
        <v>#VALUE!</v>
      </c>
      <c r="H18" s="86" t="e">
        <f>$B$18*$G$18</f>
        <v>#VALUE!</v>
      </c>
      <c r="I18" s="37" t="e">
        <f>IF($F$18&gt;$H$18,"Means are different","Means are not different")</f>
        <v>#VALUE!</v>
      </c>
    </row>
    <row r="19" spans="1:9" x14ac:dyDescent="0.2">
      <c r="E19" s="37" t="s">
        <v>180</v>
      </c>
      <c r="F19" s="37" t="e">
        <f>ABS($B$7-$B$11)</f>
        <v>#VALUE!</v>
      </c>
      <c r="G19" s="86" t="e">
        <f>SQRT(($B$17/2)*((1/$C$7)+(1/$C$11)))</f>
        <v>#VALUE!</v>
      </c>
      <c r="H19" s="86" t="e">
        <f>$B$18*$G$19</f>
        <v>#VALUE!</v>
      </c>
      <c r="I19" s="37" t="e">
        <f>IF($F$19&gt;$H$19,"Means are different","Means are not different")</f>
        <v>#VALUE!</v>
      </c>
    </row>
    <row r="20" spans="1:9" x14ac:dyDescent="0.2">
      <c r="E20" s="37" t="s">
        <v>170</v>
      </c>
      <c r="F20" s="37" t="e">
        <f>ABS($B$8-$B$9)</f>
        <v>#VALUE!</v>
      </c>
      <c r="G20" s="86" t="e">
        <f>SQRT(($B$17/2)*((1/$C$8)+(1/$C$9)))</f>
        <v>#VALUE!</v>
      </c>
      <c r="H20" s="86" t="e">
        <f>$B$18*$G$20</f>
        <v>#VALUE!</v>
      </c>
      <c r="I20" s="37" t="e">
        <f>IF($F$20&gt;$H$20,"Means are different","Means are not different")</f>
        <v>#VALUE!</v>
      </c>
    </row>
    <row r="21" spans="1:9" x14ac:dyDescent="0.2">
      <c r="E21" s="37" t="s">
        <v>175</v>
      </c>
      <c r="F21" s="37" t="e">
        <f>ABS($B$8-$B$10)</f>
        <v>#VALUE!</v>
      </c>
      <c r="G21" s="86" t="e">
        <f>SQRT(($B$17/2)*((1/$C$8)+(1/$C$10)))</f>
        <v>#VALUE!</v>
      </c>
      <c r="H21" s="86" t="e">
        <f>$B$18*$G$21</f>
        <v>#VALUE!</v>
      </c>
      <c r="I21" s="37" t="e">
        <f>IF($F$21&gt;$H$21,"Means are different","Means are not different")</f>
        <v>#VALUE!</v>
      </c>
    </row>
    <row r="22" spans="1:9" x14ac:dyDescent="0.2">
      <c r="E22" s="37" t="s">
        <v>181</v>
      </c>
      <c r="F22" s="37" t="e">
        <f>ABS($B$8-$B$11)</f>
        <v>#VALUE!</v>
      </c>
      <c r="G22" s="86" t="e">
        <f>SQRT(($B$17/2)*((1/$C$8)+(1/$C$11)))</f>
        <v>#VALUE!</v>
      </c>
      <c r="H22" s="86" t="e">
        <f>$B$18*$G$22</f>
        <v>#VALUE!</v>
      </c>
      <c r="I22" s="37" t="e">
        <f>IF($F$22&gt;$H$22,"Means are different","Means are not different")</f>
        <v>#VALUE!</v>
      </c>
    </row>
    <row r="23" spans="1:9" x14ac:dyDescent="0.2">
      <c r="E23" s="37" t="s">
        <v>176</v>
      </c>
      <c r="F23" s="37">
        <f>ABS($B$9-$B$10)</f>
        <v>0</v>
      </c>
      <c r="G23" s="86" t="e">
        <f>SQRT(($B$17/2)*((1/$C$9)+(1/$C$10)))</f>
        <v>#DIV/0!</v>
      </c>
      <c r="H23" s="86" t="e">
        <f>$B$18*$G$23</f>
        <v>#DIV/0!</v>
      </c>
      <c r="I23" s="37" t="e">
        <f>IF($F$23&gt;$H$23,"Means are different","Means are not different")</f>
        <v>#DIV/0!</v>
      </c>
    </row>
    <row r="24" spans="1:9" x14ac:dyDescent="0.2">
      <c r="E24" s="37" t="s">
        <v>182</v>
      </c>
      <c r="F24" s="37">
        <f>ABS($B$9-$B$11)</f>
        <v>0</v>
      </c>
      <c r="G24" s="86" t="e">
        <f>SQRT(($B$17/2)*((1/$C$9)+(1/$C$11)))</f>
        <v>#DIV/0!</v>
      </c>
      <c r="H24" s="86" t="e">
        <f>$B$18*$G$24</f>
        <v>#DIV/0!</v>
      </c>
      <c r="I24" s="37" t="e">
        <f>IF($F$24&gt;$H$24,"Means are different","Means are not different")</f>
        <v>#DIV/0!</v>
      </c>
    </row>
    <row r="25" spans="1:9" x14ac:dyDescent="0.2">
      <c r="E25" s="37" t="s">
        <v>183</v>
      </c>
      <c r="F25" s="37">
        <f>ABS($B$10-$B$11)</f>
        <v>0</v>
      </c>
      <c r="G25" s="86" t="e">
        <f>SQRT(($B$17/2)*((1/$C$10)+(1/$C$11)))</f>
        <v>#DIV/0!</v>
      </c>
      <c r="H25" s="86" t="e">
        <f>$B$18*$G$25</f>
        <v>#DIV/0!</v>
      </c>
      <c r="I25" s="37" t="e">
        <f>IF($F$25&gt;$H$25,"Means are different","Means are not different")</f>
        <v>#DIV/0!</v>
      </c>
    </row>
  </sheetData>
  <mergeCells count="1">
    <mergeCell ref="A13:B13"/>
  </mergeCells>
  <pageMargins left="0.75" right="0.75" top="1" bottom="1" header="0.5" footer="0.5"/>
  <pageSetup orientation="portrait"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41F5-5BF7-4B4A-9A73-888094E04868}">
  <sheetPr>
    <tabColor rgb="FF7030A0"/>
  </sheetPr>
  <dimension ref="A1:G11"/>
  <sheetViews>
    <sheetView workbookViewId="0">
      <selection activeCell="N14" sqref="N14"/>
    </sheetView>
  </sheetViews>
  <sheetFormatPr baseColWidth="10" defaultColWidth="9.1640625" defaultRowHeight="15" x14ac:dyDescent="0.2"/>
  <cols>
    <col min="1" max="1" width="16.6640625" style="37" bestFit="1" customWidth="1"/>
    <col min="2" max="4" width="10.33203125" style="37" bestFit="1" customWidth="1"/>
    <col min="5" max="5" width="9.6640625" style="37" customWidth="1"/>
    <col min="6" max="16384" width="9.1640625" style="37"/>
  </cols>
  <sheetData>
    <row r="1" spans="1:7" x14ac:dyDescent="0.2">
      <c r="A1" s="35" t="s">
        <v>184</v>
      </c>
      <c r="B1" s="154" t="s">
        <v>131</v>
      </c>
      <c r="C1" s="154" t="s">
        <v>132</v>
      </c>
      <c r="D1" s="154" t="s">
        <v>133</v>
      </c>
      <c r="E1" s="154" t="s">
        <v>134</v>
      </c>
    </row>
    <row r="2" spans="1:7" x14ac:dyDescent="0.2">
      <c r="A2" s="155" t="s">
        <v>91</v>
      </c>
      <c r="B2" s="156">
        <v>30.06</v>
      </c>
      <c r="C2" s="156">
        <v>32.22</v>
      </c>
      <c r="D2" s="156">
        <v>30.78</v>
      </c>
      <c r="E2" s="156">
        <v>30.33</v>
      </c>
      <c r="F2" s="37" t="s">
        <v>91</v>
      </c>
      <c r="G2" s="157">
        <f>AVERAGE(B2:E6)</f>
        <v>30.805499999999995</v>
      </c>
    </row>
    <row r="3" spans="1:7" x14ac:dyDescent="0.2">
      <c r="A3" s="155" t="s">
        <v>91</v>
      </c>
      <c r="B3" s="156">
        <v>29.96</v>
      </c>
      <c r="C3" s="156">
        <v>31.47</v>
      </c>
      <c r="D3" s="156">
        <v>30.91</v>
      </c>
      <c r="E3" s="156">
        <v>30.29</v>
      </c>
      <c r="F3" s="37" t="s">
        <v>185</v>
      </c>
      <c r="G3" s="157">
        <f>AVERAGE(B7:E11)</f>
        <v>31.523000000000007</v>
      </c>
    </row>
    <row r="4" spans="1:7" x14ac:dyDescent="0.2">
      <c r="A4" s="155" t="s">
        <v>91</v>
      </c>
      <c r="B4" s="156">
        <v>30.19</v>
      </c>
      <c r="C4" s="156">
        <v>32.130000000000003</v>
      </c>
      <c r="D4" s="156">
        <v>30.79</v>
      </c>
      <c r="E4" s="156">
        <v>30.25</v>
      </c>
      <c r="F4" s="37" t="s">
        <v>186</v>
      </c>
      <c r="G4" s="157">
        <f>AVERAGE(B2:B11)</f>
        <v>30.274000000000001</v>
      </c>
    </row>
    <row r="5" spans="1:7" x14ac:dyDescent="0.2">
      <c r="A5" s="155" t="s">
        <v>91</v>
      </c>
      <c r="B5" s="156">
        <v>29.96</v>
      </c>
      <c r="C5" s="156">
        <v>31.86</v>
      </c>
      <c r="D5" s="156">
        <v>30.95</v>
      </c>
      <c r="E5" s="156">
        <v>30.25</v>
      </c>
    </row>
    <row r="6" spans="1:7" x14ac:dyDescent="0.2">
      <c r="A6" s="155" t="s">
        <v>91</v>
      </c>
      <c r="B6" s="156">
        <v>29.74</v>
      </c>
      <c r="C6" s="156">
        <v>32.29</v>
      </c>
      <c r="D6" s="156">
        <v>31.13</v>
      </c>
      <c r="E6" s="156">
        <v>30.55</v>
      </c>
    </row>
    <row r="7" spans="1:7" x14ac:dyDescent="0.2">
      <c r="A7" s="155" t="s">
        <v>185</v>
      </c>
      <c r="B7" s="156">
        <v>30.66</v>
      </c>
      <c r="C7" s="156">
        <v>32.81</v>
      </c>
      <c r="D7" s="156">
        <v>31.34</v>
      </c>
      <c r="E7" s="156">
        <v>31.03</v>
      </c>
    </row>
    <row r="8" spans="1:7" x14ac:dyDescent="0.2">
      <c r="A8" s="155" t="s">
        <v>185</v>
      </c>
      <c r="B8" s="156">
        <v>29.99</v>
      </c>
      <c r="C8" s="156">
        <v>32.65</v>
      </c>
      <c r="D8" s="156">
        <v>31.8</v>
      </c>
      <c r="E8" s="156">
        <v>31.77</v>
      </c>
    </row>
    <row r="9" spans="1:7" x14ac:dyDescent="0.2">
      <c r="A9" s="155" t="s">
        <v>185</v>
      </c>
      <c r="B9" s="156">
        <v>30.73</v>
      </c>
      <c r="C9" s="156">
        <v>32.81</v>
      </c>
      <c r="D9" s="156">
        <v>32</v>
      </c>
      <c r="E9" s="156">
        <v>30.97</v>
      </c>
    </row>
    <row r="10" spans="1:7" x14ac:dyDescent="0.2">
      <c r="A10" s="155" t="s">
        <v>185</v>
      </c>
      <c r="B10" s="156">
        <v>30.72</v>
      </c>
      <c r="C10" s="156">
        <v>32.42</v>
      </c>
      <c r="D10" s="156">
        <v>31.07</v>
      </c>
      <c r="E10" s="156">
        <v>31.43</v>
      </c>
    </row>
    <row r="11" spans="1:7" x14ac:dyDescent="0.2">
      <c r="A11" s="155" t="s">
        <v>185</v>
      </c>
      <c r="B11" s="156">
        <v>30.73</v>
      </c>
      <c r="C11" s="156">
        <v>33.119999999999997</v>
      </c>
      <c r="D11" s="156">
        <v>31.69</v>
      </c>
      <c r="E11" s="156">
        <v>30.72</v>
      </c>
    </row>
  </sheetData>
  <pageMargins left="0.7" right="0.7" top="0.75" bottom="0.75" header="0.3" footer="0.3"/>
  <pageSetup orientation="portrait" horizontalDpi="1200" verticalDpi="12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D2E3-CE47-46E7-AF2B-316C800410E1}">
  <sheetPr>
    <tabColor rgb="FF7030A0"/>
  </sheetPr>
  <dimension ref="A1:G31"/>
  <sheetViews>
    <sheetView topLeftCell="A14" workbookViewId="0">
      <selection sqref="A1:G31"/>
    </sheetView>
  </sheetViews>
  <sheetFormatPr baseColWidth="10" defaultColWidth="9.1640625" defaultRowHeight="15" x14ac:dyDescent="0.2"/>
  <cols>
    <col min="1" max="1" width="19" style="161" customWidth="1"/>
    <col min="2" max="5" width="10.33203125" style="161" customWidth="1"/>
    <col min="6" max="6" width="9" style="161" customWidth="1"/>
    <col min="7" max="7" width="6.5" style="161" customWidth="1"/>
    <col min="8" max="16384" width="9.1640625" style="161"/>
  </cols>
  <sheetData>
    <row r="1" spans="1:6" s="158" customFormat="1" ht="15" customHeight="1" x14ac:dyDescent="0.2">
      <c r="A1" s="158" t="s">
        <v>187</v>
      </c>
    </row>
    <row r="2" spans="1:6" s="158" customFormat="1" ht="15" customHeight="1" x14ac:dyDescent="0.2"/>
    <row r="3" spans="1:6" s="158" customFormat="1" ht="15" customHeight="1" x14ac:dyDescent="0.2">
      <c r="A3" s="158" t="s">
        <v>70</v>
      </c>
      <c r="B3" s="154" t="str">
        <f>ATFData!B1</f>
        <v>In-aisle</v>
      </c>
      <c r="C3" s="154" t="str">
        <f>ATFData!C1</f>
        <v>Front</v>
      </c>
      <c r="D3" s="154" t="str">
        <f>ATFData!D1</f>
        <v xml:space="preserve">Kiosk </v>
      </c>
      <c r="E3" s="154" t="str">
        <f>ATFData!E1</f>
        <v>Expert</v>
      </c>
      <c r="F3" s="158" t="s">
        <v>83</v>
      </c>
    </row>
    <row r="4" spans="1:6" s="158" customFormat="1" ht="15" customHeight="1" thickBot="1" x14ac:dyDescent="0.25">
      <c r="A4" s="159" t="str">
        <f>ATFData!A2</f>
        <v>No</v>
      </c>
      <c r="B4" s="160"/>
      <c r="C4" s="160"/>
      <c r="D4" s="160"/>
      <c r="E4" s="160"/>
      <c r="F4" s="160"/>
    </row>
    <row r="5" spans="1:6" s="158" customFormat="1" ht="15" customHeight="1" x14ac:dyDescent="0.2">
      <c r="A5" s="161" t="s">
        <v>72</v>
      </c>
      <c r="B5" s="161">
        <f>COUNT(ATFData!B2:B6)</f>
        <v>5</v>
      </c>
      <c r="C5" s="161">
        <f>COUNT(ATFData!C2:C6)</f>
        <v>5</v>
      </c>
      <c r="D5" s="161">
        <f>COUNT(ATFData!D2:D6)</f>
        <v>5</v>
      </c>
      <c r="E5" s="161">
        <f>COUNT(ATFData!E2:E6)</f>
        <v>5</v>
      </c>
      <c r="F5" s="161">
        <f>SUM(B11:E11)</f>
        <v>20</v>
      </c>
    </row>
    <row r="6" spans="1:6" s="158" customFormat="1" ht="15" customHeight="1" x14ac:dyDescent="0.2">
      <c r="A6" s="161" t="s">
        <v>73</v>
      </c>
      <c r="B6" s="161">
        <f>SUM(ATFData!B2:B6)</f>
        <v>149.91</v>
      </c>
      <c r="C6" s="161">
        <f>SUM(ATFData!C2:C6)</f>
        <v>159.97</v>
      </c>
      <c r="D6" s="161">
        <f>SUM(ATFData!D2:D6)</f>
        <v>154.56</v>
      </c>
      <c r="E6" s="161">
        <f>SUM(ATFData!E2:E6)</f>
        <v>151.67000000000002</v>
      </c>
      <c r="F6" s="161">
        <f>SUM(B6:E6)</f>
        <v>616.11</v>
      </c>
    </row>
    <row r="7" spans="1:6" s="158" customFormat="1" ht="15" customHeight="1" x14ac:dyDescent="0.2">
      <c r="A7" s="161" t="s">
        <v>74</v>
      </c>
      <c r="B7" s="161">
        <f>AVERAGE(ATFData!B2:B6)</f>
        <v>29.981999999999999</v>
      </c>
      <c r="C7" s="161">
        <f>AVERAGE(ATFData!C2:C6)</f>
        <v>31.994</v>
      </c>
      <c r="D7" s="161">
        <f>AVERAGE(ATFData!D2:D6)</f>
        <v>30.911999999999999</v>
      </c>
      <c r="E7" s="161">
        <f>AVERAGE(ATFData!E2:E6)</f>
        <v>30.334000000000003</v>
      </c>
      <c r="F7" s="161">
        <f>AVERAGE(B7:E7)</f>
        <v>30.805500000000002</v>
      </c>
    </row>
    <row r="8" spans="1:6" s="158" customFormat="1" ht="15" customHeight="1" x14ac:dyDescent="0.2">
      <c r="A8" s="161" t="s">
        <v>75</v>
      </c>
      <c r="B8" s="162">
        <f>VAR(ATFData!B2:B6)</f>
        <v>2.7220000000000254E-2</v>
      </c>
      <c r="C8" s="162">
        <f>VAR(ATFData!C2:C6)</f>
        <v>0.11243000000000024</v>
      </c>
      <c r="D8" s="162">
        <f>VAR(ATFData!D2:D6)</f>
        <v>2.0319999999999856E-2</v>
      </c>
      <c r="E8" s="162">
        <f>VAR(ATFData!E2:E6)</f>
        <v>1.56800000000001E-2</v>
      </c>
      <c r="F8" s="162">
        <f>VAR(ATFData!B2:E6)</f>
        <v>0.64864710526315805</v>
      </c>
    </row>
    <row r="9" spans="1:6" s="158" customFormat="1" ht="15" customHeight="1" x14ac:dyDescent="0.2"/>
    <row r="10" spans="1:6" s="158" customFormat="1" ht="15" customHeight="1" thickBot="1" x14ac:dyDescent="0.25">
      <c r="A10" s="160" t="s">
        <v>185</v>
      </c>
      <c r="B10" s="160"/>
      <c r="C10" s="160"/>
      <c r="D10" s="160"/>
      <c r="E10" s="160"/>
      <c r="F10" s="160"/>
    </row>
    <row r="11" spans="1:6" s="158" customFormat="1" ht="15" customHeight="1" x14ac:dyDescent="0.2">
      <c r="A11" s="161" t="s">
        <v>72</v>
      </c>
      <c r="B11" s="161">
        <f>COUNT(ATFData!B7:B11)</f>
        <v>5</v>
      </c>
      <c r="C11" s="161">
        <f>COUNT(ATFData!C7:C11)</f>
        <v>5</v>
      </c>
      <c r="D11" s="161">
        <f>COUNT(ATFData!D7:D11)</f>
        <v>5</v>
      </c>
      <c r="E11" s="161">
        <f>COUNT(ATFData!E7:E11)</f>
        <v>5</v>
      </c>
      <c r="F11" s="161">
        <f>SUM(B11:E11)</f>
        <v>20</v>
      </c>
    </row>
    <row r="12" spans="1:6" s="158" customFormat="1" ht="15" customHeight="1" x14ac:dyDescent="0.2">
      <c r="A12" s="161" t="s">
        <v>73</v>
      </c>
      <c r="B12" s="161">
        <f>SUM(ATFData!B7:B11)</f>
        <v>152.82999999999998</v>
      </c>
      <c r="C12" s="161">
        <f>SUM(ATFData!C7:C11)</f>
        <v>163.81</v>
      </c>
      <c r="D12" s="161">
        <f>SUM(ATFData!D7:D11)</f>
        <v>157.9</v>
      </c>
      <c r="E12" s="161">
        <f>SUM(ATFData!E7:E11)</f>
        <v>155.91999999999999</v>
      </c>
      <c r="F12" s="161">
        <f>SUM(B12:E12)</f>
        <v>630.45999999999992</v>
      </c>
    </row>
    <row r="13" spans="1:6" s="158" customFormat="1" ht="15" customHeight="1" x14ac:dyDescent="0.2">
      <c r="A13" s="161" t="s">
        <v>74</v>
      </c>
      <c r="B13" s="161">
        <f>AVERAGE(ATFData!B7:B11)</f>
        <v>30.565999999999995</v>
      </c>
      <c r="C13" s="161">
        <f>AVERAGE(ATFData!C7:C11)</f>
        <v>32.762</v>
      </c>
      <c r="D13" s="161">
        <f>AVERAGE(ATFData!D7:D11)</f>
        <v>31.580000000000002</v>
      </c>
      <c r="E13" s="161">
        <f>AVERAGE(ATFData!E7:E11)</f>
        <v>31.183999999999997</v>
      </c>
      <c r="F13" s="161">
        <f>AVERAGE(B13:E13)</f>
        <v>31.523</v>
      </c>
    </row>
    <row r="14" spans="1:6" s="158" customFormat="1" ht="15" customHeight="1" x14ac:dyDescent="0.2">
      <c r="A14" s="161" t="s">
        <v>75</v>
      </c>
      <c r="B14" s="162">
        <f>VAR(ATFData!B7:B11)</f>
        <v>0.10453000000000044</v>
      </c>
      <c r="C14" s="162">
        <f>VAR(ATFData!C7:C11)</f>
        <v>6.5569999999999434E-2</v>
      </c>
      <c r="D14" s="162">
        <f>VAR(ATFData!D7:D11)</f>
        <v>0.13865000000000008</v>
      </c>
      <c r="E14" s="162">
        <f>VAR(ATFData!E7:E11)</f>
        <v>0.17218000000000014</v>
      </c>
      <c r="F14" s="162">
        <f>VAR(ATFData!B7:E11)</f>
        <v>0.77733789473684267</v>
      </c>
    </row>
    <row r="15" spans="1:6" s="158" customFormat="1" ht="15" customHeight="1" x14ac:dyDescent="0.2"/>
    <row r="16" spans="1:6" s="158" customFormat="1" ht="15" customHeight="1" thickBot="1" x14ac:dyDescent="0.25">
      <c r="A16" s="160" t="s">
        <v>83</v>
      </c>
      <c r="B16" s="160"/>
      <c r="C16" s="160"/>
      <c r="D16" s="160"/>
      <c r="E16" s="160"/>
    </row>
    <row r="17" spans="1:7" s="158" customFormat="1" ht="15" customHeight="1" x14ac:dyDescent="0.2">
      <c r="A17" s="161" t="s">
        <v>72</v>
      </c>
      <c r="B17" s="161">
        <f>COUNT(ATFData!B:B)</f>
        <v>10</v>
      </c>
      <c r="C17" s="161">
        <f>COUNT(ATFData!C:C)</f>
        <v>10</v>
      </c>
      <c r="D17" s="161">
        <f>COUNT(ATFData!D:D)</f>
        <v>10</v>
      </c>
      <c r="E17" s="161">
        <f>COUNT(ATFData!E:E)</f>
        <v>10</v>
      </c>
    </row>
    <row r="18" spans="1:7" s="158" customFormat="1" ht="15" customHeight="1" x14ac:dyDescent="0.2">
      <c r="A18" s="161" t="s">
        <v>73</v>
      </c>
      <c r="B18" s="161">
        <f>SUM(ATFData!B:B)</f>
        <v>302.74</v>
      </c>
      <c r="C18" s="161">
        <f>SUM(ATFData!C:C)</f>
        <v>323.78000000000003</v>
      </c>
      <c r="D18" s="161">
        <f>SUM(ATFData!D:D)</f>
        <v>312.46000000000004</v>
      </c>
      <c r="E18" s="161">
        <f>SUM(ATFData!E:E)</f>
        <v>307.59000000000003</v>
      </c>
    </row>
    <row r="19" spans="1:7" s="158" customFormat="1" ht="15" customHeight="1" x14ac:dyDescent="0.2">
      <c r="A19" s="161" t="s">
        <v>74</v>
      </c>
      <c r="B19" s="161">
        <f>AVERAGE(ATFData!B:B)</f>
        <v>30.274000000000001</v>
      </c>
      <c r="C19" s="161">
        <f>AVERAGE(ATFData!C:C)</f>
        <v>32.378</v>
      </c>
      <c r="D19" s="161">
        <f>AVERAGE(ATFData!D:D)</f>
        <v>31.246000000000002</v>
      </c>
      <c r="E19" s="161">
        <f>AVERAGE(ATFData!E:E)</f>
        <v>30.759000000000004</v>
      </c>
    </row>
    <row r="20" spans="1:7" s="158" customFormat="1" ht="15" customHeight="1" x14ac:dyDescent="0.2">
      <c r="A20" s="161" t="s">
        <v>75</v>
      </c>
      <c r="B20" s="162">
        <f>VAR(ATFData!B:B)</f>
        <v>0.1532933333333335</v>
      </c>
      <c r="C20" s="162">
        <f>VAR(ATFData!C:C)</f>
        <v>0.24295111111111131</v>
      </c>
      <c r="D20" s="162">
        <f>VAR(ATFData!D:D)</f>
        <v>0.19460444444444469</v>
      </c>
      <c r="E20" s="162">
        <f>VAR(ATFData!E:E)</f>
        <v>0.28418777777777782</v>
      </c>
    </row>
    <row r="21" spans="1:7" s="158" customFormat="1" ht="15" customHeight="1" x14ac:dyDescent="0.2"/>
    <row r="22" spans="1:7" s="158" customFormat="1" ht="15" customHeight="1" x14ac:dyDescent="0.2"/>
    <row r="23" spans="1:7" s="158" customFormat="1" ht="15" customHeight="1" thickBot="1" x14ac:dyDescent="0.25">
      <c r="A23" s="158" t="s">
        <v>76</v>
      </c>
    </row>
    <row r="24" spans="1:7" s="158" customFormat="1" ht="15" customHeight="1" x14ac:dyDescent="0.2">
      <c r="A24" s="163" t="s">
        <v>77</v>
      </c>
      <c r="B24" s="163" t="s">
        <v>25</v>
      </c>
      <c r="C24" s="163" t="s">
        <v>78</v>
      </c>
      <c r="D24" s="163" t="s">
        <v>26</v>
      </c>
      <c r="E24" s="163" t="s">
        <v>27</v>
      </c>
      <c r="F24" s="163" t="s">
        <v>144</v>
      </c>
      <c r="G24" s="163" t="s">
        <v>80</v>
      </c>
    </row>
    <row r="25" spans="1:7" s="158" customFormat="1" ht="15" customHeight="1" x14ac:dyDescent="0.2">
      <c r="A25" s="161" t="s">
        <v>87</v>
      </c>
      <c r="B25" s="162">
        <f>B30 - DEVSQ(ATFData!B2:E6) - DEVSQ(ATFData!B7:E11)</f>
        <v>5.1480625000000053</v>
      </c>
      <c r="C25" s="161">
        <f>INT(COUNTA(ATFData!A:A)/COUNTIF(ATFData!A:A, ATFData!A2)) - 1</f>
        <v>1</v>
      </c>
      <c r="D25" s="162">
        <f>B25/C25</f>
        <v>5.1480625000000053</v>
      </c>
      <c r="E25" s="162">
        <f>D25/D$28</f>
        <v>62.725791221176408</v>
      </c>
      <c r="F25" s="162">
        <f>_xlfn.F.DIST.RT(E25, C25, C$28)</f>
        <v>4.8762902062246201E-9</v>
      </c>
      <c r="G25" s="162">
        <f>_xlfn.F.INV.RT(G$31, C25, C$28)</f>
        <v>4.1490974456995477</v>
      </c>
    </row>
    <row r="26" spans="1:7" s="158" customFormat="1" ht="15" customHeight="1" x14ac:dyDescent="0.2">
      <c r="A26" s="161" t="s">
        <v>88</v>
      </c>
      <c r="B26" s="162">
        <f>B30 - DEVSQ(ATFData!B:B) - DEVSQ(ATFData!C:C) - DEVSQ(ATFData!D:D) - DEVSQ(ATFData!E:E)</f>
        <v>24.366447500000014</v>
      </c>
      <c r="C26" s="161">
        <f>COUNTA(3:3) - 3</f>
        <v>3</v>
      </c>
      <c r="D26" s="162">
        <f>B26/C26</f>
        <v>8.1221491666666719</v>
      </c>
      <c r="E26" s="162">
        <f>D26/D$28</f>
        <v>98.96310172916219</v>
      </c>
      <c r="F26" s="162">
        <f>_xlfn.F.DIST.RT(E26, C26, C$28)</f>
        <v>2.8394432086648659E-16</v>
      </c>
      <c r="G26" s="162">
        <f>_xlfn.F.INV.RT(G$31, C26, C$28)</f>
        <v>2.9011195838408388</v>
      </c>
    </row>
    <row r="27" spans="1:7" s="158" customFormat="1" ht="15" customHeight="1" x14ac:dyDescent="0.2">
      <c r="A27" s="161" t="s">
        <v>89</v>
      </c>
      <c r="B27" s="162">
        <f>B30 - B25 - B26 - B28</f>
        <v>0.10094749999999753</v>
      </c>
      <c r="C27" s="161">
        <f>C25 * C26</f>
        <v>3</v>
      </c>
      <c r="D27" s="162">
        <f>B27/C27</f>
        <v>3.3649166666665842E-2</v>
      </c>
      <c r="E27" s="162">
        <f>D27/D$28</f>
        <v>0.4099931970716843</v>
      </c>
      <c r="F27" s="162">
        <f>_xlfn.F.DIST.RT(E27, C27, C$28)</f>
        <v>0.74689809801980422</v>
      </c>
      <c r="G27" s="162">
        <f>_xlfn.F.INV.RT(G$31, C27, C$28)</f>
        <v>2.9011195838408388</v>
      </c>
    </row>
    <row r="28" spans="1:7" s="158" customFormat="1" ht="15" customHeight="1" x14ac:dyDescent="0.2">
      <c r="A28" s="161" t="s">
        <v>90</v>
      </c>
      <c r="B28" s="162">
        <f>+DEVSQ(ATFData!B2:B6)+DEVSQ(ATFData!B7:B11)+DEVSQ(ATFData!C2:C6)+DEVSQ(ATFData!C7:C11)+DEVSQ(ATFData!D2:D6)+DEVSQ(ATFData!D7:D11)+DEVSQ(ATFData!E2:E6)+DEVSQ(ATFData!E7:E11)</f>
        <v>2.6263200000000024</v>
      </c>
      <c r="C28" s="161">
        <f>(C25 + 1) * (C26 + 1) * (B5 - 1)</f>
        <v>32</v>
      </c>
      <c r="D28" s="162">
        <f>B28/C28</f>
        <v>8.2072500000000076E-2</v>
      </c>
      <c r="E28" s="161"/>
      <c r="F28" s="161"/>
      <c r="G28" s="161"/>
    </row>
    <row r="29" spans="1:7" s="158" customFormat="1" ht="15" customHeight="1" x14ac:dyDescent="0.2">
      <c r="A29" s="161"/>
      <c r="B29" s="161"/>
      <c r="C29" s="161"/>
      <c r="D29" s="161"/>
      <c r="E29" s="161"/>
      <c r="F29" s="161"/>
      <c r="G29" s="161"/>
    </row>
    <row r="30" spans="1:7" ht="15" customHeight="1" thickBot="1" x14ac:dyDescent="0.25">
      <c r="A30" s="164" t="s">
        <v>83</v>
      </c>
      <c r="B30" s="165">
        <f>DEVSQ(ATFData!B2:E11)</f>
        <v>32.241777500000019</v>
      </c>
      <c r="C30" s="164">
        <f>SUM(C25:C28)</f>
        <v>39</v>
      </c>
      <c r="D30" s="164"/>
    </row>
    <row r="31" spans="1:7" ht="16" thickBot="1" x14ac:dyDescent="0.25">
      <c r="E31" s="312" t="s">
        <v>111</v>
      </c>
      <c r="F31" s="313"/>
      <c r="G31" s="166">
        <v>0.05</v>
      </c>
    </row>
  </sheetData>
  <mergeCells count="1">
    <mergeCell ref="E31:F31"/>
  </mergeCells>
  <pageMargins left="0.7" right="0.7" top="0.75" bottom="0.75" header="0.3" footer="0.3"/>
  <pageSetup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35</vt:i4>
      </vt:variant>
    </vt:vector>
  </HeadingPairs>
  <TitlesOfParts>
    <vt:vector size="35" baseType="lpstr">
      <vt:lpstr>Hints </vt:lpstr>
      <vt:lpstr>Ch 10 Ans.</vt:lpstr>
      <vt:lpstr>Ch11 Ans.</vt:lpstr>
      <vt:lpstr>10.1</vt:lpstr>
      <vt:lpstr>10.2</vt:lpstr>
      <vt:lpstr>10.3</vt:lpstr>
      <vt:lpstr>11.1</vt:lpstr>
      <vt:lpstr>11.2</vt:lpstr>
      <vt:lpstr>11.3</vt:lpstr>
      <vt:lpstr>Paired</vt:lpstr>
      <vt:lpstr>Paired_Low</vt:lpstr>
      <vt:lpstr>Paired_Upper</vt:lpstr>
      <vt:lpstr>Pooled</vt:lpstr>
      <vt:lpstr>Pooled_LOWER</vt:lpstr>
      <vt:lpstr>Pooled_UPPER</vt:lpstr>
      <vt:lpstr>Separate_Var</vt:lpstr>
      <vt:lpstr>Separate_Low</vt:lpstr>
      <vt:lpstr>Separate_upper</vt:lpstr>
      <vt:lpstr>Z two Prop</vt:lpstr>
      <vt:lpstr>Z_2_Prop_LOWER</vt:lpstr>
      <vt:lpstr>Z_2_Prop</vt:lpstr>
      <vt:lpstr>F Two Vars</vt:lpstr>
      <vt:lpstr>F Two Vars Upper</vt:lpstr>
      <vt:lpstr>Levene's DATA</vt:lpstr>
      <vt:lpstr>Levene's AbsDiffs</vt:lpstr>
      <vt:lpstr>Levene's</vt:lpstr>
      <vt:lpstr>ASFData</vt:lpstr>
      <vt:lpstr>One Way Anova</vt:lpstr>
      <vt:lpstr>TK4</vt:lpstr>
      <vt:lpstr>TK3</vt:lpstr>
      <vt:lpstr>TK5</vt:lpstr>
      <vt:lpstr>TK6</vt:lpstr>
      <vt:lpstr>TK7</vt:lpstr>
      <vt:lpstr>ATFData</vt:lpstr>
      <vt:lpstr>Two Way Anova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Ceccucci, Wendy A. Prof.</dc:creator>
  <cp:lastModifiedBy>Dhruv Khanna</cp:lastModifiedBy>
  <dcterms:created xsi:type="dcterms:W3CDTF">2019-02-08T13:32:09Z</dcterms:created>
  <dcterms:modified xsi:type="dcterms:W3CDTF">2024-12-05T22:28:12Z</dcterms:modified>
</cp:coreProperties>
</file>