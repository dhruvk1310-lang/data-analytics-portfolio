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 filterPrivacy="1" codeName="ThisWorkbook" defaultThemeVersion="124226"/>
  <xr:revisionPtr revIDLastSave="0" documentId="13_ncr:1_{DE975F5F-8A13-5845-BDF7-C34CF7B8565C}" xr6:coauthVersionLast="47" xr6:coauthVersionMax="47" xr10:uidLastSave="{00000000-0000-0000-0000-000000000000}"/>
  <bookViews>
    <workbookView xWindow="0" yWindow="720" windowWidth="29400" windowHeight="18400" tabRatio="904" activeTab="8" xr2:uid="{00000000-000D-0000-FFFF-FFFF00000000}"/>
  </bookViews>
  <sheets>
    <sheet name="Example 1" sheetId="21" r:id="rId1"/>
    <sheet name="ChiSquare2x2" sheetId="20" r:id="rId2"/>
    <sheet name="Example 2" sheetId="22" r:id="rId3"/>
    <sheet name="ChiSquare2x3" sheetId="15" r:id="rId4"/>
    <sheet name="Marascuilo2x3" sheetId="10" r:id="rId5"/>
    <sheet name="Example 3" sheetId="23" r:id="rId6"/>
    <sheet name="ChiSquare4x3" sheetId="4" r:id="rId7"/>
    <sheet name="In Class Problem 1" sheetId="24" r:id="rId8"/>
    <sheet name="ChiSquare2x5" sheetId="3" r:id="rId9"/>
    <sheet name="Marascuilo2x5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3" l="1"/>
  <c r="B6" i="24"/>
  <c r="B7" i="24"/>
  <c r="D7" i="3"/>
  <c r="C7" i="3"/>
  <c r="B7" i="3"/>
  <c r="F6" i="3"/>
  <c r="G6" i="3" s="1"/>
  <c r="E6" i="3"/>
  <c r="E7" i="3" s="1"/>
  <c r="D6" i="3"/>
  <c r="C6" i="3"/>
  <c r="B6" i="3"/>
  <c r="D10" i="4"/>
  <c r="C10" i="4"/>
  <c r="B10" i="4"/>
  <c r="E10" i="4" s="1"/>
  <c r="E9" i="4"/>
  <c r="E8" i="4"/>
  <c r="E7" i="4"/>
  <c r="E6" i="4"/>
  <c r="C14" i="10"/>
  <c r="C13" i="10"/>
  <c r="B16" i="10"/>
  <c r="B14" i="10"/>
  <c r="B13" i="10"/>
  <c r="F7" i="3" l="1"/>
  <c r="G7" i="3" s="1"/>
  <c r="B13" i="15"/>
  <c r="D8" i="15"/>
  <c r="C8" i="15"/>
  <c r="B8" i="15"/>
  <c r="E8" i="15" s="1"/>
  <c r="E7" i="15"/>
  <c r="E6" i="15"/>
  <c r="A30" i="20"/>
  <c r="E5" i="20"/>
  <c r="B13" i="20"/>
  <c r="H4" i="24"/>
  <c r="H5" i="24" s="1"/>
  <c r="G4" i="24"/>
  <c r="G5" i="24" s="1"/>
  <c r="F4" i="24"/>
  <c r="F5" i="24" s="1"/>
  <c r="E4" i="24"/>
  <c r="E5" i="24" s="1"/>
  <c r="D4" i="24"/>
  <c r="D5" i="24" s="1"/>
  <c r="I5" i="24" s="1"/>
  <c r="I4" i="24" l="1"/>
  <c r="E5" i="23" l="1"/>
  <c r="E6" i="23"/>
  <c r="E7" i="23"/>
  <c r="E8" i="23"/>
  <c r="E4" i="23"/>
  <c r="C8" i="23"/>
  <c r="D8" i="23"/>
  <c r="B8" i="23"/>
  <c r="D6" i="22"/>
  <c r="E5" i="22"/>
  <c r="E4" i="22"/>
  <c r="C6" i="22"/>
  <c r="B6" i="22"/>
  <c r="C6" i="21"/>
  <c r="B6" i="21"/>
  <c r="D5" i="21"/>
  <c r="D6" i="21"/>
  <c r="D4" i="21"/>
  <c r="B21" i="20"/>
  <c r="B24" i="20" s="1"/>
  <c r="A14" i="20"/>
  <c r="A13" i="20"/>
  <c r="C12" i="20"/>
  <c r="B12" i="20"/>
  <c r="A12" i="20"/>
  <c r="B11" i="20"/>
  <c r="C8" i="20"/>
  <c r="B8" i="20"/>
  <c r="D7" i="20"/>
  <c r="D6" i="20"/>
  <c r="E6" i="22" l="1"/>
  <c r="D8" i="20"/>
  <c r="C13" i="20" s="1"/>
  <c r="B14" i="20"/>
  <c r="E6" i="20"/>
  <c r="E13" i="20" s="1"/>
  <c r="B15" i="20"/>
  <c r="E12" i="20"/>
  <c r="F5" i="20"/>
  <c r="F12" i="20" s="1"/>
  <c r="C14" i="20"/>
  <c r="F6" i="20" s="1"/>
  <c r="F13" i="20" s="1"/>
  <c r="C15" i="20" l="1"/>
  <c r="D15" i="20"/>
  <c r="B25" i="20"/>
  <c r="B26" i="20" s="1"/>
  <c r="A27" i="20" s="1"/>
  <c r="D14" i="20"/>
  <c r="D13" i="20"/>
  <c r="B21" i="15"/>
  <c r="B21" i="3"/>
  <c r="B25" i="4"/>
  <c r="B24" i="3" l="1"/>
  <c r="B28" i="4"/>
  <c r="A9" i="10" l="1"/>
  <c r="A8" i="10"/>
  <c r="A7" i="10"/>
  <c r="B3" i="10"/>
  <c r="B24" i="15" l="1"/>
  <c r="A14" i="15"/>
  <c r="A13" i="15"/>
  <c r="D12" i="15"/>
  <c r="C12" i="15"/>
  <c r="B12" i="15"/>
  <c r="A12" i="15"/>
  <c r="B11" i="15"/>
  <c r="B8" i="10" l="1"/>
  <c r="B9" i="10"/>
  <c r="B7" i="10"/>
  <c r="C13" i="15"/>
  <c r="H6" i="15" s="1"/>
  <c r="H13" i="15" s="1"/>
  <c r="B4" i="10"/>
  <c r="A7" i="13"/>
  <c r="A8" i="13"/>
  <c r="A9" i="13"/>
  <c r="A10" i="13"/>
  <c r="A11" i="13"/>
  <c r="B4" i="13"/>
  <c r="B3" i="13"/>
  <c r="A18" i="4"/>
  <c r="A17" i="4"/>
  <c r="A16" i="4"/>
  <c r="A15" i="4"/>
  <c r="B13" i="4"/>
  <c r="A14" i="4"/>
  <c r="D14" i="4"/>
  <c r="C14" i="4"/>
  <c r="B14" i="4"/>
  <c r="B7" i="13"/>
  <c r="B15" i="13" s="1"/>
  <c r="B8" i="13"/>
  <c r="B9" i="13"/>
  <c r="B24" i="13" s="1"/>
  <c r="B10" i="13"/>
  <c r="B11" i="13"/>
  <c r="B27" i="13" s="1"/>
  <c r="A14" i="3"/>
  <c r="A13" i="3"/>
  <c r="B11" i="3"/>
  <c r="A12" i="3"/>
  <c r="F12" i="3"/>
  <c r="E12" i="3"/>
  <c r="D12" i="3"/>
  <c r="C12" i="3"/>
  <c r="B12" i="3"/>
  <c r="D14" i="15" l="1"/>
  <c r="I7" i="15" s="1"/>
  <c r="I14" i="15" s="1"/>
  <c r="D13" i="15"/>
  <c r="C14" i="15"/>
  <c r="H7" i="15" s="1"/>
  <c r="H14" i="15" s="1"/>
  <c r="B14" i="15"/>
  <c r="E14" i="3"/>
  <c r="L7" i="3" s="1"/>
  <c r="L14" i="3" s="1"/>
  <c r="B14" i="3"/>
  <c r="C16" i="10"/>
  <c r="I6" i="15"/>
  <c r="I13" i="15" s="1"/>
  <c r="C24" i="13"/>
  <c r="D24" i="13" s="1"/>
  <c r="C18" i="13"/>
  <c r="C22" i="13"/>
  <c r="C17" i="13"/>
  <c r="C21" i="13"/>
  <c r="C20" i="13"/>
  <c r="C16" i="13"/>
  <c r="C15" i="13"/>
  <c r="D15" i="13" s="1"/>
  <c r="C27" i="13"/>
  <c r="D27" i="13" s="1"/>
  <c r="C25" i="13"/>
  <c r="B22" i="13"/>
  <c r="C14" i="3"/>
  <c r="J7" i="3" s="1"/>
  <c r="J14" i="3" s="1"/>
  <c r="B21" i="13"/>
  <c r="B18" i="13"/>
  <c r="B17" i="13"/>
  <c r="F13" i="3"/>
  <c r="E13" i="3"/>
  <c r="C13" i="3"/>
  <c r="D13" i="3"/>
  <c r="B25" i="13"/>
  <c r="B17" i="4"/>
  <c r="G14" i="3"/>
  <c r="I7" i="3"/>
  <c r="I14" i="3" s="1"/>
  <c r="B20" i="13"/>
  <c r="F14" i="3"/>
  <c r="M7" i="3" s="1"/>
  <c r="M14" i="3" s="1"/>
  <c r="D14" i="3"/>
  <c r="K7" i="3" s="1"/>
  <c r="K14" i="3" s="1"/>
  <c r="B13" i="3"/>
  <c r="B16" i="13"/>
  <c r="D17" i="13" l="1"/>
  <c r="D22" i="13"/>
  <c r="D16" i="10"/>
  <c r="E13" i="15"/>
  <c r="D14" i="10"/>
  <c r="D15" i="15"/>
  <c r="C15" i="15"/>
  <c r="C17" i="4"/>
  <c r="H8" i="4" s="1"/>
  <c r="H17" i="4" s="1"/>
  <c r="D25" i="13"/>
  <c r="D18" i="13"/>
  <c r="B15" i="15"/>
  <c r="G6" i="15"/>
  <c r="G13" i="15" s="1"/>
  <c r="D17" i="4"/>
  <c r="I8" i="4" s="1"/>
  <c r="I17" i="4" s="1"/>
  <c r="E14" i="15"/>
  <c r="G7" i="15"/>
  <c r="G14" i="15" s="1"/>
  <c r="D16" i="4"/>
  <c r="I7" i="4" s="1"/>
  <c r="I16" i="4" s="1"/>
  <c r="B16" i="4"/>
  <c r="D18" i="4"/>
  <c r="I9" i="4" s="1"/>
  <c r="I18" i="4" s="1"/>
  <c r="D16" i="13"/>
  <c r="B15" i="4"/>
  <c r="C16" i="4"/>
  <c r="H7" i="4" s="1"/>
  <c r="H16" i="4" s="1"/>
  <c r="B18" i="4"/>
  <c r="D20" i="13"/>
  <c r="A30" i="15"/>
  <c r="C15" i="4"/>
  <c r="C18" i="4"/>
  <c r="H9" i="4" s="1"/>
  <c r="H18" i="4" s="1"/>
  <c r="D21" i="13"/>
  <c r="D13" i="10"/>
  <c r="D15" i="4"/>
  <c r="I6" i="4" s="1"/>
  <c r="I15" i="4" s="1"/>
  <c r="K6" i="3"/>
  <c r="K13" i="3" s="1"/>
  <c r="D15" i="3"/>
  <c r="J6" i="3"/>
  <c r="J13" i="3" s="1"/>
  <c r="C15" i="3"/>
  <c r="G13" i="3"/>
  <c r="I6" i="3"/>
  <c r="I13" i="3" s="1"/>
  <c r="B15" i="3"/>
  <c r="A30" i="3"/>
  <c r="E15" i="3"/>
  <c r="L6" i="3"/>
  <c r="L13" i="3" s="1"/>
  <c r="M6" i="3"/>
  <c r="M13" i="3" s="1"/>
  <c r="F15" i="3"/>
  <c r="G8" i="4"/>
  <c r="G17" i="4" s="1"/>
  <c r="B25" i="3" l="1"/>
  <c r="A27" i="3" s="1"/>
  <c r="G15" i="3"/>
  <c r="E17" i="4"/>
  <c r="E15" i="15"/>
  <c r="B25" i="15"/>
  <c r="B26" i="15" s="1"/>
  <c r="A27" i="15" s="1"/>
  <c r="D19" i="4"/>
  <c r="E16" i="4"/>
  <c r="G7" i="4"/>
  <c r="G16" i="4" s="1"/>
  <c r="E18" i="4"/>
  <c r="G9" i="4"/>
  <c r="G18" i="4" s="1"/>
  <c r="C19" i="4"/>
  <c r="H6" i="4"/>
  <c r="H15" i="4" s="1"/>
  <c r="G6" i="4"/>
  <c r="G15" i="4" s="1"/>
  <c r="A34" i="4"/>
  <c r="B19" i="4"/>
  <c r="E15" i="4"/>
  <c r="B29" i="4" l="1"/>
  <c r="B30" i="4"/>
  <c r="A31" i="4" s="1"/>
  <c r="E19" i="4"/>
</calcChain>
</file>

<file path=xl/sharedStrings.xml><?xml version="1.0" encoding="utf-8"?>
<sst xmlns="http://schemas.openxmlformats.org/spreadsheetml/2006/main" count="215" uniqueCount="88">
  <si>
    <t>Observed Frequencies</t>
  </si>
  <si>
    <t>Hotel</t>
  </si>
  <si>
    <t>Calculations</t>
  </si>
  <si>
    <t>Choose Again?</t>
  </si>
  <si>
    <t>Total</t>
  </si>
  <si>
    <t>Yes</t>
  </si>
  <si>
    <t>No</t>
  </si>
  <si>
    <t>Expected Frequencies</t>
  </si>
  <si>
    <t>Data</t>
  </si>
  <si>
    <t>Level of Significance</t>
  </si>
  <si>
    <t>Number of Rows</t>
  </si>
  <si>
    <t>Number of Columns</t>
  </si>
  <si>
    <t>Degrees of Freedom</t>
  </si>
  <si>
    <t>Results</t>
  </si>
  <si>
    <t>Critical Value</t>
  </si>
  <si>
    <t>Chi-Square Test Statistic</t>
  </si>
  <si>
    <t>Expected frequency assumption</t>
  </si>
  <si>
    <t>Chi-Square Test</t>
  </si>
  <si>
    <t>Column variable</t>
  </si>
  <si>
    <t>Marascuilo Procedure</t>
  </si>
  <si>
    <t>Square Root of Critical Value</t>
  </si>
  <si>
    <t>MARASCUILO TABLE</t>
  </si>
  <si>
    <t>Proportions</t>
  </si>
  <si>
    <t>Absolute Differences</t>
  </si>
  <si>
    <t>Critical Range</t>
  </si>
  <si>
    <t>| Group 1 - Group 2 |</t>
  </si>
  <si>
    <t>| Group 1 - Group 3 |</t>
  </si>
  <si>
    <t>| Group 2 - Group 3 |</t>
  </si>
  <si>
    <t>| Group 1 - Group 4 |</t>
  </si>
  <si>
    <t>| Group 2 - Group 4 |</t>
  </si>
  <si>
    <t>| Group 3 - Group 4 |</t>
  </si>
  <si>
    <t>| Group 1 - Group 5 |</t>
  </si>
  <si>
    <t>| Group 2 - Group 5 |</t>
  </si>
  <si>
    <t>| Group 3 - Group 5 |</t>
  </si>
  <si>
    <t>| Group 4 - Group 5 |</t>
  </si>
  <si>
    <t>fo - fe</t>
  </si>
  <si>
    <t>(fo - fe)^2/fe</t>
  </si>
  <si>
    <t>Marascuilo Procedure for Guest Satisfaction Analysis</t>
  </si>
  <si>
    <r>
      <t>p</t>
    </r>
    <r>
      <rPr>
        <sz val="11"/>
        <rFont val="Calibri"/>
        <family val="2"/>
      </rPr>
      <t>-Value</t>
    </r>
  </si>
  <si>
    <t>Group Sample Proportions</t>
  </si>
  <si>
    <t>Chi-Square Test of Independence</t>
  </si>
  <si>
    <t>Female</t>
  </si>
  <si>
    <t>Male</t>
  </si>
  <si>
    <t>Left</t>
  </si>
  <si>
    <t>Right</t>
  </si>
  <si>
    <t>Contigency Table</t>
  </si>
  <si>
    <t>Gender</t>
  </si>
  <si>
    <t>Hand Preference</t>
  </si>
  <si>
    <t>Opinion</t>
  </si>
  <si>
    <t>Favor</t>
  </si>
  <si>
    <t>Oppose</t>
  </si>
  <si>
    <t>Admin</t>
  </si>
  <si>
    <t>Students</t>
  </si>
  <si>
    <t>Faculty</t>
  </si>
  <si>
    <t>Class</t>
  </si>
  <si>
    <t>Fresh</t>
  </si>
  <si>
    <t>Soph</t>
  </si>
  <si>
    <t>Junior</t>
  </si>
  <si>
    <t>Senior</t>
  </si>
  <si>
    <t>Parts A and B</t>
  </si>
  <si>
    <t>Null Hypothesis</t>
  </si>
  <si>
    <t>Alternative Hypothesis</t>
  </si>
  <si>
    <t>Chi Square Test Statistic Value</t>
  </si>
  <si>
    <t>Decision</t>
  </si>
  <si>
    <t>State your decision Relative to the Problem</t>
  </si>
  <si>
    <t>Part C.</t>
  </si>
  <si>
    <t xml:space="preserve">If you did find a difference from Part A, please put an x on the ones that you determined to be different </t>
  </si>
  <si>
    <t>Automotive  and Hospitality</t>
  </si>
  <si>
    <t>Automotive and  Industrial</t>
  </si>
  <si>
    <t>Automotive</t>
  </si>
  <si>
    <t>Energy</t>
  </si>
  <si>
    <t>Hospitality</t>
  </si>
  <si>
    <t>Industrial</t>
  </si>
  <si>
    <t>retail</t>
  </si>
  <si>
    <t>Hospitality and Industrial</t>
  </si>
  <si>
    <t>Industrial and Retail</t>
  </si>
  <si>
    <t>Hospitality and Retail</t>
  </si>
  <si>
    <t>Energy and Retail</t>
  </si>
  <si>
    <t>Energy and Industrial</t>
  </si>
  <si>
    <t>Energy and Hospitality</t>
  </si>
  <si>
    <t>Automotive and Retail</t>
  </si>
  <si>
    <t>Reject The Null Hypothesis</t>
  </si>
  <si>
    <t xml:space="preserve">We reject the Null since the P value is 0.00 meaning that there is not enough evidence to support the null hypothesis meaning that the propotions are not the same </t>
  </si>
  <si>
    <t>Peopotions are different</t>
  </si>
  <si>
    <t>Propotions are same</t>
  </si>
  <si>
    <t xml:space="preserve">Automotive and Energy </t>
  </si>
  <si>
    <t>x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</si>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</sst>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86" formatCode="0.00000000000000000000000000"/>
  </numFmts>
  <fonts count="11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C99"/>
      </patternFill>
    </fill>
    <fill>
      <patternFill patternType="solid">
        <fgColor theme="6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8" fillId="5" borderId="6" applyNumberFormat="0" applyAlignment="0" applyProtection="0"/>
  </cellStyleXfs>
  <cellXfs count="79">
    <xf numFmtId="0" fontId="0" fillId="0" borderId="0" xfId="0"/>
    <xf numFmtId="0" fontId="4" fillId="0" borderId="0" xfId="0" applyFont="1"/>
    <xf numFmtId="0" fontId="5" fillId="0" borderId="0" xfId="0" applyFont="1"/>
    <xf numFmtId="0" fontId="4" fillId="2" borderId="1" xfId="0" applyFont="1" applyFill="1" applyBorder="1" applyProtection="1">
      <protection locked="0"/>
    </xf>
    <xf numFmtId="0" fontId="5" fillId="2" borderId="1" xfId="0" applyFont="1" applyFill="1" applyBorder="1" applyProtection="1">
      <protection locked="0"/>
    </xf>
    <xf numFmtId="0" fontId="5" fillId="2" borderId="1" xfId="0" applyFont="1" applyFill="1" applyBorder="1" applyAlignment="1" applyProtection="1">
      <alignment horizontal="center"/>
      <protection locked="0"/>
    </xf>
    <xf numFmtId="0" fontId="5" fillId="2" borderId="1" xfId="0" applyFont="1" applyFill="1" applyBorder="1" applyAlignment="1" applyProtection="1">
      <alignment horizontal="right"/>
      <protection locked="0"/>
    </xf>
    <xf numFmtId="0" fontId="5" fillId="0" borderId="1" xfId="0" applyFont="1" applyBorder="1"/>
    <xf numFmtId="0" fontId="6" fillId="0" borderId="0" xfId="0" applyFont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164" fontId="5" fillId="2" borderId="1" xfId="0" applyNumberFormat="1" applyFont="1" applyFill="1" applyBorder="1"/>
    <xf numFmtId="164" fontId="5" fillId="0" borderId="0" xfId="0" applyNumberFormat="1" applyFont="1"/>
    <xf numFmtId="164" fontId="5" fillId="0" borderId="1" xfId="0" applyNumberFormat="1" applyFont="1" applyBorder="1"/>
    <xf numFmtId="0" fontId="5" fillId="3" borderId="1" xfId="0" applyFont="1" applyFill="1" applyBorder="1" applyAlignment="1" applyProtection="1">
      <alignment horizontal="right"/>
      <protection locked="0"/>
    </xf>
    <xf numFmtId="0" fontId="5" fillId="3" borderId="1" xfId="0" applyFont="1" applyFill="1" applyBorder="1" applyProtection="1">
      <protection locked="0"/>
    </xf>
    <xf numFmtId="0" fontId="5" fillId="3" borderId="1" xfId="0" applyFont="1" applyFill="1" applyBorder="1" applyAlignment="1" applyProtection="1">
      <alignment horizontal="center"/>
      <protection locked="0"/>
    </xf>
    <xf numFmtId="0" fontId="5" fillId="3" borderId="1" xfId="0" applyFont="1" applyFill="1" applyBorder="1"/>
    <xf numFmtId="0" fontId="5" fillId="4" borderId="1" xfId="0" applyFont="1" applyFill="1" applyBorder="1"/>
    <xf numFmtId="164" fontId="5" fillId="4" borderId="1" xfId="0" applyNumberFormat="1" applyFont="1" applyFill="1" applyBorder="1"/>
    <xf numFmtId="0" fontId="7" fillId="4" borderId="1" xfId="0" applyFont="1" applyFill="1" applyBorder="1"/>
    <xf numFmtId="164" fontId="5" fillId="2" borderId="1" xfId="0" applyNumberFormat="1" applyFont="1" applyFill="1" applyBorder="1" applyProtection="1">
      <protection locked="0"/>
    </xf>
    <xf numFmtId="0" fontId="5" fillId="2" borderId="1" xfId="1" applyFont="1" applyFill="1" applyBorder="1" applyProtection="1">
      <protection locked="0"/>
    </xf>
    <xf numFmtId="0" fontId="5" fillId="3" borderId="1" xfId="0" applyFont="1" applyFill="1" applyBorder="1" applyAlignment="1" applyProtection="1">
      <alignment horizontal="left"/>
      <protection locked="0"/>
    </xf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/>
    </xf>
    <xf numFmtId="0" fontId="0" fillId="6" borderId="4" xfId="0" applyFill="1" applyBorder="1"/>
    <xf numFmtId="0" fontId="0" fillId="6" borderId="8" xfId="0" applyFill="1" applyBorder="1"/>
    <xf numFmtId="0" fontId="0" fillId="6" borderId="0" xfId="0" applyFill="1"/>
    <xf numFmtId="0" fontId="9" fillId="0" borderId="9" xfId="0" applyFont="1" applyBorder="1" applyAlignment="1">
      <alignment horizontal="left"/>
    </xf>
    <xf numFmtId="0" fontId="0" fillId="0" borderId="10" xfId="0" applyBorder="1" applyAlignment="1">
      <alignment horizontal="left"/>
    </xf>
    <xf numFmtId="0" fontId="9" fillId="0" borderId="11" xfId="0" applyFont="1" applyBorder="1"/>
    <xf numFmtId="0" fontId="0" fillId="0" borderId="12" xfId="0" applyBorder="1" applyAlignment="1">
      <alignment horizontal="left"/>
    </xf>
    <xf numFmtId="0" fontId="0" fillId="0" borderId="11" xfId="0" applyBorder="1" applyAlignment="1">
      <alignment horizontal="right"/>
    </xf>
    <xf numFmtId="0" fontId="8" fillId="5" borderId="13" xfId="2" applyBorder="1" applyAlignment="1">
      <alignment horizontal="left"/>
    </xf>
    <xf numFmtId="0" fontId="9" fillId="0" borderId="11" xfId="0" applyFont="1" applyBorder="1" applyAlignment="1">
      <alignment horizontal="left"/>
    </xf>
    <xf numFmtId="164" fontId="8" fillId="5" borderId="13" xfId="2" applyNumberFormat="1" applyBorder="1" applyAlignment="1">
      <alignment horizontal="left"/>
    </xf>
    <xf numFmtId="0" fontId="8" fillId="5" borderId="14" xfId="2" applyBorder="1" applyAlignment="1">
      <alignment horizontal="left"/>
    </xf>
    <xf numFmtId="0" fontId="0" fillId="0" borderId="11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5" fillId="0" borderId="1" xfId="0" applyFont="1" applyBorder="1" applyAlignment="1" applyProtection="1">
      <alignment horizontal="left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Protection="1">
      <protection locked="0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4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4" fillId="2" borderId="1" xfId="0" applyFont="1" applyFill="1" applyBorder="1" applyAlignment="1" applyProtection="1">
      <alignment horizontal="center"/>
      <protection locked="0"/>
    </xf>
    <xf numFmtId="0" fontId="5" fillId="3" borderId="2" xfId="0" applyFont="1" applyFill="1" applyBorder="1" applyAlignment="1" applyProtection="1">
      <alignment horizontal="center"/>
      <protection locked="0"/>
    </xf>
    <xf numFmtId="0" fontId="5" fillId="3" borderId="5" xfId="0" applyFont="1" applyFill="1" applyBorder="1" applyAlignment="1" applyProtection="1">
      <alignment horizontal="center"/>
      <protection locked="0"/>
    </xf>
    <xf numFmtId="0" fontId="5" fillId="0" borderId="0" xfId="0" applyFont="1" applyAlignment="1">
      <alignment horizontal="center"/>
    </xf>
    <xf numFmtId="0" fontId="5" fillId="2" borderId="1" xfId="0" applyFont="1" applyFill="1" applyBorder="1" applyAlignment="1" applyProtection="1">
      <alignment horizontal="center"/>
      <protection locked="0"/>
    </xf>
    <xf numFmtId="0" fontId="5" fillId="2" borderId="2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3" borderId="3" xfId="0" applyFont="1" applyFill="1" applyBorder="1" applyAlignment="1" applyProtection="1">
      <alignment horizontal="center"/>
      <protection locked="0"/>
    </xf>
    <xf numFmtId="0" fontId="5" fillId="2" borderId="3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3" borderId="2" xfId="1" applyFont="1" applyFill="1" applyBorder="1" applyAlignment="1" applyProtection="1">
      <alignment horizontal="center"/>
      <protection locked="0"/>
    </xf>
    <xf numFmtId="0" fontId="5" fillId="3" borderId="5" xfId="1" applyFont="1" applyFill="1" applyBorder="1" applyAlignment="1" applyProtection="1">
      <alignment horizontal="center"/>
      <protection locked="0"/>
    </xf>
    <xf numFmtId="0" fontId="5" fillId="3" borderId="3" xfId="1" applyFont="1" applyFill="1" applyBorder="1" applyAlignment="1" applyProtection="1">
      <alignment horizontal="center"/>
      <protection locked="0"/>
    </xf>
    <xf numFmtId="0" fontId="5" fillId="2" borderId="2" xfId="0" applyFont="1" applyFill="1" applyBorder="1" applyAlignment="1" applyProtection="1">
      <alignment horizontal="center"/>
      <protection locked="0"/>
    </xf>
    <xf numFmtId="0" fontId="5" fillId="2" borderId="5" xfId="0" applyFont="1" applyFill="1" applyBorder="1" applyAlignment="1" applyProtection="1">
      <alignment horizontal="center"/>
      <protection locked="0"/>
    </xf>
    <xf numFmtId="0" fontId="5" fillId="2" borderId="3" xfId="0" applyFont="1" applyFill="1" applyBorder="1" applyAlignment="1" applyProtection="1">
      <alignment horizontal="center"/>
      <protection locked="0"/>
    </xf>
    <xf numFmtId="0" fontId="4" fillId="2" borderId="2" xfId="0" applyFont="1" applyFill="1" applyBorder="1" applyAlignment="1" applyProtection="1">
      <alignment horizontal="center"/>
      <protection locked="0"/>
    </xf>
    <xf numFmtId="0" fontId="4" fillId="2" borderId="5" xfId="0" applyFont="1" applyFill="1" applyBorder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0" fillId="0" borderId="11" xfId="0" applyBorder="1" applyAlignment="1">
      <alignment horizontal="center" vertical="top" wrapText="1"/>
    </xf>
    <xf numFmtId="0" fontId="4" fillId="3" borderId="3" xfId="0" applyFont="1" applyFill="1" applyBorder="1" applyAlignment="1" applyProtection="1">
      <alignment horizontal="center"/>
      <protection locked="0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86" fontId="5" fillId="4" borderId="1" xfId="0" applyNumberFormat="1" applyFont="1" applyFill="1" applyBorder="1"/>
    <xf numFmtId="0" fontId="10" fillId="0" borderId="0" xfId="0" applyFont="1" applyAlignment="1">
      <alignment wrapText="1"/>
    </xf>
    <xf numFmtId="0" fontId="2" fillId="0" borderId="12" xfId="0" applyFont="1" applyBorder="1" applyAlignment="1">
      <alignment horizontal="left"/>
    </xf>
  </cellXfs>
  <cellStyles count="3">
    <cellStyle name="Input" xfId="2" builtinId="20"/>
    <cellStyle name="Normal" xfId="0" builtinId="0"/>
    <cellStyle name="Normal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285750</xdr:colOff>
      <xdr:row>0</xdr:row>
      <xdr:rowOff>47625</xdr:rowOff>
    </xdr:from>
    <xdr:to>
      <xdr:col>13</xdr:col>
      <xdr:colOff>561975</xdr:colOff>
      <xdr:row>9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8CAC361-0E69-9369-FF76-64B02D2C893F}"/>
            </a:ext>
          </a:extLst>
        </xdr:cNvPr>
        <xdr:cNvSpPr txBox="1"/>
      </xdr:nvSpPr>
      <xdr:spPr>
        <a:xfrm>
          <a:off x="3943350" y="47625"/>
          <a:ext cx="4543425" cy="1495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We are testing if there is a difference between left handed and right haded chidren</a:t>
          </a:r>
          <a:r>
            <a:rPr lang="en-US" baseline="0"/>
            <a:t> and gender.  </a:t>
          </a:r>
          <a:r>
            <a:rPr lang="en-US"/>
            <a:t>Our null hypothesis is that the population proportion of females who are left-handed is equal to the population proportion of males who are left-handed. So the null hypothesis is written 𝝅 </a:t>
          </a:r>
          <a:r>
            <a:rPr lang="en-US" baseline="-25000"/>
            <a:t>1</a:t>
          </a:r>
          <a:r>
            <a:rPr lang="en-US"/>
            <a:t>= 𝝅 </a:t>
          </a:r>
          <a:r>
            <a:rPr lang="en-US" baseline="-25000"/>
            <a:t>2</a:t>
          </a:r>
          <a:r>
            <a:rPr lang="en-US"/>
            <a:t> and the alternative is that they are not equal.  In other words the two proportions are not the same.</a:t>
          </a:r>
        </a:p>
        <a:p>
          <a:endParaRPr lang="en-US" sz="1100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762000</xdr:colOff>
      <xdr:row>16</xdr:row>
      <xdr:rowOff>8467</xdr:rowOff>
    </xdr:from>
    <xdr:to>
      <xdr:col>10</xdr:col>
      <xdr:colOff>67733</xdr:colOff>
      <xdr:row>21</xdr:row>
      <xdr:rowOff>143933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160950-287A-8C66-76F9-731187702AF1}"/>
            </a:ext>
          </a:extLst>
        </xdr:cNvPr>
        <xdr:cNvSpPr txBox="1"/>
      </xdr:nvSpPr>
      <xdr:spPr>
        <a:xfrm>
          <a:off x="5257800" y="3124200"/>
          <a:ext cx="3632200" cy="11091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Do</a:t>
          </a:r>
          <a:r>
            <a:rPr lang="en-US" sz="1100" kern="1200" baseline="0"/>
            <a:t> not reject the null because there is not enough evidence that the the propotions are diffrent </a:t>
          </a:r>
        </a:p>
        <a:p>
          <a:endParaRPr lang="en-US" sz="1100" kern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285750</xdr:colOff>
      <xdr:row>0</xdr:row>
      <xdr:rowOff>47626</xdr:rowOff>
    </xdr:from>
    <xdr:to>
      <xdr:col>14</xdr:col>
      <xdr:colOff>561975</xdr:colOff>
      <xdr:row>21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882B39B-B8AC-468F-A669-A4E220C253C7}"/>
            </a:ext>
          </a:extLst>
        </xdr:cNvPr>
        <xdr:cNvSpPr txBox="1"/>
      </xdr:nvSpPr>
      <xdr:spPr>
        <a:xfrm>
          <a:off x="4552950" y="47626"/>
          <a:ext cx="4543425" cy="34385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/>
        </a:p>
        <a:p>
          <a:r>
            <a:rPr lang="en-US"/>
            <a:t> A University is thinking of switching to a trimester academic calendar. A random sample of 100 administrators, 50 students, and 50 faculty members were surveyed. Using a 1% level of significance, which groups, if any have a different opinion?   </a:t>
          </a:r>
        </a:p>
        <a:p>
          <a:endParaRPr lang="en-US"/>
        </a:p>
        <a:p>
          <a:r>
            <a:rPr lang="en-US"/>
            <a:t>A)</a:t>
          </a:r>
          <a:r>
            <a:rPr lang="en-US" baseline="0"/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Using a 1% level of significance, which groups, if any have a different opinion?   </a:t>
          </a:r>
          <a:endParaRPr lang="en-US"/>
        </a:p>
        <a:p>
          <a:r>
            <a:rPr lang="en-US"/>
            <a:t>B)  If</a:t>
          </a:r>
          <a:r>
            <a:rPr lang="en-US" baseline="0"/>
            <a:t> they are different, which pairs are different?</a:t>
          </a:r>
          <a:endParaRPr lang="en-US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12700</xdr:colOff>
      <xdr:row>8</xdr:row>
      <xdr:rowOff>0</xdr:rowOff>
    </xdr:from>
    <xdr:to>
      <xdr:col>18</xdr:col>
      <xdr:colOff>38100</xdr:colOff>
      <xdr:row>14</xdr:row>
      <xdr:rowOff>177800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6D7BDE6-7A35-661B-9351-B7C2DCABFB39}"/>
            </a:ext>
          </a:extLst>
        </xdr:cNvPr>
        <xdr:cNvSpPr txBox="1"/>
      </xdr:nvSpPr>
      <xdr:spPr>
        <a:xfrm>
          <a:off x="8572500" y="1524000"/>
          <a:ext cx="5613400" cy="1320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Reject the Null and conclude that at least on propotion is diffrent 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50800</xdr:colOff>
      <xdr:row>12</xdr:row>
      <xdr:rowOff>12700</xdr:rowOff>
    </xdr:from>
    <xdr:to>
      <xdr:col>8</xdr:col>
      <xdr:colOff>381000</xdr:colOff>
      <xdr:row>16</xdr:row>
      <xdr:rowOff>25400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977E283-A32D-F20C-8D15-EB874BE10BAD}"/>
            </a:ext>
          </a:extLst>
        </xdr:cNvPr>
        <xdr:cNvSpPr txBox="1"/>
      </xdr:nvSpPr>
      <xdr:spPr>
        <a:xfrm>
          <a:off x="5397500" y="2298700"/>
          <a:ext cx="3124200" cy="774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Student and faculy differed significantlly)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285750</xdr:colOff>
      <xdr:row>0</xdr:row>
      <xdr:rowOff>47626</xdr:rowOff>
    </xdr:from>
    <xdr:to>
      <xdr:col>14</xdr:col>
      <xdr:colOff>561975</xdr:colOff>
      <xdr:row>10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79D347A-675D-4EAC-8ABA-F73D0D17486E}"/>
            </a:ext>
          </a:extLst>
        </xdr:cNvPr>
        <xdr:cNvSpPr txBox="1"/>
      </xdr:nvSpPr>
      <xdr:spPr>
        <a:xfrm>
          <a:off x="4552950" y="47626"/>
          <a:ext cx="4543425" cy="12572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Let’s look at a different example. The meal plan selected by 200 students are given.YOu want to know if hand preferenc and class</a:t>
          </a:r>
          <a:r>
            <a:rPr lang="en-US" baseline="0"/>
            <a:t> are independent</a:t>
          </a:r>
          <a:endParaRPr lang="en-US"/>
        </a:p>
        <a:p>
          <a:endParaRPr lang="en-US"/>
        </a:p>
        <a:p>
          <a:r>
            <a:rPr lang="en-US" sz="1100" kern="1200"/>
            <a:t>Ho) Meal plan and class standing are independent</a:t>
          </a:r>
          <a:r>
            <a:rPr lang="en-US" sz="1100" kern="1200" baseline="0"/>
            <a:t> (thre is no relationship)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kern="1200" baseline="0"/>
            <a:t>Ha)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Meal plan and class standing are dependent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(thre is a relationship)</a:t>
          </a:r>
          <a:endParaRPr lang="en-US">
            <a:effectLst/>
          </a:endParaRPr>
        </a:p>
        <a:p>
          <a:endParaRPr lang="en-US" sz="1100" kern="12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20</xdr:row>
      <xdr:rowOff>12700</xdr:rowOff>
    </xdr:from>
    <xdr:to>
      <xdr:col>13</xdr:col>
      <xdr:colOff>76200</xdr:colOff>
      <xdr:row>29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4C04B26-8200-76B2-E6D5-CA8CC48E4F91}"/>
            </a:ext>
          </a:extLst>
        </xdr:cNvPr>
        <xdr:cNvSpPr txBox="1"/>
      </xdr:nvSpPr>
      <xdr:spPr>
        <a:xfrm>
          <a:off x="6489700" y="3822700"/>
          <a:ext cx="4241800" cy="1701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The</a:t>
          </a:r>
          <a:r>
            <a:rPr lang="en-US" sz="1100" kern="1200" baseline="0"/>
            <a:t> Variables are independant</a:t>
          </a:r>
        </a:p>
        <a:p>
          <a:endParaRPr lang="en-US" sz="1100" kern="12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30</xdr:col>
      <xdr:colOff>283845</xdr:colOff>
      <xdr:row>8</xdr:row>
      <xdr:rowOff>524510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7F13CC7-4633-488A-A5B4-7036ED7F1263}"/>
            </a:ext>
          </a:extLst>
        </xdr:cNvPr>
        <xdr:cNvSpPr txBox="1"/>
      </xdr:nvSpPr>
      <xdr:spPr>
        <a:xfrm>
          <a:off x="8905875" y="0"/>
          <a:ext cx="12475845" cy="20485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A PwC survey of IT executives found that 25% of automotive executives; 20% of energy executives; 30% of hospitality; 33% of industrial products executives; and 52% of retail executives say their companies are currently investing in business sensor technology.  Suppose these results were based on 500 business and IT executives in each of the five industries: Automotive,  Hospitality, Industrial Products, and Retail.  A</a:t>
          </a:r>
          <a:r>
            <a:rPr lang="en-US" baseline="0"/>
            <a:t> total 2500 surveys were collected.</a:t>
          </a:r>
          <a:br>
            <a:rPr lang="en-US" baseline="0"/>
          </a:br>
          <a:br>
            <a:rPr lang="en-US"/>
          </a:br>
          <a:r>
            <a:rPr lang="en-US"/>
            <a:t>A. At the 0.05 level of significance, is there evidence of a difference among the industries with respect to the proportion of executives that say their companies are currently investing in business sensor technology? </a:t>
          </a:r>
        </a:p>
        <a:p>
          <a:endParaRPr lang="en-US"/>
        </a:p>
        <a:p>
          <a:r>
            <a:rPr lang="en-US"/>
            <a:t>b. Compute the p-value and interpret its meaning. </a:t>
          </a:r>
        </a:p>
        <a:p>
          <a:endParaRPr lang="en-US"/>
        </a:p>
        <a:p>
          <a:r>
            <a:rPr lang="en-US"/>
            <a:t>c. If appropriate, use the Marascuilo procedure and a = 0.05 to determine which companies differ in their current investing in business sensor technology.</a:t>
          </a:r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17</xdr:row>
      <xdr:rowOff>25400</xdr:rowOff>
    </xdr:from>
    <xdr:to>
      <xdr:col>13</xdr:col>
      <xdr:colOff>25400</xdr:colOff>
      <xdr:row>28</xdr:row>
      <xdr:rowOff>12700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589037-4A2F-9005-589B-F4504A2595DA}"/>
            </a:ext>
          </a:extLst>
        </xdr:cNvPr>
        <xdr:cNvSpPr txBox="1"/>
      </xdr:nvSpPr>
      <xdr:spPr>
        <a:xfrm>
          <a:off x="6273800" y="3263900"/>
          <a:ext cx="4533900" cy="2082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We reject the Null</a:t>
          </a:r>
          <a:r>
            <a:rPr lang="en-US" sz="1100" kern="1200" baseline="0"/>
            <a:t> since the P value is 0.00 meaning that there is not enough evidence to support the null hypothesis meaning that the propotions are not the same </a:t>
          </a:r>
          <a:endParaRPr lang="en-US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CF44056-6602-A54A-8F14-3D338ACB2DE7}">
  <we:reference id="wa200005502" version="1.0.0.11" store="en-GB" storeType="OMEX"/>
  <we:alternateReferences>
    <we:reference id="wa200005502" version="1.0.0.11" store="" storeType="OMEX"/>
  </we:alternateReferences>
  <we:properties>
    <we:property name="docId" value="&quot;PNw877sD2XpBW_4kfxgaG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F998C-418A-4008-AF1E-8A99BA632951}">
  <sheetPr>
    <tabColor theme="0"/>
  </sheetPr>
  <dimension ref="A1:D6"/>
  <sheetViews>
    <sheetView zoomScale="150" workbookViewId="0">
      <selection activeCell="E19" sqref="E19"/>
    </sheetView>
  </sheetViews>
  <sheetFormatPr baseColWidth="10" defaultColWidth="8.83203125" defaultRowHeight="13" x14ac:dyDescent="0.15"/>
  <sheetData>
    <row r="1" spans="1:4" x14ac:dyDescent="0.15">
      <c r="A1" t="s">
        <v>45</v>
      </c>
    </row>
    <row r="2" spans="1:4" x14ac:dyDescent="0.15">
      <c r="B2" s="46" t="s">
        <v>47</v>
      </c>
      <c r="C2" s="47"/>
    </row>
    <row r="3" spans="1:4" x14ac:dyDescent="0.15">
      <c r="A3" s="28" t="s">
        <v>46</v>
      </c>
      <c r="B3" s="29" t="s">
        <v>43</v>
      </c>
      <c r="C3" s="28" t="s">
        <v>44</v>
      </c>
      <c r="D3" s="29" t="s">
        <v>4</v>
      </c>
    </row>
    <row r="4" spans="1:4" x14ac:dyDescent="0.15">
      <c r="A4" s="30" t="s">
        <v>41</v>
      </c>
      <c r="B4" s="25">
        <v>12</v>
      </c>
      <c r="C4">
        <v>108</v>
      </c>
      <c r="D4" s="25">
        <f>SUM(B4:C4)</f>
        <v>120</v>
      </c>
    </row>
    <row r="5" spans="1:4" x14ac:dyDescent="0.15">
      <c r="A5" s="28" t="s">
        <v>42</v>
      </c>
      <c r="B5" s="26">
        <v>24</v>
      </c>
      <c r="C5" s="24">
        <v>156</v>
      </c>
      <c r="D5" s="26">
        <f t="shared" ref="D5:D6" si="0">SUM(B5:C5)</f>
        <v>180</v>
      </c>
    </row>
    <row r="6" spans="1:4" x14ac:dyDescent="0.15">
      <c r="A6" s="30" t="s">
        <v>4</v>
      </c>
      <c r="B6" s="25">
        <f>SUM(B4:B5)</f>
        <v>36</v>
      </c>
      <c r="C6">
        <f>SUM(C4:C5)</f>
        <v>264</v>
      </c>
      <c r="D6" s="25">
        <f t="shared" si="0"/>
        <v>300</v>
      </c>
    </row>
  </sheetData>
  <mergeCells count="1">
    <mergeCell ref="B2:C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66084-4AC0-4966-8095-66F622D46E76}">
  <sheetPr>
    <tabColor rgb="FFFF0000"/>
  </sheetPr>
  <dimension ref="A1:F30"/>
  <sheetViews>
    <sheetView zoomScale="150" workbookViewId="0">
      <selection activeCell="G24" sqref="G24"/>
    </sheetView>
  </sheetViews>
  <sheetFormatPr baseColWidth="10" defaultColWidth="9.1640625" defaultRowHeight="15" x14ac:dyDescent="0.2"/>
  <cols>
    <col min="1" max="1" width="23.5" style="2" bestFit="1" customWidth="1"/>
    <col min="2" max="2" width="12.83203125" style="2" customWidth="1"/>
    <col min="3" max="3" width="13.33203125" style="2" customWidth="1"/>
    <col min="4" max="4" width="9.1640625" style="2"/>
    <col min="5" max="5" width="10.6640625" style="2" bestFit="1" customWidth="1"/>
    <col min="6" max="16384" width="9.1640625" style="2"/>
  </cols>
  <sheetData>
    <row r="1" spans="1:6" x14ac:dyDescent="0.2">
      <c r="A1" s="1" t="s">
        <v>17</v>
      </c>
    </row>
    <row r="3" spans="1:6" x14ac:dyDescent="0.2">
      <c r="A3" s="53" t="s">
        <v>0</v>
      </c>
      <c r="B3" s="53"/>
      <c r="C3" s="53"/>
      <c r="D3" s="53"/>
      <c r="E3" s="74" t="s">
        <v>2</v>
      </c>
      <c r="F3" s="56"/>
    </row>
    <row r="4" spans="1:6" x14ac:dyDescent="0.2">
      <c r="A4" s="4"/>
      <c r="B4" s="54" t="s">
        <v>1</v>
      </c>
      <c r="C4" s="55"/>
      <c r="D4" s="4"/>
      <c r="E4" s="75" t="s">
        <v>35</v>
      </c>
      <c r="F4" s="48"/>
    </row>
    <row r="5" spans="1:6" x14ac:dyDescent="0.2">
      <c r="A5" s="23" t="s">
        <v>3</v>
      </c>
      <c r="B5" s="16" t="s">
        <v>43</v>
      </c>
      <c r="C5" s="16" t="s">
        <v>44</v>
      </c>
      <c r="D5" s="5" t="s">
        <v>4</v>
      </c>
      <c r="E5" s="12">
        <f>B6 - B13</f>
        <v>-2.4000000000000004</v>
      </c>
      <c r="F5" s="12">
        <f>C6 - C13</f>
        <v>2.4000000000000057</v>
      </c>
    </row>
    <row r="6" spans="1:6" x14ac:dyDescent="0.2">
      <c r="A6" s="14" t="s">
        <v>41</v>
      </c>
      <c r="B6" s="15">
        <v>12</v>
      </c>
      <c r="C6" s="15">
        <v>108</v>
      </c>
      <c r="D6" s="9">
        <f>SUM(B6:C6)</f>
        <v>120</v>
      </c>
      <c r="E6" s="12">
        <f>B7 - B14</f>
        <v>2.3999999999999986</v>
      </c>
      <c r="F6" s="12">
        <f>C7 - C14</f>
        <v>-2.4000000000000057</v>
      </c>
    </row>
    <row r="7" spans="1:6" x14ac:dyDescent="0.2">
      <c r="A7" s="14" t="s">
        <v>42</v>
      </c>
      <c r="B7" s="15">
        <v>24</v>
      </c>
      <c r="C7" s="15">
        <v>156</v>
      </c>
      <c r="D7" s="9">
        <f>SUM(B7:C7)</f>
        <v>180</v>
      </c>
    </row>
    <row r="8" spans="1:6" x14ac:dyDescent="0.2">
      <c r="A8" s="6" t="s">
        <v>4</v>
      </c>
      <c r="B8" s="9">
        <f>SUM(B6:B7)</f>
        <v>36</v>
      </c>
      <c r="C8" s="9">
        <f>SUM(C6:C7)</f>
        <v>264</v>
      </c>
      <c r="D8" s="9">
        <f>SUM(B8:C8)</f>
        <v>300</v>
      </c>
    </row>
    <row r="10" spans="1:6" x14ac:dyDescent="0.2">
      <c r="A10" s="57" t="s">
        <v>7</v>
      </c>
      <c r="B10" s="57"/>
      <c r="C10" s="57"/>
      <c r="D10" s="57"/>
    </row>
    <row r="11" spans="1:6" x14ac:dyDescent="0.2">
      <c r="A11" s="4"/>
      <c r="B11" s="58" t="str">
        <f>B4</f>
        <v>Hotel</v>
      </c>
      <c r="C11" s="59"/>
      <c r="D11" s="9"/>
      <c r="E11" s="75" t="s">
        <v>36</v>
      </c>
      <c r="F11" s="48"/>
    </row>
    <row r="12" spans="1:6" x14ac:dyDescent="0.2">
      <c r="A12" s="5" t="str">
        <f>A5</f>
        <v>Choose Again?</v>
      </c>
      <c r="B12" s="10" t="str">
        <f>B5</f>
        <v>Left</v>
      </c>
      <c r="C12" s="10" t="str">
        <f>C5</f>
        <v>Right</v>
      </c>
      <c r="D12" s="10" t="s">
        <v>4</v>
      </c>
      <c r="E12" s="12">
        <f>E5^2/B13</f>
        <v>0.40000000000000008</v>
      </c>
      <c r="F12" s="12">
        <f>F5^2/C13</f>
        <v>5.4545454545454806E-2</v>
      </c>
    </row>
    <row r="13" spans="1:6" x14ac:dyDescent="0.2">
      <c r="A13" s="6" t="str">
        <f>A6</f>
        <v>Female</v>
      </c>
      <c r="B13" s="11">
        <f>$D6 * B$8/$D$8</f>
        <v>14.4</v>
      </c>
      <c r="C13" s="11">
        <f>$D6 * C$8/$D$8</f>
        <v>105.6</v>
      </c>
      <c r="D13" s="9">
        <f>SUM(B13:C13)</f>
        <v>120</v>
      </c>
      <c r="E13" s="12">
        <f>E6^2/B14</f>
        <v>0.26666666666666633</v>
      </c>
      <c r="F13" s="12">
        <f>F6^2/C14</f>
        <v>3.6363636363636535E-2</v>
      </c>
    </row>
    <row r="14" spans="1:6" x14ac:dyDescent="0.2">
      <c r="A14" s="6" t="str">
        <f>A7</f>
        <v>Male</v>
      </c>
      <c r="B14" s="11">
        <f>$D7 * B$8/$D$8</f>
        <v>21.6</v>
      </c>
      <c r="C14" s="11">
        <f>$D7 * C$8/$D$8</f>
        <v>158.4</v>
      </c>
      <c r="D14" s="9">
        <f>SUM(B14:C14)</f>
        <v>180</v>
      </c>
    </row>
    <row r="15" spans="1:6" x14ac:dyDescent="0.2">
      <c r="A15" s="6" t="s">
        <v>4</v>
      </c>
      <c r="B15" s="9">
        <f>SUM(B13:B14)</f>
        <v>36</v>
      </c>
      <c r="C15" s="9">
        <f>SUM(C13:C14)</f>
        <v>264</v>
      </c>
      <c r="D15" s="9">
        <f>SUM(B15:C15)</f>
        <v>300</v>
      </c>
    </row>
    <row r="17" spans="1:2" x14ac:dyDescent="0.2">
      <c r="A17" s="49" t="s">
        <v>8</v>
      </c>
      <c r="B17" s="49"/>
    </row>
    <row r="18" spans="1:2" x14ac:dyDescent="0.2">
      <c r="A18" s="17" t="s">
        <v>9</v>
      </c>
      <c r="B18" s="15">
        <v>0.05</v>
      </c>
    </row>
    <row r="19" spans="1:2" x14ac:dyDescent="0.2">
      <c r="A19" s="7" t="s">
        <v>10</v>
      </c>
      <c r="B19" s="7">
        <v>2</v>
      </c>
    </row>
    <row r="20" spans="1:2" x14ac:dyDescent="0.2">
      <c r="A20" s="7" t="s">
        <v>11</v>
      </c>
      <c r="B20" s="7">
        <v>2</v>
      </c>
    </row>
    <row r="21" spans="1:2" x14ac:dyDescent="0.2">
      <c r="A21" s="7" t="s">
        <v>12</v>
      </c>
      <c r="B21" s="7">
        <f>(B19 - 1) * (B20 - 1)</f>
        <v>1</v>
      </c>
    </row>
    <row r="23" spans="1:2" x14ac:dyDescent="0.2">
      <c r="A23" s="50" t="s">
        <v>13</v>
      </c>
      <c r="B23" s="50"/>
    </row>
    <row r="24" spans="1:2" x14ac:dyDescent="0.2">
      <c r="A24" s="18" t="s">
        <v>14</v>
      </c>
      <c r="B24" s="19">
        <f>_xlfn.CHISQ.INV.RT(B18, B21)</f>
        <v>3.8414588206941236</v>
      </c>
    </row>
    <row r="25" spans="1:2" x14ac:dyDescent="0.2">
      <c r="A25" s="18" t="s">
        <v>15</v>
      </c>
      <c r="B25" s="19">
        <f>SUM(E12:F13)</f>
        <v>0.75757575757575768</v>
      </c>
    </row>
    <row r="26" spans="1:2" x14ac:dyDescent="0.2">
      <c r="A26" s="20" t="s">
        <v>38</v>
      </c>
      <c r="B26" s="19">
        <f>_xlfn.CHISQ.DIST.RT(B25, B21)</f>
        <v>0.38408824947385201</v>
      </c>
    </row>
    <row r="27" spans="1:2" x14ac:dyDescent="0.2">
      <c r="A27" s="51" t="str">
        <f>IF(B26 &lt; B18, "Reject the null hypothesis", "Do not reject the null hypothesis")</f>
        <v>Do not reject the null hypothesis</v>
      </c>
      <c r="B27" s="52"/>
    </row>
    <row r="29" spans="1:2" x14ac:dyDescent="0.2">
      <c r="A29" s="8" t="s">
        <v>16</v>
      </c>
    </row>
    <row r="30" spans="1:2" x14ac:dyDescent="0.2">
      <c r="A30" s="8" t="str">
        <f>IF(OR(B13&lt;1, C13&lt;1, B14&lt;1, C14&lt;1), "       is violated.", "       is met.")</f>
        <v xml:space="preserve">       is met.</v>
      </c>
    </row>
  </sheetData>
  <mergeCells count="10">
    <mergeCell ref="A17:B17"/>
    <mergeCell ref="A23:B23"/>
    <mergeCell ref="A27:B27"/>
    <mergeCell ref="A3:D3"/>
    <mergeCell ref="B4:C4"/>
    <mergeCell ref="A10:D10"/>
    <mergeCell ref="B11:C11"/>
    <mergeCell ref="E3:F3"/>
    <mergeCell ref="E4:F4"/>
    <mergeCell ref="E11:F11"/>
  </mergeCells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CA2CC-36A8-431D-AD84-23BDE11ACA6C}">
  <sheetPr>
    <tabColor theme="0"/>
  </sheetPr>
  <dimension ref="A1:E6"/>
  <sheetViews>
    <sheetView workbookViewId="0">
      <selection activeCell="A3" sqref="A3:E6"/>
    </sheetView>
  </sheetViews>
  <sheetFormatPr baseColWidth="10" defaultColWidth="8.83203125" defaultRowHeight="13" x14ac:dyDescent="0.15"/>
  <sheetData>
    <row r="1" spans="1:5" x14ac:dyDescent="0.15">
      <c r="A1" t="s">
        <v>45</v>
      </c>
    </row>
    <row r="2" spans="1:5" x14ac:dyDescent="0.15">
      <c r="B2" s="46" t="s">
        <v>47</v>
      </c>
      <c r="C2" s="47"/>
      <c r="D2" s="27"/>
    </row>
    <row r="3" spans="1:5" x14ac:dyDescent="0.15">
      <c r="A3" s="28" t="s">
        <v>48</v>
      </c>
      <c r="B3" s="29" t="s">
        <v>51</v>
      </c>
      <c r="C3" s="28" t="s">
        <v>52</v>
      </c>
      <c r="D3" s="28" t="s">
        <v>53</v>
      </c>
      <c r="E3" s="29" t="s">
        <v>4</v>
      </c>
    </row>
    <row r="4" spans="1:5" x14ac:dyDescent="0.15">
      <c r="A4" s="30" t="s">
        <v>49</v>
      </c>
      <c r="B4" s="25">
        <v>63</v>
      </c>
      <c r="C4">
        <v>20</v>
      </c>
      <c r="D4">
        <v>37</v>
      </c>
      <c r="E4" s="25">
        <f>SUM(B4:D4)</f>
        <v>120</v>
      </c>
    </row>
    <row r="5" spans="1:5" x14ac:dyDescent="0.15">
      <c r="A5" s="28" t="s">
        <v>50</v>
      </c>
      <c r="B5" s="26">
        <v>37</v>
      </c>
      <c r="C5" s="24">
        <v>30</v>
      </c>
      <c r="D5" s="24">
        <v>13</v>
      </c>
      <c r="E5" s="26">
        <f t="shared" ref="E5:E6" si="0">SUM(B5:D5)</f>
        <v>80</v>
      </c>
    </row>
    <row r="6" spans="1:5" x14ac:dyDescent="0.15">
      <c r="A6" s="30" t="s">
        <v>4</v>
      </c>
      <c r="B6" s="25">
        <f>SUM(B4:B5)</f>
        <v>100</v>
      </c>
      <c r="C6">
        <f>SUM(C4:C5)</f>
        <v>50</v>
      </c>
      <c r="D6">
        <f>SUM(D4:D5)</f>
        <v>50</v>
      </c>
      <c r="E6" s="25">
        <f t="shared" si="0"/>
        <v>200</v>
      </c>
    </row>
  </sheetData>
  <mergeCells count="1">
    <mergeCell ref="B2:C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30"/>
  <sheetViews>
    <sheetView workbookViewId="0">
      <selection activeCell="N25" sqref="N25"/>
    </sheetView>
  </sheetViews>
  <sheetFormatPr baseColWidth="10" defaultColWidth="9.1640625" defaultRowHeight="15" x14ac:dyDescent="0.2"/>
  <cols>
    <col min="1" max="1" width="23.5" style="2" bestFit="1" customWidth="1"/>
    <col min="2" max="2" width="12.83203125" style="2" customWidth="1"/>
    <col min="3" max="3" width="13.33203125" style="2" customWidth="1"/>
    <col min="4" max="4" width="14.5" style="2" customWidth="1"/>
    <col min="5" max="5" width="9.1640625" style="2"/>
    <col min="6" max="6" width="2.33203125" style="2" customWidth="1"/>
    <col min="7" max="16384" width="9.1640625" style="2"/>
  </cols>
  <sheetData>
    <row r="1" spans="1:9" x14ac:dyDescent="0.2">
      <c r="A1" s="1" t="s">
        <v>17</v>
      </c>
    </row>
    <row r="3" spans="1:9" x14ac:dyDescent="0.2">
      <c r="A3" s="53" t="s">
        <v>0</v>
      </c>
      <c r="B3" s="53"/>
      <c r="C3" s="53"/>
      <c r="D3" s="53"/>
      <c r="E3" s="53"/>
    </row>
    <row r="4" spans="1:9" x14ac:dyDescent="0.2">
      <c r="A4" s="4"/>
      <c r="B4" s="54" t="s">
        <v>1</v>
      </c>
      <c r="C4" s="55"/>
      <c r="D4" s="60"/>
      <c r="E4" s="4"/>
      <c r="G4" s="56" t="s">
        <v>2</v>
      </c>
      <c r="H4" s="56"/>
      <c r="I4" s="56"/>
    </row>
    <row r="5" spans="1:9" x14ac:dyDescent="0.2">
      <c r="A5" s="28" t="s">
        <v>48</v>
      </c>
      <c r="B5" s="29" t="s">
        <v>51</v>
      </c>
      <c r="C5" s="28" t="s">
        <v>52</v>
      </c>
      <c r="D5" s="28" t="s">
        <v>53</v>
      </c>
      <c r="E5" s="29" t="s">
        <v>4</v>
      </c>
      <c r="G5" s="48" t="s">
        <v>35</v>
      </c>
      <c r="H5" s="48"/>
      <c r="I5" s="48"/>
    </row>
    <row r="6" spans="1:9" x14ac:dyDescent="0.2">
      <c r="A6" s="30" t="s">
        <v>49</v>
      </c>
      <c r="B6" s="25">
        <v>63</v>
      </c>
      <c r="C6">
        <v>20</v>
      </c>
      <c r="D6">
        <v>37</v>
      </c>
      <c r="E6" s="25">
        <f>SUM(B6:D6)</f>
        <v>120</v>
      </c>
      <c r="G6" s="12">
        <f t="shared" ref="G6:I7" si="0">B6 - B13</f>
        <v>3</v>
      </c>
      <c r="H6" s="12">
        <f t="shared" si="0"/>
        <v>-10</v>
      </c>
      <c r="I6" s="2">
        <f t="shared" si="0"/>
        <v>7</v>
      </c>
    </row>
    <row r="7" spans="1:9" x14ac:dyDescent="0.2">
      <c r="A7" s="28" t="s">
        <v>50</v>
      </c>
      <c r="B7" s="26">
        <v>37</v>
      </c>
      <c r="C7" s="24">
        <v>30</v>
      </c>
      <c r="D7" s="24">
        <v>13</v>
      </c>
      <c r="E7" s="26">
        <f t="shared" ref="E7:E8" si="1">SUM(B7:D7)</f>
        <v>80</v>
      </c>
      <c r="G7" s="12">
        <f t="shared" si="0"/>
        <v>-3</v>
      </c>
      <c r="H7" s="12">
        <f t="shared" si="0"/>
        <v>10</v>
      </c>
      <c r="I7" s="2">
        <f t="shared" si="0"/>
        <v>-7</v>
      </c>
    </row>
    <row r="8" spans="1:9" x14ac:dyDescent="0.2">
      <c r="A8" s="30" t="s">
        <v>4</v>
      </c>
      <c r="B8" s="25">
        <f>SUM(B6:B7)</f>
        <v>100</v>
      </c>
      <c r="C8">
        <f>SUM(C6:C7)</f>
        <v>50</v>
      </c>
      <c r="D8">
        <f>SUM(D6:D7)</f>
        <v>50</v>
      </c>
      <c r="E8" s="25">
        <f t="shared" si="1"/>
        <v>200</v>
      </c>
    </row>
    <row r="10" spans="1:9" x14ac:dyDescent="0.2">
      <c r="A10" s="57" t="s">
        <v>7</v>
      </c>
      <c r="B10" s="57"/>
      <c r="C10" s="57"/>
      <c r="D10" s="57"/>
      <c r="E10" s="57"/>
    </row>
    <row r="11" spans="1:9" x14ac:dyDescent="0.2">
      <c r="A11" s="4"/>
      <c r="B11" s="58" t="str">
        <f>B4</f>
        <v>Hotel</v>
      </c>
      <c r="C11" s="59"/>
      <c r="D11" s="61"/>
      <c r="E11" s="9"/>
    </row>
    <row r="12" spans="1:9" x14ac:dyDescent="0.2">
      <c r="A12" s="5" t="str">
        <f>A5</f>
        <v>Opinion</v>
      </c>
      <c r="B12" s="10" t="str">
        <f>B5</f>
        <v>Admin</v>
      </c>
      <c r="C12" s="10" t="str">
        <f>C5</f>
        <v>Students</v>
      </c>
      <c r="D12" s="10" t="str">
        <f>D5</f>
        <v>Faculty</v>
      </c>
      <c r="E12" s="10" t="s">
        <v>4</v>
      </c>
      <c r="G12" s="48" t="s">
        <v>36</v>
      </c>
      <c r="H12" s="48"/>
      <c r="I12" s="48"/>
    </row>
    <row r="13" spans="1:9" x14ac:dyDescent="0.2">
      <c r="A13" s="6" t="str">
        <f>A6</f>
        <v>Favor</v>
      </c>
      <c r="B13" s="11">
        <f>$E6 * B$8/$E$8</f>
        <v>60</v>
      </c>
      <c r="C13" s="11">
        <f t="shared" ref="B13:D14" si="2">$E6 * C$8/$E$8</f>
        <v>30</v>
      </c>
      <c r="D13" s="9">
        <f t="shared" si="2"/>
        <v>30</v>
      </c>
      <c r="E13" s="9">
        <f>SUM(B13:D13)</f>
        <v>120</v>
      </c>
      <c r="G13" s="12">
        <f t="shared" ref="G13:I14" si="3">G6^2/B13</f>
        <v>0.15</v>
      </c>
      <c r="H13" s="12">
        <f t="shared" si="3"/>
        <v>3.3333333333333335</v>
      </c>
      <c r="I13" s="12">
        <f t="shared" si="3"/>
        <v>1.6333333333333333</v>
      </c>
    </row>
    <row r="14" spans="1:9" x14ac:dyDescent="0.2">
      <c r="A14" s="6" t="str">
        <f>A7</f>
        <v>Oppose</v>
      </c>
      <c r="B14" s="11">
        <f t="shared" si="2"/>
        <v>40</v>
      </c>
      <c r="C14" s="11">
        <f t="shared" si="2"/>
        <v>20</v>
      </c>
      <c r="D14" s="9">
        <f t="shared" si="2"/>
        <v>20</v>
      </c>
      <c r="E14" s="9">
        <f>SUM(B14:D14)</f>
        <v>80</v>
      </c>
      <c r="G14" s="12">
        <f t="shared" si="3"/>
        <v>0.22500000000000001</v>
      </c>
      <c r="H14" s="12">
        <f t="shared" si="3"/>
        <v>5</v>
      </c>
      <c r="I14" s="12">
        <f t="shared" si="3"/>
        <v>2.4500000000000002</v>
      </c>
    </row>
    <row r="15" spans="1:9" x14ac:dyDescent="0.2">
      <c r="A15" s="6" t="s">
        <v>4</v>
      </c>
      <c r="B15" s="9">
        <f>SUM(B13:B14)</f>
        <v>100</v>
      </c>
      <c r="C15" s="9">
        <f>SUM(C13:C14)</f>
        <v>50</v>
      </c>
      <c r="D15" s="9">
        <f>SUM(D13:D14)</f>
        <v>50</v>
      </c>
      <c r="E15" s="9">
        <f>SUM(B15:D15)</f>
        <v>200</v>
      </c>
    </row>
    <row r="17" spans="1:4" x14ac:dyDescent="0.2">
      <c r="A17" s="49" t="s">
        <v>8</v>
      </c>
      <c r="B17" s="49"/>
    </row>
    <row r="18" spans="1:4" x14ac:dyDescent="0.2">
      <c r="A18" s="17" t="s">
        <v>9</v>
      </c>
      <c r="B18" s="15">
        <v>0.05</v>
      </c>
    </row>
    <row r="19" spans="1:4" x14ac:dyDescent="0.2">
      <c r="A19" s="7" t="s">
        <v>10</v>
      </c>
      <c r="B19" s="7">
        <v>2</v>
      </c>
    </row>
    <row r="20" spans="1:4" x14ac:dyDescent="0.2">
      <c r="A20" s="7" t="s">
        <v>11</v>
      </c>
      <c r="B20" s="7">
        <v>3</v>
      </c>
    </row>
    <row r="21" spans="1:4" x14ac:dyDescent="0.2">
      <c r="A21" s="7" t="s">
        <v>12</v>
      </c>
      <c r="B21" s="7">
        <f>(B19 - 1) * (B20 - 1)</f>
        <v>2</v>
      </c>
    </row>
    <row r="23" spans="1:4" x14ac:dyDescent="0.2">
      <c r="A23" s="50" t="s">
        <v>13</v>
      </c>
      <c r="B23" s="50"/>
      <c r="D23" s="1"/>
    </row>
    <row r="24" spans="1:4" x14ac:dyDescent="0.2">
      <c r="A24" s="18" t="s">
        <v>14</v>
      </c>
      <c r="B24" s="19">
        <f>_xlfn.CHISQ.INV.RT(B18, B21)</f>
        <v>5.9914645471079817</v>
      </c>
    </row>
    <row r="25" spans="1:4" x14ac:dyDescent="0.2">
      <c r="A25" s="18" t="s">
        <v>15</v>
      </c>
      <c r="B25" s="19">
        <f>SUM(G13:I14)</f>
        <v>12.791666666666668</v>
      </c>
    </row>
    <row r="26" spans="1:4" x14ac:dyDescent="0.2">
      <c r="A26" s="20" t="s">
        <v>38</v>
      </c>
      <c r="B26" s="19">
        <f>_xlfn.CHISQ.DIST.RT(B25, B21)</f>
        <v>1.6684948717722058E-3</v>
      </c>
    </row>
    <row r="27" spans="1:4" x14ac:dyDescent="0.2">
      <c r="A27" s="51" t="str">
        <f>IF(B26 &lt; B18, "Reject the null hypothesis", "Do not reject the null hypothesis")</f>
        <v>Reject the null hypothesis</v>
      </c>
      <c r="B27" s="52"/>
    </row>
    <row r="29" spans="1:4" x14ac:dyDescent="0.2">
      <c r="A29" s="8" t="s">
        <v>16</v>
      </c>
    </row>
    <row r="30" spans="1:4" x14ac:dyDescent="0.2">
      <c r="A30" s="8" t="str">
        <f>IF(OR(B13&lt;1, C13&lt;1, D13&lt;1, B14&lt;1, C14&lt;1, D14&lt;1), "       is violated.", "       is met.")</f>
        <v xml:space="preserve">       is met.</v>
      </c>
    </row>
  </sheetData>
  <mergeCells count="10">
    <mergeCell ref="A23:B23"/>
    <mergeCell ref="A27:B27"/>
    <mergeCell ref="A3:E3"/>
    <mergeCell ref="B4:D4"/>
    <mergeCell ref="G5:I5"/>
    <mergeCell ref="A10:E10"/>
    <mergeCell ref="B11:D11"/>
    <mergeCell ref="G12:I12"/>
    <mergeCell ref="A17:B17"/>
    <mergeCell ref="G4:I4"/>
  </mergeCells>
  <pageMargins left="0.75" right="0.75" top="1" bottom="1" header="0.5" footer="0.5"/>
  <pageSetup orientation="portrait" horizontalDpi="300" verticalDpi="300" r:id="rId1"/>
  <headerFooter alignWithMargins="0"/>
  <ignoredErrors>
    <ignoredError sqref="A12:A14" unlocked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rgb="FF92D050"/>
  </sheetPr>
  <dimension ref="A1:D16"/>
  <sheetViews>
    <sheetView workbookViewId="0">
      <selection activeCell="M12" sqref="M12"/>
    </sheetView>
  </sheetViews>
  <sheetFormatPr baseColWidth="10" defaultColWidth="9.1640625" defaultRowHeight="15" x14ac:dyDescent="0.2"/>
  <cols>
    <col min="1" max="1" width="26.6640625" style="2" customWidth="1"/>
    <col min="2" max="2" width="19.83203125" style="2" customWidth="1"/>
    <col min="3" max="3" width="11.5" style="2" bestFit="1" customWidth="1"/>
    <col min="4" max="4" width="12.1640625" style="2" bestFit="1" customWidth="1"/>
    <col min="5" max="16384" width="9.1640625" style="2"/>
  </cols>
  <sheetData>
    <row r="1" spans="1:4" x14ac:dyDescent="0.2">
      <c r="A1" s="1" t="s">
        <v>37</v>
      </c>
    </row>
    <row r="2" spans="1:4" x14ac:dyDescent="0.2">
      <c r="A2" s="1"/>
    </row>
    <row r="3" spans="1:4" x14ac:dyDescent="0.2">
      <c r="A3" s="7" t="s">
        <v>9</v>
      </c>
      <c r="B3" s="7">
        <f>ChiSquare2x3!B18</f>
        <v>0.05</v>
      </c>
    </row>
    <row r="4" spans="1:4" x14ac:dyDescent="0.2">
      <c r="A4" s="7" t="s">
        <v>20</v>
      </c>
      <c r="B4" s="13">
        <f>SQRT(ChiSquare2x3!B24)</f>
        <v>2.4477468306808166</v>
      </c>
    </row>
    <row r="6" spans="1:4" x14ac:dyDescent="0.2">
      <c r="A6" s="62" t="s">
        <v>39</v>
      </c>
      <c r="B6" s="62"/>
    </row>
    <row r="7" spans="1:4" x14ac:dyDescent="0.2">
      <c r="A7" s="7" t="str">
        <f>"1: " &amp; ChiSquare2x3!B5</f>
        <v>1: Admin</v>
      </c>
      <c r="B7" s="13">
        <f>ChiSquare2x3!B6/ChiSquare2x3!B8</f>
        <v>0.63</v>
      </c>
    </row>
    <row r="8" spans="1:4" x14ac:dyDescent="0.2">
      <c r="A8" s="7" t="str">
        <f>"2: " &amp; ChiSquare2x3!C5</f>
        <v>2: Students</v>
      </c>
      <c r="B8" s="13">
        <f>ChiSquare2x3!C6/ChiSquare2x3!C8</f>
        <v>0.4</v>
      </c>
    </row>
    <row r="9" spans="1:4" x14ac:dyDescent="0.2">
      <c r="A9" s="7" t="str">
        <f>"3: " &amp; ChiSquare2x3!D5</f>
        <v>3: Faculty</v>
      </c>
      <c r="B9" s="13">
        <f>ChiSquare2x3!D6/ChiSquare2x3!D8</f>
        <v>0.74</v>
      </c>
    </row>
    <row r="11" spans="1:4" x14ac:dyDescent="0.2">
      <c r="A11" s="50" t="s">
        <v>21</v>
      </c>
      <c r="B11" s="50"/>
      <c r="C11" s="50"/>
    </row>
    <row r="12" spans="1:4" x14ac:dyDescent="0.2">
      <c r="A12" s="18" t="s">
        <v>22</v>
      </c>
      <c r="B12" s="18" t="s">
        <v>23</v>
      </c>
      <c r="C12" s="18" t="s">
        <v>24</v>
      </c>
    </row>
    <row r="13" spans="1:4" x14ac:dyDescent="0.2">
      <c r="A13" s="18" t="s">
        <v>25</v>
      </c>
      <c r="B13" s="19">
        <f>ABS(B7 - B8)</f>
        <v>0.22999999999999998</v>
      </c>
      <c r="C13" s="19">
        <f>B4 * SQRT(B7 * (1 - B7)/ChiSquare2x3!B8 + B8 * (1 - B8)/ChiSquare2x3!C8)</f>
        <v>0.20670058946560124</v>
      </c>
      <c r="D13" s="19" t="str">
        <f>IF(B13 &gt; C13, "Significant", "Not significant")</f>
        <v>Significant</v>
      </c>
    </row>
    <row r="14" spans="1:4" x14ac:dyDescent="0.2">
      <c r="A14" s="18" t="s">
        <v>26</v>
      </c>
      <c r="B14" s="19">
        <f>ABS(B7 - B9)</f>
        <v>0.10999999999999999</v>
      </c>
      <c r="C14" s="19">
        <f>B4 * SQRT(B7 * (1 - B7)/ChiSquare2x3!B8 + B9 * (1 - B9)/ChiSquare2x3!D8)</f>
        <v>0.19240909395499015</v>
      </c>
      <c r="D14" s="19" t="str">
        <f>IF(B14 &gt; C14, "Significant", "Not significant")</f>
        <v>Not significant</v>
      </c>
    </row>
    <row r="15" spans="1:4" x14ac:dyDescent="0.2">
      <c r="B15" s="12"/>
      <c r="C15" s="12"/>
    </row>
    <row r="16" spans="1:4" x14ac:dyDescent="0.2">
      <c r="A16" s="18" t="s">
        <v>27</v>
      </c>
      <c r="B16" s="19">
        <f>ABS(B8 - B9)</f>
        <v>0.33999999999999997</v>
      </c>
      <c r="C16" s="19">
        <f>B4 * SQRT(B8 * (1 - B8)/ChiSquare2x3!C8 + B9 * (1 - B9)/ChiSquare2x3!D8)</f>
        <v>0.22762729494370798</v>
      </c>
      <c r="D16" s="19" t="str">
        <f>IF(B16 &gt; C16, "Significant", "Not significant")</f>
        <v>Significant</v>
      </c>
    </row>
  </sheetData>
  <mergeCells count="2">
    <mergeCell ref="A6:B6"/>
    <mergeCell ref="A11:C11"/>
  </mergeCells>
  <phoneticPr fontId="1" type="noConversion"/>
  <pageMargins left="0.75" right="0.75" top="1" bottom="1" header="0.5" footer="0.5"/>
  <pageSetup orientation="portrait" horizontalDpi="0" verticalDpi="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7E0F3-8089-402C-A011-7F43167DA0BE}">
  <sheetPr>
    <tabColor theme="0"/>
  </sheetPr>
  <dimension ref="A1:E8"/>
  <sheetViews>
    <sheetView workbookViewId="0">
      <selection activeCell="A3" sqref="A3:E8"/>
    </sheetView>
  </sheetViews>
  <sheetFormatPr baseColWidth="10" defaultColWidth="8.83203125" defaultRowHeight="13" x14ac:dyDescent="0.15"/>
  <sheetData>
    <row r="1" spans="1:5" x14ac:dyDescent="0.15">
      <c r="A1" t="s">
        <v>45</v>
      </c>
    </row>
    <row r="2" spans="1:5" x14ac:dyDescent="0.15">
      <c r="B2" s="46" t="s">
        <v>47</v>
      </c>
      <c r="C2" s="47"/>
      <c r="D2" s="27"/>
    </row>
    <row r="3" spans="1:5" x14ac:dyDescent="0.15">
      <c r="A3" s="28" t="s">
        <v>54</v>
      </c>
      <c r="B3" s="29" t="s">
        <v>51</v>
      </c>
      <c r="C3" s="28" t="s">
        <v>52</v>
      </c>
      <c r="D3" s="28" t="s">
        <v>53</v>
      </c>
      <c r="E3" s="29" t="s">
        <v>4</v>
      </c>
    </row>
    <row r="4" spans="1:5" x14ac:dyDescent="0.15">
      <c r="A4" s="30" t="s">
        <v>55</v>
      </c>
      <c r="B4" s="25">
        <v>24</v>
      </c>
      <c r="C4">
        <v>32</v>
      </c>
      <c r="D4">
        <v>14</v>
      </c>
      <c r="E4" s="25">
        <f>SUM(B4:D4)</f>
        <v>70</v>
      </c>
    </row>
    <row r="5" spans="1:5" x14ac:dyDescent="0.15">
      <c r="A5" s="30" t="s">
        <v>56</v>
      </c>
      <c r="B5" s="25">
        <v>22</v>
      </c>
      <c r="C5">
        <v>26</v>
      </c>
      <c r="D5">
        <v>12</v>
      </c>
      <c r="E5" s="25">
        <f t="shared" ref="E5:E8" si="0">SUM(B5:D5)</f>
        <v>60</v>
      </c>
    </row>
    <row r="6" spans="1:5" x14ac:dyDescent="0.15">
      <c r="A6" s="30" t="s">
        <v>57</v>
      </c>
      <c r="B6" s="25">
        <v>10</v>
      </c>
      <c r="C6">
        <v>14</v>
      </c>
      <c r="D6">
        <v>6</v>
      </c>
      <c r="E6" s="25">
        <f t="shared" si="0"/>
        <v>30</v>
      </c>
    </row>
    <row r="7" spans="1:5" x14ac:dyDescent="0.15">
      <c r="A7" s="28" t="s">
        <v>58</v>
      </c>
      <c r="B7" s="26">
        <v>14</v>
      </c>
      <c r="C7" s="24">
        <v>16</v>
      </c>
      <c r="D7" s="24">
        <v>10</v>
      </c>
      <c r="E7" s="26">
        <f t="shared" si="0"/>
        <v>40</v>
      </c>
    </row>
    <row r="8" spans="1:5" x14ac:dyDescent="0.15">
      <c r="A8" s="30" t="s">
        <v>4</v>
      </c>
      <c r="B8" s="25">
        <f>SUM(B4:B7)</f>
        <v>70</v>
      </c>
      <c r="C8">
        <f t="shared" ref="C8:D8" si="1">SUM(C4:C7)</f>
        <v>88</v>
      </c>
      <c r="D8">
        <f t="shared" si="1"/>
        <v>42</v>
      </c>
      <c r="E8" s="25">
        <f t="shared" si="0"/>
        <v>200</v>
      </c>
    </row>
  </sheetData>
  <mergeCells count="1">
    <mergeCell ref="B2:C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0">
    <tabColor rgb="FFFF0000"/>
  </sheetPr>
  <dimension ref="A1:I34"/>
  <sheetViews>
    <sheetView workbookViewId="0">
      <selection activeCell="O35" sqref="O35"/>
    </sheetView>
  </sheetViews>
  <sheetFormatPr baseColWidth="10" defaultColWidth="9.1640625" defaultRowHeight="15" x14ac:dyDescent="0.2"/>
  <cols>
    <col min="1" max="1" width="23.5" style="2" bestFit="1" customWidth="1"/>
    <col min="2" max="3" width="12.33203125" style="2" bestFit="1" customWidth="1"/>
    <col min="4" max="4" width="13.6640625" style="2" bestFit="1" customWidth="1"/>
    <col min="5" max="5" width="9.1640625" style="2"/>
    <col min="6" max="6" width="4.6640625" style="2" customWidth="1"/>
    <col min="7" max="16384" width="9.1640625" style="2"/>
  </cols>
  <sheetData>
    <row r="1" spans="1:9" x14ac:dyDescent="0.2">
      <c r="A1" s="1" t="s">
        <v>40</v>
      </c>
    </row>
    <row r="3" spans="1:9" x14ac:dyDescent="0.2">
      <c r="A3" s="53" t="s">
        <v>0</v>
      </c>
      <c r="B3" s="53"/>
      <c r="C3" s="53"/>
      <c r="D3" s="53"/>
      <c r="E3" s="53"/>
    </row>
    <row r="4" spans="1:9" x14ac:dyDescent="0.2">
      <c r="A4" s="22"/>
      <c r="B4" s="63" t="s">
        <v>1</v>
      </c>
      <c r="C4" s="64"/>
      <c r="D4" s="65"/>
      <c r="E4" s="4"/>
      <c r="G4" s="56" t="s">
        <v>2</v>
      </c>
      <c r="H4" s="56"/>
      <c r="I4" s="56"/>
    </row>
    <row r="5" spans="1:9" x14ac:dyDescent="0.2">
      <c r="A5" s="28" t="s">
        <v>54</v>
      </c>
      <c r="B5" s="29" t="s">
        <v>51</v>
      </c>
      <c r="C5" s="28" t="s">
        <v>52</v>
      </c>
      <c r="D5" s="28" t="s">
        <v>53</v>
      </c>
      <c r="E5" s="29" t="s">
        <v>4</v>
      </c>
      <c r="G5" s="48" t="s">
        <v>35</v>
      </c>
      <c r="H5" s="48"/>
      <c r="I5" s="48"/>
    </row>
    <row r="6" spans="1:9" x14ac:dyDescent="0.2">
      <c r="A6" s="30" t="s">
        <v>55</v>
      </c>
      <c r="B6" s="25">
        <v>24</v>
      </c>
      <c r="C6">
        <v>32</v>
      </c>
      <c r="D6">
        <v>14</v>
      </c>
      <c r="E6" s="25">
        <f>SUM(B6:D6)</f>
        <v>70</v>
      </c>
      <c r="G6" s="12">
        <f t="shared" ref="G6:I9" si="0">B6 - B15</f>
        <v>-0.5</v>
      </c>
      <c r="H6" s="12">
        <f t="shared" si="0"/>
        <v>1.1999999999999993</v>
      </c>
      <c r="I6" s="12">
        <f t="shared" si="0"/>
        <v>-0.69999999999999929</v>
      </c>
    </row>
    <row r="7" spans="1:9" x14ac:dyDescent="0.2">
      <c r="A7" s="30" t="s">
        <v>56</v>
      </c>
      <c r="B7" s="25">
        <v>22</v>
      </c>
      <c r="C7">
        <v>26</v>
      </c>
      <c r="D7">
        <v>12</v>
      </c>
      <c r="E7" s="25">
        <f t="shared" ref="E7:E10" si="1">SUM(B7:D7)</f>
        <v>60</v>
      </c>
      <c r="G7" s="12">
        <f t="shared" si="0"/>
        <v>1</v>
      </c>
      <c r="H7" s="12">
        <f t="shared" si="0"/>
        <v>-0.39999999999999858</v>
      </c>
      <c r="I7" s="12">
        <f t="shared" si="0"/>
        <v>-0.59999999999999964</v>
      </c>
    </row>
    <row r="8" spans="1:9" x14ac:dyDescent="0.2">
      <c r="A8" s="30" t="s">
        <v>57</v>
      </c>
      <c r="B8" s="25">
        <v>10</v>
      </c>
      <c r="C8">
        <v>14</v>
      </c>
      <c r="D8">
        <v>6</v>
      </c>
      <c r="E8" s="25">
        <f t="shared" si="1"/>
        <v>30</v>
      </c>
      <c r="G8" s="12">
        <f t="shared" si="0"/>
        <v>-0.5</v>
      </c>
      <c r="H8" s="12">
        <f t="shared" si="0"/>
        <v>0.80000000000000071</v>
      </c>
      <c r="I8" s="12">
        <f t="shared" si="0"/>
        <v>-0.29999999999999982</v>
      </c>
    </row>
    <row r="9" spans="1:9" x14ac:dyDescent="0.2">
      <c r="A9" s="28" t="s">
        <v>58</v>
      </c>
      <c r="B9" s="26">
        <v>14</v>
      </c>
      <c r="C9" s="24">
        <v>16</v>
      </c>
      <c r="D9" s="24">
        <v>10</v>
      </c>
      <c r="E9" s="26">
        <f t="shared" si="1"/>
        <v>40</v>
      </c>
      <c r="G9" s="12">
        <f t="shared" si="0"/>
        <v>0</v>
      </c>
      <c r="H9" s="12">
        <f t="shared" si="0"/>
        <v>-1.6000000000000014</v>
      </c>
      <c r="I9" s="12">
        <f t="shared" si="0"/>
        <v>1.5999999999999996</v>
      </c>
    </row>
    <row r="10" spans="1:9" x14ac:dyDescent="0.2">
      <c r="A10" s="30" t="s">
        <v>4</v>
      </c>
      <c r="B10" s="25">
        <f>SUM(B6:B9)</f>
        <v>70</v>
      </c>
      <c r="C10">
        <f t="shared" ref="C10:D10" si="2">SUM(C6:C9)</f>
        <v>88</v>
      </c>
      <c r="D10">
        <f t="shared" si="2"/>
        <v>42</v>
      </c>
      <c r="E10" s="25">
        <f t="shared" si="1"/>
        <v>200</v>
      </c>
    </row>
    <row r="12" spans="1:9" x14ac:dyDescent="0.2">
      <c r="A12" s="57" t="s">
        <v>7</v>
      </c>
      <c r="B12" s="57"/>
      <c r="C12" s="57"/>
      <c r="D12" s="57"/>
      <c r="E12" s="57"/>
    </row>
    <row r="13" spans="1:9" x14ac:dyDescent="0.2">
      <c r="A13" s="4"/>
      <c r="B13" s="66" t="str">
        <f>B4</f>
        <v>Hotel</v>
      </c>
      <c r="C13" s="67"/>
      <c r="D13" s="68"/>
      <c r="E13" s="4"/>
    </row>
    <row r="14" spans="1:9" x14ac:dyDescent="0.2">
      <c r="A14" s="5" t="str">
        <f>A5</f>
        <v>Class</v>
      </c>
      <c r="B14" s="5" t="str">
        <f>B5</f>
        <v>Admin</v>
      </c>
      <c r="C14" s="5" t="str">
        <f>C5</f>
        <v>Students</v>
      </c>
      <c r="D14" s="5" t="str">
        <f>D5</f>
        <v>Faculty</v>
      </c>
      <c r="E14" s="5" t="s">
        <v>4</v>
      </c>
      <c r="G14" s="48" t="s">
        <v>36</v>
      </c>
      <c r="H14" s="48"/>
      <c r="I14" s="48"/>
    </row>
    <row r="15" spans="1:9" x14ac:dyDescent="0.2">
      <c r="A15" s="6" t="str">
        <f>A6</f>
        <v>Fresh</v>
      </c>
      <c r="B15" s="21">
        <f t="shared" ref="B15:D18" si="3">$E6 * B$10/$E$10</f>
        <v>24.5</v>
      </c>
      <c r="C15" s="21">
        <f t="shared" si="3"/>
        <v>30.8</v>
      </c>
      <c r="D15" s="21">
        <f t="shared" si="3"/>
        <v>14.7</v>
      </c>
      <c r="E15" s="4">
        <f>SUM(B15:D15)</f>
        <v>70</v>
      </c>
      <c r="G15" s="12">
        <f t="shared" ref="G15:I18" si="4">G6^2/B15</f>
        <v>1.020408163265306E-2</v>
      </c>
      <c r="H15" s="12">
        <f t="shared" si="4"/>
        <v>4.6753246753246699E-2</v>
      </c>
      <c r="I15" s="12">
        <f t="shared" si="4"/>
        <v>3.3333333333333263E-2</v>
      </c>
    </row>
    <row r="16" spans="1:9" x14ac:dyDescent="0.2">
      <c r="A16" s="6" t="str">
        <f>A7</f>
        <v>Soph</v>
      </c>
      <c r="B16" s="21">
        <f t="shared" si="3"/>
        <v>21</v>
      </c>
      <c r="C16" s="21">
        <f t="shared" si="3"/>
        <v>26.4</v>
      </c>
      <c r="D16" s="21">
        <f t="shared" si="3"/>
        <v>12.6</v>
      </c>
      <c r="E16" s="4">
        <f>SUM(B16:D16)</f>
        <v>60</v>
      </c>
      <c r="G16" s="12">
        <f t="shared" si="4"/>
        <v>4.7619047619047616E-2</v>
      </c>
      <c r="H16" s="12">
        <f t="shared" si="4"/>
        <v>6.0606060606060181E-3</v>
      </c>
      <c r="I16" s="12">
        <f t="shared" si="4"/>
        <v>2.8571428571428539E-2</v>
      </c>
    </row>
    <row r="17" spans="1:9" x14ac:dyDescent="0.2">
      <c r="A17" s="6" t="str">
        <f>A8</f>
        <v>Junior</v>
      </c>
      <c r="B17" s="21">
        <f t="shared" si="3"/>
        <v>10.5</v>
      </c>
      <c r="C17" s="21">
        <f t="shared" si="3"/>
        <v>13.2</v>
      </c>
      <c r="D17" s="21">
        <f t="shared" si="3"/>
        <v>6.3</v>
      </c>
      <c r="E17" s="4">
        <f>SUM(B17:D17)</f>
        <v>30</v>
      </c>
      <c r="G17" s="12">
        <f t="shared" si="4"/>
        <v>2.3809523809523808E-2</v>
      </c>
      <c r="H17" s="12">
        <f t="shared" si="4"/>
        <v>4.8484848484848575E-2</v>
      </c>
      <c r="I17" s="12">
        <f t="shared" si="4"/>
        <v>1.428571428571427E-2</v>
      </c>
    </row>
    <row r="18" spans="1:9" x14ac:dyDescent="0.2">
      <c r="A18" s="6" t="str">
        <f>A9</f>
        <v>Senior</v>
      </c>
      <c r="B18" s="21">
        <f t="shared" si="3"/>
        <v>14</v>
      </c>
      <c r="C18" s="21">
        <f t="shared" si="3"/>
        <v>17.600000000000001</v>
      </c>
      <c r="D18" s="21">
        <f t="shared" si="3"/>
        <v>8.4</v>
      </c>
      <c r="E18" s="4">
        <f>SUM(B18:D18)</f>
        <v>40</v>
      </c>
      <c r="G18" s="12">
        <f t="shared" si="4"/>
        <v>0</v>
      </c>
      <c r="H18" s="12">
        <f t="shared" si="4"/>
        <v>0.1454545454545457</v>
      </c>
      <c r="I18" s="12">
        <f t="shared" si="4"/>
        <v>0.30476190476190462</v>
      </c>
    </row>
    <row r="19" spans="1:9" x14ac:dyDescent="0.2">
      <c r="A19" s="6" t="s">
        <v>4</v>
      </c>
      <c r="B19" s="4">
        <f>SUM(B15:B18)</f>
        <v>70</v>
      </c>
      <c r="C19" s="4">
        <f>SUM(C15:C18)</f>
        <v>88</v>
      </c>
      <c r="D19" s="4">
        <f>SUM(D15:D18)</f>
        <v>41.999999999999993</v>
      </c>
      <c r="E19" s="4">
        <f>SUM(B19:D19)</f>
        <v>200</v>
      </c>
    </row>
    <row r="21" spans="1:9" x14ac:dyDescent="0.2">
      <c r="A21" s="49" t="s">
        <v>8</v>
      </c>
      <c r="B21" s="49"/>
    </row>
    <row r="22" spans="1:9" x14ac:dyDescent="0.2">
      <c r="A22" s="17" t="s">
        <v>9</v>
      </c>
      <c r="B22" s="15">
        <v>0.05</v>
      </c>
    </row>
    <row r="23" spans="1:9" x14ac:dyDescent="0.2">
      <c r="A23" s="7" t="s">
        <v>10</v>
      </c>
      <c r="B23" s="7">
        <v>4</v>
      </c>
    </row>
    <row r="24" spans="1:9" x14ac:dyDescent="0.2">
      <c r="A24" s="7" t="s">
        <v>11</v>
      </c>
      <c r="B24" s="7">
        <v>3</v>
      </c>
    </row>
    <row r="25" spans="1:9" x14ac:dyDescent="0.2">
      <c r="A25" s="7" t="s">
        <v>12</v>
      </c>
      <c r="B25" s="7">
        <f>(B23 - 1) * (B24 - 1)</f>
        <v>6</v>
      </c>
    </row>
    <row r="27" spans="1:9" x14ac:dyDescent="0.2">
      <c r="A27" s="50" t="s">
        <v>13</v>
      </c>
      <c r="B27" s="50"/>
    </row>
    <row r="28" spans="1:9" x14ac:dyDescent="0.2">
      <c r="A28" s="18" t="s">
        <v>14</v>
      </c>
      <c r="B28" s="19">
        <f>_xlfn.CHISQ.INV.RT(B22, B25)</f>
        <v>12.591587243743978</v>
      </c>
    </row>
    <row r="29" spans="1:9" x14ac:dyDescent="0.2">
      <c r="A29" s="18" t="s">
        <v>15</v>
      </c>
      <c r="B29" s="19">
        <f>SUM(G15:I18)</f>
        <v>0.70933828076685224</v>
      </c>
    </row>
    <row r="30" spans="1:9" x14ac:dyDescent="0.2">
      <c r="A30" s="20" t="s">
        <v>38</v>
      </c>
      <c r="B30" s="19">
        <f>_xlfn.CHISQ.DIST.RT(B29, B25)</f>
        <v>0.9942873142017763</v>
      </c>
    </row>
    <row r="31" spans="1:9" x14ac:dyDescent="0.2">
      <c r="A31" s="51" t="str">
        <f>IF(B30 &lt; B22, "Reject the null hypothesis", "Do not reject the null hypothesis")</f>
        <v>Do not reject the null hypothesis</v>
      </c>
      <c r="B31" s="52"/>
    </row>
    <row r="33" spans="1:1" x14ac:dyDescent="0.2">
      <c r="A33" s="8" t="s">
        <v>16</v>
      </c>
    </row>
    <row r="34" spans="1:1" x14ac:dyDescent="0.2">
      <c r="A34" s="8" t="str">
        <f>IF(OR(B15&lt;1, C15&lt;1, D15&lt;1, B16&lt;1, C16&lt;1, D16&lt;1, B17&lt;1, C17&lt;1, D17&lt;1, B18&lt;1, C18&lt;1, D18&lt;1), "       is violated.", "       is met.")</f>
        <v xml:space="preserve">       is met.</v>
      </c>
    </row>
  </sheetData>
  <mergeCells count="10">
    <mergeCell ref="A27:B27"/>
    <mergeCell ref="A31:B31"/>
    <mergeCell ref="A3:E3"/>
    <mergeCell ref="A12:E12"/>
    <mergeCell ref="G5:I5"/>
    <mergeCell ref="G14:I14"/>
    <mergeCell ref="B4:D4"/>
    <mergeCell ref="B13:D13"/>
    <mergeCell ref="A21:B21"/>
    <mergeCell ref="G4:I4"/>
  </mergeCells>
  <phoneticPr fontId="1" type="noConversion"/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4A97B-A4F1-40BC-BB33-8907B0EA6F76}">
  <sheetPr>
    <tabColor theme="0"/>
  </sheetPr>
  <dimension ref="A1:I20"/>
  <sheetViews>
    <sheetView topLeftCell="A8" zoomScale="249" workbookViewId="0">
      <selection activeCell="C13" sqref="C13"/>
    </sheetView>
  </sheetViews>
  <sheetFormatPr baseColWidth="10" defaultColWidth="8.83203125" defaultRowHeight="13" x14ac:dyDescent="0.15"/>
  <cols>
    <col min="1" max="1" width="25.5" bestFit="1" customWidth="1"/>
    <col min="2" max="2" width="33.6640625" bestFit="1" customWidth="1"/>
    <col min="3" max="3" width="12.1640625" bestFit="1" customWidth="1"/>
    <col min="4" max="4" width="10.1640625" bestFit="1" customWidth="1"/>
    <col min="5" max="5" width="6.1640625" bestFit="1" customWidth="1"/>
    <col min="6" max="6" width="9.5" bestFit="1" customWidth="1"/>
    <col min="7" max="7" width="8.5" bestFit="1" customWidth="1"/>
    <col min="8" max="9" width="5.1640625" bestFit="1" customWidth="1"/>
  </cols>
  <sheetData>
    <row r="1" spans="1:9" ht="15" x14ac:dyDescent="0.2">
      <c r="A1" s="31">
        <v>12.1</v>
      </c>
      <c r="B1" s="32"/>
    </row>
    <row r="2" spans="1:9" ht="15" x14ac:dyDescent="0.2">
      <c r="A2" s="33" t="s">
        <v>59</v>
      </c>
      <c r="B2" s="34"/>
      <c r="C2" s="69" t="s">
        <v>0</v>
      </c>
      <c r="D2" s="70"/>
      <c r="E2" s="70"/>
      <c r="F2" s="70"/>
      <c r="G2" s="70"/>
      <c r="H2" s="70"/>
      <c r="I2" s="71"/>
    </row>
    <row r="3" spans="1:9" ht="15" x14ac:dyDescent="0.2">
      <c r="A3" s="35" t="s">
        <v>60</v>
      </c>
      <c r="B3" s="36" t="s">
        <v>84</v>
      </c>
      <c r="C3" s="42" t="s">
        <v>3</v>
      </c>
      <c r="D3" s="43" t="s">
        <v>69</v>
      </c>
      <c r="E3" s="43" t="s">
        <v>70</v>
      </c>
      <c r="F3" s="43" t="s">
        <v>71</v>
      </c>
      <c r="G3" s="43" t="s">
        <v>72</v>
      </c>
      <c r="H3" s="43" t="s">
        <v>73</v>
      </c>
      <c r="I3" s="43" t="s">
        <v>4</v>
      </c>
    </row>
    <row r="4" spans="1:9" ht="15" x14ac:dyDescent="0.2">
      <c r="A4" s="35" t="s">
        <v>61</v>
      </c>
      <c r="B4" s="36" t="s">
        <v>83</v>
      </c>
      <c r="C4" s="44" t="s">
        <v>5</v>
      </c>
      <c r="D4" s="45">
        <f>0.25*D6</f>
        <v>125</v>
      </c>
      <c r="E4" s="45">
        <f>0.2*E6</f>
        <v>100</v>
      </c>
      <c r="F4" s="45">
        <f>0.3*F6</f>
        <v>150</v>
      </c>
      <c r="G4" s="45">
        <f>0.33*G6</f>
        <v>165</v>
      </c>
      <c r="H4" s="45">
        <f>0.52*H6</f>
        <v>260</v>
      </c>
      <c r="I4" s="7">
        <f>SUM(D4:H4)</f>
        <v>800</v>
      </c>
    </row>
    <row r="5" spans="1:9" ht="15" x14ac:dyDescent="0.2">
      <c r="A5" s="37"/>
      <c r="B5" s="34"/>
      <c r="C5" s="44" t="s">
        <v>6</v>
      </c>
      <c r="D5" s="45">
        <f>D6-D4</f>
        <v>375</v>
      </c>
      <c r="E5" s="45">
        <f t="shared" ref="E5:H5" si="0">E6-E4</f>
        <v>400</v>
      </c>
      <c r="F5" s="45">
        <f t="shared" si="0"/>
        <v>350</v>
      </c>
      <c r="G5" s="45">
        <f t="shared" si="0"/>
        <v>335</v>
      </c>
      <c r="H5" s="45">
        <f t="shared" si="0"/>
        <v>240</v>
      </c>
      <c r="I5" s="7">
        <f>SUM(D5:H5)</f>
        <v>1700</v>
      </c>
    </row>
    <row r="6" spans="1:9" ht="15" x14ac:dyDescent="0.2">
      <c r="A6" s="35" t="s">
        <v>62</v>
      </c>
      <c r="B6" s="38">
        <f>ChiSquare2x5!B25</f>
        <v>137.40808823529414</v>
      </c>
      <c r="C6" s="44" t="s">
        <v>4</v>
      </c>
      <c r="D6" s="7">
        <v>500</v>
      </c>
      <c r="E6" s="7">
        <v>500</v>
      </c>
      <c r="F6" s="7">
        <v>500</v>
      </c>
      <c r="G6" s="7">
        <v>500</v>
      </c>
      <c r="H6" s="7">
        <v>500</v>
      </c>
      <c r="I6" s="7">
        <v>2500</v>
      </c>
    </row>
    <row r="7" spans="1:9" ht="15" x14ac:dyDescent="0.2">
      <c r="A7" s="35" t="s">
        <v>14</v>
      </c>
      <c r="B7" s="38">
        <f>ChiSquare2x5!B24</f>
        <v>9.4877290367811575</v>
      </c>
    </row>
    <row r="8" spans="1:9" ht="15" x14ac:dyDescent="0.2">
      <c r="A8" s="35" t="s">
        <v>63</v>
      </c>
      <c r="B8" s="39" t="s">
        <v>81</v>
      </c>
    </row>
    <row r="9" spans="1:9" ht="74.25" customHeight="1" x14ac:dyDescent="0.2">
      <c r="A9" s="40" t="s">
        <v>64</v>
      </c>
      <c r="B9" s="77" t="s">
        <v>82</v>
      </c>
    </row>
    <row r="10" spans="1:9" ht="15" x14ac:dyDescent="0.2">
      <c r="A10" s="37" t="s">
        <v>65</v>
      </c>
      <c r="B10" s="41"/>
    </row>
    <row r="11" spans="1:9" ht="12.75" customHeight="1" x14ac:dyDescent="0.2">
      <c r="A11" s="72" t="s">
        <v>66</v>
      </c>
      <c r="B11" s="78" t="s">
        <v>85</v>
      </c>
      <c r="C11" s="18" t="s">
        <v>87</v>
      </c>
    </row>
    <row r="12" spans="1:9" ht="15" x14ac:dyDescent="0.2">
      <c r="A12" s="72"/>
      <c r="B12" s="34" t="s">
        <v>67</v>
      </c>
      <c r="C12" s="18" t="s">
        <v>87</v>
      </c>
    </row>
    <row r="13" spans="1:9" ht="15" x14ac:dyDescent="0.2">
      <c r="A13" s="72"/>
      <c r="B13" s="34" t="s">
        <v>68</v>
      </c>
      <c r="C13" s="18" t="s">
        <v>87</v>
      </c>
    </row>
    <row r="14" spans="1:9" ht="15" customHeight="1" x14ac:dyDescent="0.2">
      <c r="A14" s="72"/>
      <c r="B14" s="34" t="s">
        <v>80</v>
      </c>
      <c r="C14" s="18" t="s">
        <v>86</v>
      </c>
    </row>
    <row r="15" spans="1:9" ht="15" x14ac:dyDescent="0.2">
      <c r="A15" s="72"/>
      <c r="B15" s="34" t="s">
        <v>79</v>
      </c>
      <c r="C15" s="18" t="s">
        <v>86</v>
      </c>
    </row>
    <row r="16" spans="1:9" ht="15" x14ac:dyDescent="0.2">
      <c r="A16" s="72"/>
      <c r="B16" s="34" t="s">
        <v>78</v>
      </c>
      <c r="C16" s="18" t="s">
        <v>86</v>
      </c>
    </row>
    <row r="17" spans="1:3" ht="15" x14ac:dyDescent="0.2">
      <c r="A17" s="72"/>
      <c r="B17" s="34" t="s">
        <v>77</v>
      </c>
      <c r="C17" s="18" t="s">
        <v>86</v>
      </c>
    </row>
    <row r="18" spans="1:3" ht="15" x14ac:dyDescent="0.2">
      <c r="A18" s="72"/>
      <c r="B18" s="34" t="s">
        <v>74</v>
      </c>
      <c r="C18" s="18" t="s">
        <v>87</v>
      </c>
    </row>
    <row r="19" spans="1:3" ht="15" x14ac:dyDescent="0.2">
      <c r="A19" s="72"/>
      <c r="B19" s="34" t="s">
        <v>76</v>
      </c>
      <c r="C19" s="18" t="s">
        <v>86</v>
      </c>
    </row>
    <row r="20" spans="1:3" ht="15" customHeight="1" x14ac:dyDescent="0.2">
      <c r="A20" s="72"/>
      <c r="B20" s="34" t="s">
        <v>75</v>
      </c>
      <c r="C20" s="18" t="s">
        <v>86</v>
      </c>
    </row>
  </sheetData>
  <mergeCells count="2">
    <mergeCell ref="C2:I2"/>
    <mergeCell ref="A11:A20"/>
  </mergeCells>
  <dataValidations count="1">
    <dataValidation type="list" allowBlank="1" showInputMessage="1" showErrorMessage="1" sqref="B8" xr:uid="{68C6AB4A-87F2-450B-8CAD-3DDC19C9E53F}">
      <formula1>"Reject The Null Hypothesis, Do Not Reject the Null Hypothesis"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">
    <tabColor rgb="FFFF0000"/>
  </sheetPr>
  <dimension ref="A1:M30"/>
  <sheetViews>
    <sheetView tabSelected="1" workbookViewId="0">
      <selection activeCell="A24" sqref="A24:B25"/>
    </sheetView>
  </sheetViews>
  <sheetFormatPr baseColWidth="10" defaultColWidth="9.1640625" defaultRowHeight="15" x14ac:dyDescent="0.2"/>
  <cols>
    <col min="1" max="1" width="26.1640625" style="2" bestFit="1" customWidth="1"/>
    <col min="2" max="2" width="29.1640625" style="2" bestFit="1" customWidth="1"/>
    <col min="3" max="3" width="8.6640625" style="2" bestFit="1" customWidth="1"/>
    <col min="4" max="4" width="9.5" style="2" bestFit="1" customWidth="1"/>
    <col min="5" max="6" width="8.6640625" style="2" bestFit="1" customWidth="1"/>
    <col min="7" max="7" width="5.1640625" style="2" bestFit="1" customWidth="1"/>
    <col min="8" max="8" width="4.6640625" style="2" customWidth="1"/>
    <col min="9" max="11" width="8.1640625" style="2" bestFit="1" customWidth="1"/>
    <col min="12" max="12" width="7.1640625" style="2" bestFit="1" customWidth="1"/>
    <col min="13" max="16384" width="9.1640625" style="2"/>
  </cols>
  <sheetData>
    <row r="1" spans="1:13" x14ac:dyDescent="0.2">
      <c r="A1" s="1" t="s">
        <v>17</v>
      </c>
      <c r="B1" s="12"/>
    </row>
    <row r="3" spans="1:13" x14ac:dyDescent="0.2">
      <c r="A3" s="53" t="s">
        <v>0</v>
      </c>
      <c r="B3" s="53"/>
      <c r="C3" s="53"/>
      <c r="D3" s="53"/>
      <c r="E3" s="53"/>
      <c r="F3" s="53"/>
      <c r="G3" s="53"/>
    </row>
    <row r="4" spans="1:13" x14ac:dyDescent="0.2">
      <c r="A4" s="4"/>
      <c r="B4" s="54" t="s">
        <v>18</v>
      </c>
      <c r="C4" s="55"/>
      <c r="D4" s="55"/>
      <c r="E4" s="55"/>
      <c r="F4" s="73"/>
      <c r="G4" s="3"/>
      <c r="I4" s="56" t="s">
        <v>2</v>
      </c>
      <c r="J4" s="56"/>
      <c r="K4" s="56"/>
      <c r="L4" s="56"/>
      <c r="M4" s="56"/>
    </row>
    <row r="5" spans="1:13" x14ac:dyDescent="0.2">
      <c r="A5" s="42" t="s">
        <v>3</v>
      </c>
      <c r="B5" s="43" t="s">
        <v>69</v>
      </c>
      <c r="C5" s="43" t="s">
        <v>70</v>
      </c>
      <c r="D5" s="43" t="s">
        <v>71</v>
      </c>
      <c r="E5" s="43" t="s">
        <v>72</v>
      </c>
      <c r="F5" s="43" t="s">
        <v>73</v>
      </c>
      <c r="G5" s="43" t="s">
        <v>4</v>
      </c>
      <c r="I5" s="48" t="s">
        <v>35</v>
      </c>
      <c r="J5" s="48"/>
      <c r="K5" s="48"/>
      <c r="L5" s="48"/>
      <c r="M5" s="48"/>
    </row>
    <row r="6" spans="1:13" x14ac:dyDescent="0.2">
      <c r="A6" s="44" t="s">
        <v>5</v>
      </c>
      <c r="B6" s="45">
        <f>0.25*B8</f>
        <v>125</v>
      </c>
      <c r="C6" s="45">
        <f>0.2*C8</f>
        <v>100</v>
      </c>
      <c r="D6" s="45">
        <f>0.3*D8</f>
        <v>150</v>
      </c>
      <c r="E6" s="45">
        <f>0.33*E8</f>
        <v>165</v>
      </c>
      <c r="F6" s="45">
        <f>0.52*F8</f>
        <v>260</v>
      </c>
      <c r="G6" s="7">
        <f>SUM(B6:F6)</f>
        <v>800</v>
      </c>
      <c r="I6" s="12">
        <f t="shared" ref="I6:M7" si="0">B6 - B13</f>
        <v>-35</v>
      </c>
      <c r="J6" s="12">
        <f t="shared" si="0"/>
        <v>-60</v>
      </c>
      <c r="K6" s="12">
        <f t="shared" si="0"/>
        <v>-10</v>
      </c>
      <c r="L6" s="12">
        <f t="shared" si="0"/>
        <v>5</v>
      </c>
      <c r="M6" s="12">
        <f t="shared" si="0"/>
        <v>100</v>
      </c>
    </row>
    <row r="7" spans="1:13" x14ac:dyDescent="0.2">
      <c r="A7" s="44" t="s">
        <v>6</v>
      </c>
      <c r="B7" s="45">
        <f>B8-B6</f>
        <v>375</v>
      </c>
      <c r="C7" s="45">
        <f t="shared" ref="C7:F7" si="1">C8-C6</f>
        <v>400</v>
      </c>
      <c r="D7" s="45">
        <f t="shared" si="1"/>
        <v>350</v>
      </c>
      <c r="E7" s="45">
        <f t="shared" si="1"/>
        <v>335</v>
      </c>
      <c r="F7" s="45">
        <f t="shared" si="1"/>
        <v>240</v>
      </c>
      <c r="G7" s="7">
        <f>SUM(B7:F7)</f>
        <v>1700</v>
      </c>
      <c r="I7" s="12">
        <f t="shared" si="0"/>
        <v>35</v>
      </c>
      <c r="J7" s="12">
        <f t="shared" si="0"/>
        <v>60</v>
      </c>
      <c r="K7" s="12">
        <f t="shared" si="0"/>
        <v>10</v>
      </c>
      <c r="L7" s="12">
        <f t="shared" si="0"/>
        <v>-5</v>
      </c>
      <c r="M7" s="12">
        <f t="shared" si="0"/>
        <v>-100</v>
      </c>
    </row>
    <row r="8" spans="1:13" x14ac:dyDescent="0.2">
      <c r="A8" s="44" t="s">
        <v>4</v>
      </c>
      <c r="B8" s="7">
        <v>500</v>
      </c>
      <c r="C8" s="7">
        <v>500</v>
      </c>
      <c r="D8" s="7">
        <v>500</v>
      </c>
      <c r="E8" s="7">
        <v>500</v>
      </c>
      <c r="F8" s="7">
        <v>500</v>
      </c>
      <c r="G8" s="7">
        <v>2500</v>
      </c>
    </row>
    <row r="10" spans="1:13" x14ac:dyDescent="0.2">
      <c r="A10" s="57" t="s">
        <v>7</v>
      </c>
      <c r="B10" s="57"/>
      <c r="C10" s="57"/>
      <c r="D10" s="57"/>
      <c r="E10" s="57"/>
      <c r="F10" s="57"/>
      <c r="G10" s="57"/>
    </row>
    <row r="11" spans="1:13" x14ac:dyDescent="0.2">
      <c r="A11" s="4"/>
      <c r="B11" s="66" t="str">
        <f>B4</f>
        <v>Column variable</v>
      </c>
      <c r="C11" s="67"/>
      <c r="D11" s="67"/>
      <c r="E11" s="67"/>
      <c r="F11" s="68"/>
      <c r="G11" s="4"/>
    </row>
    <row r="12" spans="1:13" x14ac:dyDescent="0.2">
      <c r="A12" s="5" t="str">
        <f>A5</f>
        <v>Choose Again?</v>
      </c>
      <c r="B12" s="5" t="str">
        <f>B5</f>
        <v>Automotive</v>
      </c>
      <c r="C12" s="5" t="str">
        <f>C5</f>
        <v>Energy</v>
      </c>
      <c r="D12" s="5" t="str">
        <f>D5</f>
        <v>Hospitality</v>
      </c>
      <c r="E12" s="5" t="str">
        <f>E5</f>
        <v>Industrial</v>
      </c>
      <c r="F12" s="5" t="str">
        <f>F5</f>
        <v>retail</v>
      </c>
      <c r="G12" s="5" t="s">
        <v>4</v>
      </c>
      <c r="I12" s="48" t="s">
        <v>36</v>
      </c>
      <c r="J12" s="48"/>
      <c r="K12" s="48"/>
      <c r="L12" s="48"/>
      <c r="M12" s="48"/>
    </row>
    <row r="13" spans="1:13" x14ac:dyDescent="0.2">
      <c r="A13" s="6" t="str">
        <f>A6</f>
        <v>Yes</v>
      </c>
      <c r="B13" s="21">
        <f t="shared" ref="B13:F14" si="2">$G6 * B$8/$G$8</f>
        <v>160</v>
      </c>
      <c r="C13" s="21">
        <f t="shared" si="2"/>
        <v>160</v>
      </c>
      <c r="D13" s="21">
        <f t="shared" si="2"/>
        <v>160</v>
      </c>
      <c r="E13" s="21">
        <f t="shared" si="2"/>
        <v>160</v>
      </c>
      <c r="F13" s="21">
        <f t="shared" si="2"/>
        <v>160</v>
      </c>
      <c r="G13" s="4">
        <f>SUM(B13:F13)</f>
        <v>800</v>
      </c>
      <c r="I13" s="12">
        <f t="shared" ref="I13:M14" si="3">I6^2/B13</f>
        <v>7.65625</v>
      </c>
      <c r="J13" s="12">
        <f t="shared" si="3"/>
        <v>22.5</v>
      </c>
      <c r="K13" s="12">
        <f t="shared" si="3"/>
        <v>0.625</v>
      </c>
      <c r="L13" s="12">
        <f t="shared" si="3"/>
        <v>0.15625</v>
      </c>
      <c r="M13" s="12">
        <f t="shared" si="3"/>
        <v>62.5</v>
      </c>
    </row>
    <row r="14" spans="1:13" x14ac:dyDescent="0.2">
      <c r="A14" s="6" t="str">
        <f>A7</f>
        <v>No</v>
      </c>
      <c r="B14" s="21">
        <f t="shared" si="2"/>
        <v>340</v>
      </c>
      <c r="C14" s="21">
        <f t="shared" si="2"/>
        <v>340</v>
      </c>
      <c r="D14" s="21">
        <f t="shared" si="2"/>
        <v>340</v>
      </c>
      <c r="E14" s="21">
        <f t="shared" si="2"/>
        <v>340</v>
      </c>
      <c r="F14" s="21">
        <f t="shared" si="2"/>
        <v>340</v>
      </c>
      <c r="G14" s="4">
        <f>SUM(B14:F14)</f>
        <v>1700</v>
      </c>
      <c r="I14" s="12">
        <f t="shared" si="3"/>
        <v>3.6029411764705883</v>
      </c>
      <c r="J14" s="12">
        <f t="shared" si="3"/>
        <v>10.588235294117647</v>
      </c>
      <c r="K14" s="12">
        <f t="shared" si="3"/>
        <v>0.29411764705882354</v>
      </c>
      <c r="L14" s="12">
        <f t="shared" si="3"/>
        <v>7.3529411764705885E-2</v>
      </c>
      <c r="M14" s="12">
        <f t="shared" si="3"/>
        <v>29.411764705882351</v>
      </c>
    </row>
    <row r="15" spans="1:13" x14ac:dyDescent="0.2">
      <c r="A15" s="6" t="s">
        <v>4</v>
      </c>
      <c r="B15" s="4">
        <f>SUM(B13:B14)</f>
        <v>500</v>
      </c>
      <c r="C15" s="4">
        <f>SUM(C13:C14)</f>
        <v>500</v>
      </c>
      <c r="D15" s="4">
        <f>SUM(D13:D14)</f>
        <v>500</v>
      </c>
      <c r="E15" s="4">
        <f>SUM(E13:E14)</f>
        <v>500</v>
      </c>
      <c r="F15" s="4">
        <f>SUM(F13:F14)</f>
        <v>500</v>
      </c>
      <c r="G15" s="4">
        <f>SUM(B15:F15)</f>
        <v>2500</v>
      </c>
    </row>
    <row r="17" spans="1:2" x14ac:dyDescent="0.2">
      <c r="A17" s="49" t="s">
        <v>8</v>
      </c>
      <c r="B17" s="49"/>
    </row>
    <row r="18" spans="1:2" x14ac:dyDescent="0.2">
      <c r="A18" s="17" t="s">
        <v>9</v>
      </c>
      <c r="B18" s="15">
        <v>0.05</v>
      </c>
    </row>
    <row r="19" spans="1:2" x14ac:dyDescent="0.2">
      <c r="A19" s="7" t="s">
        <v>10</v>
      </c>
      <c r="B19" s="7">
        <v>2</v>
      </c>
    </row>
    <row r="20" spans="1:2" x14ac:dyDescent="0.2">
      <c r="A20" s="7" t="s">
        <v>11</v>
      </c>
      <c r="B20" s="7">
        <v>5</v>
      </c>
    </row>
    <row r="21" spans="1:2" x14ac:dyDescent="0.2">
      <c r="A21" s="7" t="s">
        <v>12</v>
      </c>
      <c r="B21" s="7">
        <f>(B19 - 1) * (B20 - 1)</f>
        <v>4</v>
      </c>
    </row>
    <row r="23" spans="1:2" x14ac:dyDescent="0.2">
      <c r="A23" s="50" t="s">
        <v>13</v>
      </c>
      <c r="B23" s="50"/>
    </row>
    <row r="24" spans="1:2" x14ac:dyDescent="0.2">
      <c r="A24" s="18" t="s">
        <v>14</v>
      </c>
      <c r="B24" s="19">
        <f>_xlfn.CHISQ.INV.RT(B18, B21)</f>
        <v>9.4877290367811575</v>
      </c>
    </row>
    <row r="25" spans="1:2" x14ac:dyDescent="0.2">
      <c r="A25" s="18" t="s">
        <v>15</v>
      </c>
      <c r="B25" s="19">
        <f>SUM(I13:M14)</f>
        <v>137.40808823529414</v>
      </c>
    </row>
    <row r="26" spans="1:2" x14ac:dyDescent="0.2">
      <c r="A26" s="20" t="s">
        <v>38</v>
      </c>
      <c r="B26" s="76">
        <f>_xlfn.CHISQ.DIST.RT(B25, B21)</f>
        <v>1.0126764982272105E-28</v>
      </c>
    </row>
    <row r="27" spans="1:2" x14ac:dyDescent="0.2">
      <c r="A27" s="51" t="str">
        <f>IF(B26 &lt; B18, "Reject the null hypothesis", "Do not reject the null hypothesis")</f>
        <v>Reject the null hypothesis</v>
      </c>
      <c r="B27" s="52"/>
    </row>
    <row r="29" spans="1:2" x14ac:dyDescent="0.2">
      <c r="A29" s="8" t="s">
        <v>16</v>
      </c>
    </row>
    <row r="30" spans="1:2" x14ac:dyDescent="0.2">
      <c r="A30" s="8" t="str">
        <f>IF(OR(B13&lt;1, C13&lt;1, D13&lt;1, E13&lt;1, F13&lt;1, B14&lt;1, C14&lt;1, D14&lt;1, E14&lt;1, F14&lt;1), "       is violated.", "       is met.")</f>
        <v xml:space="preserve">       is met.</v>
      </c>
    </row>
  </sheetData>
  <mergeCells count="10">
    <mergeCell ref="A23:B23"/>
    <mergeCell ref="A27:B27"/>
    <mergeCell ref="A3:G3"/>
    <mergeCell ref="A10:G10"/>
    <mergeCell ref="I5:M5"/>
    <mergeCell ref="I12:M12"/>
    <mergeCell ref="B4:F4"/>
    <mergeCell ref="B11:F11"/>
    <mergeCell ref="A17:B17"/>
    <mergeCell ref="I4:M4"/>
  </mergeCells>
  <phoneticPr fontId="1" type="noConversion"/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8">
    <tabColor rgb="FF92D050"/>
  </sheetPr>
  <dimension ref="A1:D27"/>
  <sheetViews>
    <sheetView workbookViewId="0">
      <selection activeCell="I27" sqref="I27"/>
    </sheetView>
  </sheetViews>
  <sheetFormatPr baseColWidth="10" defaultColWidth="9.1640625" defaultRowHeight="15" x14ac:dyDescent="0.2"/>
  <cols>
    <col min="1" max="1" width="22.83203125" style="2" bestFit="1" customWidth="1"/>
    <col min="2" max="2" width="16.6640625" style="2" bestFit="1" customWidth="1"/>
    <col min="3" max="4" width="12.1640625" style="2" bestFit="1" customWidth="1"/>
    <col min="5" max="16384" width="9.1640625" style="2"/>
  </cols>
  <sheetData>
    <row r="1" spans="1:4" x14ac:dyDescent="0.2">
      <c r="A1" s="1" t="s">
        <v>19</v>
      </c>
    </row>
    <row r="3" spans="1:4" x14ac:dyDescent="0.2">
      <c r="A3" s="7" t="s">
        <v>9</v>
      </c>
      <c r="B3" s="7">
        <f>ChiSquare2x5!B18</f>
        <v>0.05</v>
      </c>
    </row>
    <row r="4" spans="1:4" x14ac:dyDescent="0.2">
      <c r="A4" s="7" t="s">
        <v>20</v>
      </c>
      <c r="B4" s="7">
        <f>SQRT(ChiSquare2x5!B24)</f>
        <v>3.0802157451680485</v>
      </c>
    </row>
    <row r="6" spans="1:4" x14ac:dyDescent="0.2">
      <c r="A6" s="62" t="s">
        <v>39</v>
      </c>
      <c r="B6" s="62"/>
    </row>
    <row r="7" spans="1:4" x14ac:dyDescent="0.2">
      <c r="A7" s="7" t="str">
        <f>"1: " &amp; ChiSquare2x5!B5</f>
        <v>1: Automotive</v>
      </c>
      <c r="B7" s="7">
        <f>ChiSquare2x5!B6/ChiSquare2x5!B8</f>
        <v>0.25</v>
      </c>
    </row>
    <row r="8" spans="1:4" x14ac:dyDescent="0.2">
      <c r="A8" s="7" t="str">
        <f>"2: " &amp; ChiSquare2x5!C5</f>
        <v>2: Energy</v>
      </c>
      <c r="B8" s="7">
        <f>ChiSquare2x5!C6/ChiSquare2x5!C8</f>
        <v>0.2</v>
      </c>
    </row>
    <row r="9" spans="1:4" x14ac:dyDescent="0.2">
      <c r="A9" s="7" t="str">
        <f>"3: " &amp; ChiSquare2x5!D5</f>
        <v>3: Hospitality</v>
      </c>
      <c r="B9" s="7">
        <f>ChiSquare2x5!D6/ChiSquare2x5!D8</f>
        <v>0.3</v>
      </c>
    </row>
    <row r="10" spans="1:4" x14ac:dyDescent="0.2">
      <c r="A10" s="7" t="str">
        <f>"4: " &amp; ChiSquare2x5!E5</f>
        <v>4: Industrial</v>
      </c>
      <c r="B10" s="7">
        <f>ChiSquare2x5!E6/ChiSquare2x5!E8</f>
        <v>0.33</v>
      </c>
    </row>
    <row r="11" spans="1:4" x14ac:dyDescent="0.2">
      <c r="A11" s="7" t="str">
        <f>"5: " &amp; ChiSquare2x5!F5</f>
        <v>5: retail</v>
      </c>
      <c r="B11" s="7">
        <f>ChiSquare2x5!F6/ChiSquare2x5!F8</f>
        <v>0.52</v>
      </c>
    </row>
    <row r="13" spans="1:4" x14ac:dyDescent="0.2">
      <c r="A13" s="50" t="s">
        <v>21</v>
      </c>
      <c r="B13" s="50"/>
      <c r="C13" s="50"/>
    </row>
    <row r="14" spans="1:4" x14ac:dyDescent="0.2">
      <c r="A14" s="18" t="s">
        <v>22</v>
      </c>
      <c r="B14" s="18" t="s">
        <v>23</v>
      </c>
      <c r="C14" s="18" t="s">
        <v>24</v>
      </c>
    </row>
    <row r="15" spans="1:4" x14ac:dyDescent="0.2">
      <c r="A15" s="18" t="s">
        <v>25</v>
      </c>
      <c r="B15" s="18">
        <f>ABS(B7 - B8)</f>
        <v>4.9999999999999989E-2</v>
      </c>
      <c r="C15" s="18">
        <f>B4 * SQRT(B7 * (1 - B7)/ChiSquare2x5!B8+B8 * (1 - B8)/ChiSquare2x5!C8)</f>
        <v>8.1203273829094508E-2</v>
      </c>
      <c r="D15" s="18" t="str">
        <f>IF(B15 &gt; C15, "Significant", "Not significant")</f>
        <v>Not significant</v>
      </c>
    </row>
    <row r="16" spans="1:4" x14ac:dyDescent="0.2">
      <c r="A16" s="18" t="s">
        <v>26</v>
      </c>
      <c r="B16" s="18">
        <f>ABS(B7 - B9)</f>
        <v>4.9999999999999989E-2</v>
      </c>
      <c r="C16" s="18">
        <f>B4 * SQRT(B7 * (1 - B7)/ChiSquare2x5!B8+B9 * (1 - B9)/ChiSquare2x5!D8)</f>
        <v>8.6848975723614719E-2</v>
      </c>
      <c r="D16" s="18" t="str">
        <f>IF(B16 &gt; C16, "Significant", "Not significant")</f>
        <v>Not significant</v>
      </c>
    </row>
    <row r="17" spans="1:4" x14ac:dyDescent="0.2">
      <c r="A17" s="18" t="s">
        <v>28</v>
      </c>
      <c r="B17" s="18">
        <f>ABS(B7 - B10)</f>
        <v>8.0000000000000016E-2</v>
      </c>
      <c r="C17" s="18">
        <f>B4 * SQRT(B7 * (1 - B7)/ChiSquare2x5!B8+B10 * (1 - B10)/ChiSquare2x5!E8)</f>
        <v>8.8053234857429052E-2</v>
      </c>
      <c r="D17" s="18" t="str">
        <f>IF(B17 &gt; C17, "Significant", "Not significant")</f>
        <v>Not significant</v>
      </c>
    </row>
    <row r="18" spans="1:4" x14ac:dyDescent="0.2">
      <c r="A18" s="18" t="s">
        <v>31</v>
      </c>
      <c r="B18" s="18">
        <f>ABS(B7 - B11)</f>
        <v>0.27</v>
      </c>
      <c r="C18" s="18">
        <f>B4 * SQRT(B7 * (1 - B7)/ChiSquare2x5!B8+B11 * (1 - B11)/ChiSquare2x5!F8)</f>
        <v>9.107234884394981E-2</v>
      </c>
      <c r="D18" s="18" t="str">
        <f>IF(B18 &gt; C18, "Significant", "Not significant")</f>
        <v>Significant</v>
      </c>
    </row>
    <row r="20" spans="1:4" x14ac:dyDescent="0.2">
      <c r="A20" s="18" t="s">
        <v>27</v>
      </c>
      <c r="B20" s="18">
        <f>ABS(B8 - B9)</f>
        <v>9.9999999999999978E-2</v>
      </c>
      <c r="C20" s="18">
        <f>B4 * SQRT(B8 * (1 - B8)/ChiSquare2x5!C8+B9 * (1 - B9)/ChiSquare2x5!D8)</f>
        <v>8.3790927236891563E-2</v>
      </c>
      <c r="D20" s="18" t="str">
        <f>IF(B20 &gt; C20, "Significant", "Not significant")</f>
        <v>Significant</v>
      </c>
    </row>
    <row r="21" spans="1:4" x14ac:dyDescent="0.2">
      <c r="A21" s="18" t="s">
        <v>29</v>
      </c>
      <c r="B21" s="18">
        <f>ABS(B8 - B10)</f>
        <v>0.13</v>
      </c>
      <c r="C21" s="18">
        <f>B4 * SQRT(B8 * (1 - B8)/ChiSquare2x5!C8+B10 * (1 - B10)/ChiSquare2x5!E8)</f>
        <v>8.5038503466574461E-2</v>
      </c>
      <c r="D21" s="18" t="str">
        <f>IF(B21 &gt; C21, "Significant", "Not significant")</f>
        <v>Significant</v>
      </c>
    </row>
    <row r="22" spans="1:4" x14ac:dyDescent="0.2">
      <c r="A22" s="18" t="s">
        <v>32</v>
      </c>
      <c r="B22" s="18">
        <f>ABS(B8 - B11)</f>
        <v>0.32</v>
      </c>
      <c r="C22" s="18">
        <f>B4 * SQRT(B8 * (1 - B8)/ChiSquare2x5!C8+B11 * (1 - B11)/ChiSquare2x5!F8)</f>
        <v>8.8160918931979859E-2</v>
      </c>
      <c r="D22" s="18" t="str">
        <f>IF(B22 &gt; C22, "Significant", "Not significant")</f>
        <v>Significant</v>
      </c>
    </row>
    <row r="24" spans="1:4" x14ac:dyDescent="0.2">
      <c r="A24" s="18" t="s">
        <v>30</v>
      </c>
      <c r="B24" s="18">
        <f>ABS(B9 - B10)</f>
        <v>3.0000000000000027E-2</v>
      </c>
      <c r="C24" s="18">
        <f>B4 * SQRT(B9 * (1 - B9)/ChiSquare2x5!D8+B10 * (1 - B10)/ChiSquare2x5!E8)</f>
        <v>9.0445121347216467E-2</v>
      </c>
      <c r="D24" s="18" t="str">
        <f>IF(B24 &gt; C24, "Significant", "Not significant")</f>
        <v>Not significant</v>
      </c>
    </row>
    <row r="25" spans="1:4" x14ac:dyDescent="0.2">
      <c r="A25" s="18" t="s">
        <v>33</v>
      </c>
      <c r="B25" s="18">
        <f>ABS(B9 - B11)</f>
        <v>0.22000000000000003</v>
      </c>
      <c r="C25" s="18">
        <f>B4 * SQRT(B9 * (1 - B9)/ChiSquare2x5!D8+B11 * (1 - B11)/ChiSquare2x5!F8)</f>
        <v>9.3386939828914189E-2</v>
      </c>
      <c r="D25" s="18" t="str">
        <f>IF(B25 &gt; C25, "Significant", "Not significant")</f>
        <v>Significant</v>
      </c>
    </row>
    <row r="27" spans="1:4" x14ac:dyDescent="0.2">
      <c r="A27" s="18" t="s">
        <v>34</v>
      </c>
      <c r="B27" s="18">
        <f>ABS(B10 - B11)</f>
        <v>0.19</v>
      </c>
      <c r="C27" s="18">
        <f>B4 * SQRT(B10 * (1 - B10)/ChiSquare2x5!E8+B11 * (1 - B11)/ChiSquare2x5!F8)</f>
        <v>9.450792620318034E-2</v>
      </c>
      <c r="D27" s="18" t="str">
        <f>IF(B27 &gt; C27, "Significant", "Not significant")</f>
        <v>Significant</v>
      </c>
    </row>
  </sheetData>
  <mergeCells count="2">
    <mergeCell ref="A6:B6"/>
    <mergeCell ref="A13:C13"/>
  </mergeCells>
  <phoneticPr fontId="1" type="noConversion"/>
  <pageMargins left="0.75" right="0.75" top="1" bottom="1" header="0.5" footer="0.5"/>
  <pageSetup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Example 1</vt:lpstr>
      <vt:lpstr>ChiSquare2x2</vt:lpstr>
      <vt:lpstr>Example 2</vt:lpstr>
      <vt:lpstr>ChiSquare2x3</vt:lpstr>
      <vt:lpstr>Marascuilo2x3</vt:lpstr>
      <vt:lpstr>Example 3</vt:lpstr>
      <vt:lpstr>ChiSquare4x3</vt:lpstr>
      <vt:lpstr>In Class Problem 1</vt:lpstr>
      <vt:lpstr>ChiSquare2x5</vt:lpstr>
      <vt:lpstr>Marascuilo2x5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2015-12-15T17:49:08Z</dcterms:created>
  <dcterms:modified xsi:type="dcterms:W3CDTF">2024-12-10T19:20:33Z</dcterms:modified>
</cp:coreProperties>
</file>