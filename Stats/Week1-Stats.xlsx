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hidePivotFieldList="1"/>
  <mc:AlternateContent xmlns:mc="http://schemas.openxmlformats.org/markup-compatibility/2006">
    <mc:Choice Requires="x15">
      <x15ac:absPath xmlns:x15ac="http://schemas.microsoft.com/office/spreadsheetml/2010/11/ac" url="/Users/dhruv/Desktop/Intor to BA/"/>
    </mc:Choice>
  </mc:AlternateContent>
  <xr:revisionPtr revIDLastSave="0" documentId="13_ncr:1_{583E2BE4-96F3-4747-AC53-BF810FFDA436}" xr6:coauthVersionLast="47" xr6:coauthVersionMax="47" xr10:uidLastSave="{00000000-0000-0000-0000-000000000000}"/>
  <bookViews>
    <workbookView xWindow="0" yWindow="860" windowWidth="34200" windowHeight="21380" activeTab="1" xr2:uid="{00000000-000D-0000-FFFF-FFFF00000000}"/>
  </bookViews>
  <sheets>
    <sheet name="Chapter 1" sheetId="3" r:id="rId1"/>
    <sheet name="Chapter 2 Q1 - 5" sheetId="1" r:id="rId2"/>
    <sheet name="Chapter 2 6 - 7" sheetId="2" r:id="rId3"/>
  </sheets>
  <definedNames>
    <definedName name="_xlchart.v1.0" hidden="1">'Chapter 2 Q1 - 5'!$I$21:$I$33</definedName>
    <definedName name="_xlchart.v1.1" hidden="1">'Chapter 2 Q1 - 5'!$J$21:$J$33</definedName>
    <definedName name="Slicer_Category">#N/A</definedName>
  </definedNames>
  <calcPr calcId="191029"/>
  <pivotCaches>
    <pivotCache cacheId="1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3" i="1" l="1" a="1"/>
  <c r="O3" i="1" s="1"/>
  <c r="J22" i="1"/>
  <c r="J29" i="1"/>
  <c r="J32" i="1"/>
  <c r="J33" i="1"/>
  <c r="J23" i="1"/>
  <c r="J24" i="1"/>
  <c r="J27" i="1"/>
  <c r="J28" i="1"/>
  <c r="J21" i="1"/>
  <c r="J25" i="1"/>
  <c r="J31" i="1"/>
  <c r="J26" i="1"/>
  <c r="J30" i="1"/>
  <c r="O28" i="1" l="1"/>
  <c r="P3" i="1" s="1"/>
  <c r="J34" i="1"/>
  <c r="Q3" i="1" l="1"/>
  <c r="P5" i="1"/>
  <c r="P13" i="1"/>
  <c r="P21" i="1"/>
  <c r="P12" i="1"/>
  <c r="P6" i="1"/>
  <c r="P14" i="1"/>
  <c r="P22" i="1"/>
  <c r="P15" i="1"/>
  <c r="P8" i="1"/>
  <c r="P16" i="1"/>
  <c r="P24" i="1"/>
  <c r="P9" i="1"/>
  <c r="P17" i="1"/>
  <c r="P25" i="1"/>
  <c r="P10" i="1"/>
  <c r="P18" i="1"/>
  <c r="P26" i="1"/>
  <c r="P11" i="1"/>
  <c r="P19" i="1"/>
  <c r="P20" i="1"/>
  <c r="P7" i="1"/>
  <c r="P23" i="1"/>
  <c r="P4" i="1"/>
  <c r="K21" i="1"/>
  <c r="K29" i="1"/>
  <c r="K25" i="1"/>
  <c r="K31" i="1"/>
  <c r="K33" i="1"/>
  <c r="K26" i="1"/>
  <c r="K30" i="1"/>
  <c r="K24" i="1"/>
  <c r="K27" i="1"/>
  <c r="K28" i="1"/>
  <c r="K32" i="1"/>
  <c r="K23" i="1"/>
  <c r="K22" i="1"/>
  <c r="Q8" i="1" l="1"/>
  <c r="Q5" i="1"/>
  <c r="Q9" i="1"/>
  <c r="Q24" i="1"/>
  <c r="Q10" i="1"/>
  <c r="Q21" i="1"/>
  <c r="Q16" i="1"/>
  <c r="Q23" i="1"/>
  <c r="Q22" i="1"/>
  <c r="Q15" i="1"/>
  <c r="Q14" i="1"/>
  <c r="Q18" i="1"/>
  <c r="Q20" i="1"/>
  <c r="Q12" i="1"/>
  <c r="Q25" i="1"/>
  <c r="Q13" i="1"/>
  <c r="Q19" i="1"/>
  <c r="Q11" i="1"/>
  <c r="Q26" i="1"/>
  <c r="Q7" i="1"/>
  <c r="Q6" i="1"/>
  <c r="Q4" i="1"/>
  <c r="Q17" i="1"/>
  <c r="K34"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<sst xmlns="http://schemas.openxmlformats.org/spreadsheetml/2006/main" count="165" uniqueCount="59">
  <si>
    <t>Category</t>
  </si>
  <si>
    <t>Sub-Category</t>
  </si>
  <si>
    <t>Sales</t>
  </si>
  <si>
    <t>Quantity</t>
  </si>
  <si>
    <t>Profit</t>
  </si>
  <si>
    <t>Furniture</t>
  </si>
  <si>
    <t>Bookcases</t>
  </si>
  <si>
    <t>Chairs</t>
  </si>
  <si>
    <t>Office Supplies</t>
  </si>
  <si>
    <t>Labels</t>
  </si>
  <si>
    <t>Tables</t>
  </si>
  <si>
    <t>Storage</t>
  </si>
  <si>
    <t>Furnishings</t>
  </si>
  <si>
    <t>Art</t>
  </si>
  <si>
    <t>Technology</t>
  </si>
  <si>
    <t>Phones</t>
  </si>
  <si>
    <t>Binders</t>
  </si>
  <si>
    <t>Appliances</t>
  </si>
  <si>
    <t>Paper</t>
  </si>
  <si>
    <t>Accessories</t>
  </si>
  <si>
    <t>Envelopes</t>
  </si>
  <si>
    <t>Advertising</t>
  </si>
  <si>
    <t>Day</t>
  </si>
  <si>
    <t>Total Minutes</t>
  </si>
  <si>
    <t>Calories Burned</t>
  </si>
  <si>
    <t>Sparkline:</t>
  </si>
  <si>
    <t>Categorical.</t>
  </si>
  <si>
    <t>Ordinal</t>
  </si>
  <si>
    <t>Continuous</t>
  </si>
  <si>
    <t>Nominal</t>
  </si>
  <si>
    <t>Discrete</t>
  </si>
  <si>
    <t>Numerical</t>
  </si>
  <si>
    <t>Ratio</t>
  </si>
  <si>
    <t>Not Applicable</t>
  </si>
  <si>
    <t>Interval</t>
  </si>
  <si>
    <t>Stratified</t>
  </si>
  <si>
    <t>Convenience</t>
  </si>
  <si>
    <t>Simple Random</t>
  </si>
  <si>
    <t>Cluster</t>
  </si>
  <si>
    <t>Row Labels</t>
  </si>
  <si>
    <t>Grand Total</t>
  </si>
  <si>
    <t>Sum of Quantity</t>
  </si>
  <si>
    <t>Q1 )Using Pivot table :</t>
  </si>
  <si>
    <t>Q2)Using Sumif:</t>
  </si>
  <si>
    <t>Sub-Castegory</t>
  </si>
  <si>
    <t>Sum Of Quantity</t>
  </si>
  <si>
    <t>Percetage</t>
  </si>
  <si>
    <t>Percentage</t>
  </si>
  <si>
    <t>Total</t>
  </si>
  <si>
    <t>Question3:</t>
  </si>
  <si>
    <t>A Pareto chart is a simple way to see which things are the most important. It uses bars to show different categories, with the tallest bars on the left representing the most important items. There's also a line that adds up the bars to show their total impact.</t>
  </si>
  <si>
    <t>This chart shows us that the categories which are the most performing are Binders,Art,Phones,Applieneces, Tables furnishing and envelopes. These categories contribute 80% of the total quantities and the rest contribute only 20%</t>
  </si>
  <si>
    <t>Question 4:</t>
  </si>
  <si>
    <t>Frequency</t>
  </si>
  <si>
    <t>Average of Quantity</t>
  </si>
  <si>
    <t>Question 5:</t>
  </si>
  <si>
    <t>Bins</t>
  </si>
  <si>
    <t>cumalative</t>
  </si>
  <si>
    <t>Midpoint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</si>
</sst>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rgb="FF000000"/>
      <name val="Calibri"/>
      <family val="2"/>
      <scheme val="minor"/>
    </font>
    <font>
      <sz val="7"/>
      <color rgb="FF444444"/>
      <name val="Lato"/>
      <family val="2"/>
    </font>
    <font>
      <sz val="11"/>
      <color theme="1"/>
      <name val="Calibri"/>
      <family val="2"/>
      <scheme val="minor"/>
    </font>
    <font>
      <i/>
      <sz val="11"/>
      <color theme="1"/>
      <name val="Calibri"/>
      <family val="2"/>
      <scheme val="minor"/>
    </font>
    <font>
      <sz val="11"/>
      <color rgb="FFFF0000"/>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medium">
        <color indexed="64"/>
      </top>
      <bottom style="thin">
        <color indexed="64"/>
      </bottom>
      <diagonal/>
    </border>
  </borders>
  <cellStyleXfs count="2">
    <xf numFmtId="0" fontId="0" fillId="0" borderId="0"/>
    <xf numFmtId="9" fontId="3" fillId="0" borderId="0" applyFont="0" applyFill="0" applyBorder="0" applyAlignment="0" applyProtection="0"/>
  </cellStyleXfs>
  <cellXfs count="37">
    <xf numFmtId="0" fontId="0" fillId="0" borderId="0" xfId="0"/>
    <xf numFmtId="0" fontId="0" fillId="0" borderId="0" xfId="0" applyAlignment="1">
      <alignment horizontal="center"/>
    </xf>
    <xf numFmtId="14" fontId="0" fillId="3" borderId="0" xfId="0" applyNumberFormat="1" applyFill="1"/>
    <xf numFmtId="0" fontId="0" fillId="3" borderId="0" xfId="0" applyFill="1"/>
    <xf numFmtId="14" fontId="0" fillId="0" borderId="0" xfId="0" applyNumberFormat="1"/>
    <xf numFmtId="0" fontId="0" fillId="3" borderId="0" xfId="0" applyFill="1" applyAlignment="1">
      <alignment horizontal="center"/>
    </xf>
    <xf numFmtId="0" fontId="0" fillId="2" borderId="0" xfId="0" applyFill="1"/>
    <xf numFmtId="0" fontId="0" fillId="4" borderId="1" xfId="0" applyFill="1" applyBorder="1"/>
    <xf numFmtId="0" fontId="2" fillId="0" borderId="0" xfId="0" applyFont="1"/>
    <xf numFmtId="0" fontId="0" fillId="0" borderId="0" xfId="0" applyAlignment="1">
      <alignment horizontal="left"/>
    </xf>
    <xf numFmtId="0" fontId="0" fillId="0" borderId="0" xfId="0" applyAlignment="1">
      <alignment wrapText="1"/>
    </xf>
    <xf numFmtId="0" fontId="1" fillId="2" borderId="1" xfId="0" applyFont="1" applyFill="1" applyBorder="1" applyAlignment="1">
      <alignment horizontal="center"/>
    </xf>
    <xf numFmtId="0" fontId="0" fillId="0" borderId="1" xfId="0" applyBorder="1"/>
    <xf numFmtId="0" fontId="0" fillId="0" borderId="1" xfId="0" applyBorder="1" applyAlignment="1">
      <alignment horizontal="center"/>
    </xf>
    <xf numFmtId="0" fontId="0" fillId="0" borderId="0" xfId="0" applyAlignment="1">
      <alignment horizontal="center" wrapText="1"/>
    </xf>
    <xf numFmtId="0" fontId="0" fillId="5" borderId="1" xfId="0" applyFill="1" applyBorder="1"/>
    <xf numFmtId="0" fontId="0" fillId="5" borderId="1" xfId="0" applyFill="1" applyBorder="1" applyAlignment="1">
      <alignment horizontal="left"/>
    </xf>
    <xf numFmtId="10" fontId="0" fillId="5" borderId="1" xfId="0" applyNumberFormat="1" applyFill="1" applyBorder="1"/>
    <xf numFmtId="0" fontId="0" fillId="5" borderId="0" xfId="0" applyFill="1"/>
    <xf numFmtId="0" fontId="0" fillId="5" borderId="0" xfId="0" applyFill="1" applyAlignment="1">
      <alignment horizontal="left"/>
    </xf>
    <xf numFmtId="9" fontId="0" fillId="5" borderId="0" xfId="1" applyFont="1" applyFill="1"/>
    <xf numFmtId="9" fontId="0" fillId="5" borderId="0" xfId="0" applyNumberFormat="1" applyFill="1"/>
    <xf numFmtId="0" fontId="0" fillId="5" borderId="0" xfId="0" applyFill="1" applyAlignment="1">
      <alignment wrapText="1"/>
    </xf>
    <xf numFmtId="0" fontId="4" fillId="5" borderId="0" xfId="0" applyFont="1" applyFill="1" applyAlignment="1">
      <alignment horizontal="center"/>
    </xf>
    <xf numFmtId="0" fontId="0" fillId="5" borderId="0" xfId="0" applyFill="1" applyAlignment="1">
      <alignment horizontal="center"/>
    </xf>
    <xf numFmtId="2" fontId="0" fillId="5" borderId="0" xfId="0" applyNumberFormat="1" applyFill="1"/>
    <xf numFmtId="0" fontId="0" fillId="5" borderId="0" xfId="0" applyFill="1" applyAlignment="1">
      <alignment horizontal="left" indent="1"/>
    </xf>
    <xf numFmtId="0" fontId="5" fillId="5" borderId="0" xfId="0" applyFont="1" applyFill="1"/>
    <xf numFmtId="10" fontId="0" fillId="5" borderId="0" xfId="1" applyNumberFormat="1" applyFont="1" applyFill="1" applyBorder="1" applyAlignment="1">
      <alignment horizontal="center"/>
    </xf>
    <xf numFmtId="10" fontId="0" fillId="5" borderId="0" xfId="0" applyNumberFormat="1" applyFill="1" applyAlignment="1">
      <alignment horizontal="center"/>
    </xf>
    <xf numFmtId="0" fontId="5" fillId="5" borderId="0" xfId="0" applyFont="1" applyFill="1" applyAlignment="1">
      <alignment horizontal="left"/>
    </xf>
    <xf numFmtId="0" fontId="5" fillId="5" borderId="0" xfId="0" applyFont="1" applyFill="1" applyAlignment="1">
      <alignment horizontal="center"/>
    </xf>
    <xf numFmtId="0" fontId="5" fillId="5" borderId="2" xfId="0" applyFont="1" applyFill="1" applyBorder="1" applyAlignment="1">
      <alignment horizontal="center"/>
    </xf>
    <xf numFmtId="0" fontId="0" fillId="0" borderId="0" xfId="0" applyNumberFormat="1" applyFill="1" applyBorder="1" applyAlignment="1"/>
    <xf numFmtId="0" fontId="0" fillId="0" borderId="0" xfId="0" applyFill="1" applyBorder="1" applyAlignment="1"/>
    <xf numFmtId="0" fontId="4" fillId="0" borderId="3" xfId="0" applyFont="1" applyFill="1" applyBorder="1" applyAlignment="1">
      <alignment horizontal="center"/>
    </xf>
    <xf numFmtId="0" fontId="0" fillId="0" borderId="0" xfId="0" applyBorder="1"/>
  </cellXfs>
  <cellStyles count="2">
    <cellStyle name="Normal" xfId="0" builtinId="0"/>
    <cellStyle name="Percent" xfId="1" builtinId="5"/>
  </cellStyles>
  <dxfs count="33">
    <dxf>
      <numFmt numFmtId="2" formatCode="0.00"/>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b val="0"/>
        <i val="0"/>
        <strike val="0"/>
        <condense val="0"/>
        <extend val="0"/>
        <outline val="0"/>
        <shadow val="0"/>
        <u val="none"/>
        <vertAlign val="baseline"/>
        <sz val="11"/>
        <color theme="1"/>
        <name val="Calibri"/>
        <family val="2"/>
        <scheme val="minor"/>
      </font>
      <numFmt numFmtId="13" formatCode="0%"/>
      <fill>
        <patternFill>
          <fgColor indexed="64"/>
          <bgColor theme="9" tint="0.79998168889431442"/>
        </patternFill>
      </fill>
    </dxf>
    <dxf>
      <fill>
        <patternFill>
          <fgColor indexed="64"/>
          <bgColor theme="9" tint="0.79998168889431442"/>
        </patternFill>
      </fill>
    </dxf>
    <dxf>
      <fill>
        <patternFill>
          <fgColor indexed="64"/>
          <bgColor theme="9" tint="0.79998168889431442"/>
        </patternFill>
      </fill>
      <alignment horizontal="left" vertical="bottom" textRotation="0" wrapText="0" indent="0" justifyLastLine="0" shrinkToFit="0" readingOrder="0"/>
    </dxf>
    <dxf>
      <fill>
        <patternFill>
          <fgColor indexed="64"/>
          <bgColor theme="9" tint="0.79998168889431442"/>
        </patternFill>
      </fill>
    </dxf>
    <dxf>
      <font>
        <strike val="0"/>
        <outline val="0"/>
        <shadow val="0"/>
        <u val="none"/>
        <vertAlign val="baseline"/>
        <sz val="11"/>
        <color theme="1"/>
        <name val="Calibri"/>
        <family val="2"/>
        <scheme val="minor"/>
      </font>
      <fill>
        <patternFill>
          <fgColor indexed="64"/>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Sum</a:t>
            </a:r>
            <a:r>
              <a:rPr lang="en-GB" baseline="0"/>
              <a:t> of Quantity Pie Chart</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A16-F34E-A802-7E60FFF95D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A16-F34E-A802-7E60FFF95D3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A16-F34E-A802-7E60FFF95D3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A16-F34E-A802-7E60FFF95D3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A16-F34E-A802-7E60FFF95D3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A16-F34E-A802-7E60FFF95D3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0A16-F34E-A802-7E60FFF95D3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0A16-F34E-A802-7E60FFF95D3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0A16-F34E-A802-7E60FFF95D3F}"/>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0A16-F34E-A802-7E60FFF95D3F}"/>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0A16-F34E-A802-7E60FFF95D3F}"/>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0A16-F34E-A802-7E60FFF95D3F}"/>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0A16-F34E-A802-7E60FFF95D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'Chapter 2 Q1 - 5'!$I$21:$I$33</c:f>
              <c:strCache>
                <c:ptCount val="13"/>
                <c:pt idx="0">
                  <c:v>Labels</c:v>
                </c:pt>
                <c:pt idx="1">
                  <c:v>Accessories</c:v>
                </c:pt>
                <c:pt idx="2">
                  <c:v>Bookcases</c:v>
                </c:pt>
                <c:pt idx="3">
                  <c:v>Chairs</c:v>
                </c:pt>
                <c:pt idx="4">
                  <c:v>Paper</c:v>
                </c:pt>
                <c:pt idx="5">
                  <c:v>Storage</c:v>
                </c:pt>
                <c:pt idx="6">
                  <c:v>Envelopes</c:v>
                </c:pt>
                <c:pt idx="7">
                  <c:v>Furnishings</c:v>
                </c:pt>
                <c:pt idx="8">
                  <c:v>Appliances</c:v>
                </c:pt>
                <c:pt idx="9">
                  <c:v>Tables</c:v>
                </c:pt>
                <c:pt idx="10">
                  <c:v>Phones</c:v>
                </c:pt>
                <c:pt idx="11">
                  <c:v>Art</c:v>
                </c:pt>
                <c:pt idx="12">
                  <c:v>Binders</c:v>
                </c:pt>
              </c:strCache>
            </c:strRef>
          </c:cat>
          <c:val>
            <c:numRef>
              <c:f>'Chapter 2 Q1 - 5'!$J$21:$J$33</c:f>
              <c:numCache>
                <c:formatCode>General</c:formatCode>
                <c:ptCount val="13"/>
                <c:pt idx="0">
                  <c:v>2</c:v>
                </c:pt>
                <c:pt idx="1">
                  <c:v>3</c:v>
                </c:pt>
                <c:pt idx="2">
                  <c:v>5</c:v>
                </c:pt>
                <c:pt idx="3">
                  <c:v>5</c:v>
                </c:pt>
                <c:pt idx="4">
                  <c:v>6</c:v>
                </c:pt>
                <c:pt idx="5">
                  <c:v>10</c:v>
                </c:pt>
                <c:pt idx="6">
                  <c:v>11</c:v>
                </c:pt>
                <c:pt idx="7">
                  <c:v>15</c:v>
                </c:pt>
                <c:pt idx="8">
                  <c:v>17</c:v>
                </c:pt>
                <c:pt idx="9">
                  <c:v>17</c:v>
                </c:pt>
                <c:pt idx="10">
                  <c:v>20</c:v>
                </c:pt>
                <c:pt idx="11">
                  <c:v>21</c:v>
                </c:pt>
                <c:pt idx="12">
                  <c:v>23</c:v>
                </c:pt>
              </c:numCache>
            </c:numRef>
          </c:val>
          <c:extLst>
            <c:ext xmlns:c16="http://schemas.microsoft.com/office/drawing/2014/chart" uri="{C3380CC4-5D6E-409C-BE32-E72D297353CC}">
              <c16:uniqueId val="{00000000-2568-AD4B-96B2-2FE883C6E29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217671356654192"/>
          <c:y val="0.17406772923179001"/>
          <c:w val="9.5426845020356713E-2"/>
          <c:h val="0.6046402681775169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GB"/>
              <a:t>Sum</a:t>
            </a:r>
            <a:r>
              <a:rPr lang="en-GB" baseline="0"/>
              <a:t> of Quantity Doughnut Chart</a:t>
            </a:r>
            <a:endParaRPr lang="en-GB"/>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0.24760049571539849"/>
          <c:y val="0.17499831883401407"/>
          <c:w val="0.54112292213473312"/>
          <c:h val="0.71375026037023637"/>
        </c:manualLayout>
      </c:layout>
      <c:doughnut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CD51-BA44-AC09-C755D31986E6}"/>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CD51-BA44-AC09-C755D31986E6}"/>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CD51-BA44-AC09-C755D31986E6}"/>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CD51-BA44-AC09-C755D31986E6}"/>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CD51-BA44-AC09-C755D31986E6}"/>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CD51-BA44-AC09-C755D31986E6}"/>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CD51-BA44-AC09-C755D31986E6}"/>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CD51-BA44-AC09-C755D31986E6}"/>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11-CD51-BA44-AC09-C755D31986E6}"/>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13-CD51-BA44-AC09-C755D31986E6}"/>
              </c:ext>
            </c:extLst>
          </c:dPt>
          <c:dPt>
            <c:idx val="10"/>
            <c:bubble3D val="0"/>
            <c:spPr>
              <a:gradFill>
                <a:gsLst>
                  <a:gs pos="100000">
                    <a:schemeClr val="accent5">
                      <a:lumMod val="60000"/>
                      <a:lumMod val="60000"/>
                      <a:lumOff val="40000"/>
                    </a:schemeClr>
                  </a:gs>
                  <a:gs pos="0">
                    <a:schemeClr val="accent5">
                      <a:lumMod val="60000"/>
                    </a:schemeClr>
                  </a:gs>
                </a:gsLst>
                <a:lin ang="5400000" scaled="0"/>
              </a:gradFill>
              <a:ln w="19050">
                <a:solidFill>
                  <a:schemeClr val="lt1"/>
                </a:solidFill>
              </a:ln>
              <a:effectLst/>
            </c:spPr>
            <c:extLst>
              <c:ext xmlns:c16="http://schemas.microsoft.com/office/drawing/2014/chart" uri="{C3380CC4-5D6E-409C-BE32-E72D297353CC}">
                <c16:uniqueId val="{00000015-CD51-BA44-AC09-C755D31986E6}"/>
              </c:ext>
            </c:extLst>
          </c:dPt>
          <c:dPt>
            <c:idx val="11"/>
            <c:bubble3D val="0"/>
            <c:spPr>
              <a:gradFill>
                <a:gsLst>
                  <a:gs pos="100000">
                    <a:schemeClr val="accent6">
                      <a:lumMod val="60000"/>
                      <a:lumMod val="60000"/>
                      <a:lumOff val="40000"/>
                    </a:schemeClr>
                  </a:gs>
                  <a:gs pos="0">
                    <a:schemeClr val="accent6">
                      <a:lumMod val="60000"/>
                    </a:schemeClr>
                  </a:gs>
                </a:gsLst>
                <a:lin ang="5400000" scaled="0"/>
              </a:gradFill>
              <a:ln w="19050">
                <a:solidFill>
                  <a:schemeClr val="lt1"/>
                </a:solidFill>
              </a:ln>
              <a:effectLst/>
            </c:spPr>
            <c:extLst>
              <c:ext xmlns:c16="http://schemas.microsoft.com/office/drawing/2014/chart" uri="{C3380CC4-5D6E-409C-BE32-E72D297353CC}">
                <c16:uniqueId val="{00000017-CD51-BA44-AC09-C755D31986E6}"/>
              </c:ext>
            </c:extLst>
          </c:dPt>
          <c:dPt>
            <c:idx val="12"/>
            <c:bubble3D val="0"/>
            <c:spPr>
              <a:gradFill>
                <a:gsLst>
                  <a:gs pos="100000">
                    <a:schemeClr val="accent1">
                      <a:lumMod val="80000"/>
                      <a:lumOff val="20000"/>
                      <a:lumMod val="60000"/>
                      <a:lumOff val="40000"/>
                    </a:schemeClr>
                  </a:gs>
                  <a:gs pos="0">
                    <a:schemeClr val="accent1">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9-CD51-BA44-AC09-C755D31986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'Chapter 2 Q1 - 5'!$I$21:$I$33</c:f>
              <c:strCache>
                <c:ptCount val="13"/>
                <c:pt idx="0">
                  <c:v>Labels</c:v>
                </c:pt>
                <c:pt idx="1">
                  <c:v>Accessories</c:v>
                </c:pt>
                <c:pt idx="2">
                  <c:v>Bookcases</c:v>
                </c:pt>
                <c:pt idx="3">
                  <c:v>Chairs</c:v>
                </c:pt>
                <c:pt idx="4">
                  <c:v>Paper</c:v>
                </c:pt>
                <c:pt idx="5">
                  <c:v>Storage</c:v>
                </c:pt>
                <c:pt idx="6">
                  <c:v>Envelopes</c:v>
                </c:pt>
                <c:pt idx="7">
                  <c:v>Furnishings</c:v>
                </c:pt>
                <c:pt idx="8">
                  <c:v>Appliances</c:v>
                </c:pt>
                <c:pt idx="9">
                  <c:v>Tables</c:v>
                </c:pt>
                <c:pt idx="10">
                  <c:v>Phones</c:v>
                </c:pt>
                <c:pt idx="11">
                  <c:v>Art</c:v>
                </c:pt>
                <c:pt idx="12">
                  <c:v>Binders</c:v>
                </c:pt>
              </c:strCache>
            </c:strRef>
          </c:cat>
          <c:val>
            <c:numRef>
              <c:f>'Chapter 2 Q1 - 5'!$J$21:$J$33</c:f>
              <c:numCache>
                <c:formatCode>General</c:formatCode>
                <c:ptCount val="13"/>
                <c:pt idx="0">
                  <c:v>2</c:v>
                </c:pt>
                <c:pt idx="1">
                  <c:v>3</c:v>
                </c:pt>
                <c:pt idx="2">
                  <c:v>5</c:v>
                </c:pt>
                <c:pt idx="3">
                  <c:v>5</c:v>
                </c:pt>
                <c:pt idx="4">
                  <c:v>6</c:v>
                </c:pt>
                <c:pt idx="5">
                  <c:v>10</c:v>
                </c:pt>
                <c:pt idx="6">
                  <c:v>11</c:v>
                </c:pt>
                <c:pt idx="7">
                  <c:v>15</c:v>
                </c:pt>
                <c:pt idx="8">
                  <c:v>17</c:v>
                </c:pt>
                <c:pt idx="9">
                  <c:v>17</c:v>
                </c:pt>
                <c:pt idx="10">
                  <c:v>20</c:v>
                </c:pt>
                <c:pt idx="11">
                  <c:v>21</c:v>
                </c:pt>
                <c:pt idx="12">
                  <c:v>23</c:v>
                </c:pt>
              </c:numCache>
            </c:numRef>
          </c:val>
          <c:extLst>
            <c:ext xmlns:c16="http://schemas.microsoft.com/office/drawing/2014/chart" uri="{C3380CC4-5D6E-409C-BE32-E72D297353CC}">
              <c16:uniqueId val="{00000000-31AD-FE47-B96B-B915DDF3608E}"/>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1"/>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GB"/>
              <a:t>Sum of Quantity Bar chart</a:t>
            </a:r>
          </a:p>
          <a:p>
            <a:pPr>
              <a:defRPr/>
            </a:pPr>
            <a:r>
              <a:rPr lang="en-GB"/>
              <a:t> </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'Chapter 2 Q1 - 5'!$I$21:$I$33</c:f>
              <c:strCache>
                <c:ptCount val="13"/>
                <c:pt idx="0">
                  <c:v>Labels</c:v>
                </c:pt>
                <c:pt idx="1">
                  <c:v>Accessories</c:v>
                </c:pt>
                <c:pt idx="2">
                  <c:v>Bookcases</c:v>
                </c:pt>
                <c:pt idx="3">
                  <c:v>Chairs</c:v>
                </c:pt>
                <c:pt idx="4">
                  <c:v>Paper</c:v>
                </c:pt>
                <c:pt idx="5">
                  <c:v>Storage</c:v>
                </c:pt>
                <c:pt idx="6">
                  <c:v>Envelopes</c:v>
                </c:pt>
                <c:pt idx="7">
                  <c:v>Furnishings</c:v>
                </c:pt>
                <c:pt idx="8">
                  <c:v>Appliances</c:v>
                </c:pt>
                <c:pt idx="9">
                  <c:v>Tables</c:v>
                </c:pt>
                <c:pt idx="10">
                  <c:v>Phones</c:v>
                </c:pt>
                <c:pt idx="11">
                  <c:v>Art</c:v>
                </c:pt>
                <c:pt idx="12">
                  <c:v>Binders</c:v>
                </c:pt>
              </c:strCache>
            </c:strRef>
          </c:cat>
          <c:val>
            <c:numRef>
              <c:f>'Chapter 2 Q1 - 5'!$J$21:$J$33</c:f>
              <c:numCache>
                <c:formatCode>General</c:formatCode>
                <c:ptCount val="13"/>
                <c:pt idx="0">
                  <c:v>2</c:v>
                </c:pt>
                <c:pt idx="1">
                  <c:v>3</c:v>
                </c:pt>
                <c:pt idx="2">
                  <c:v>5</c:v>
                </c:pt>
                <c:pt idx="3">
                  <c:v>5</c:v>
                </c:pt>
                <c:pt idx="4">
                  <c:v>6</c:v>
                </c:pt>
                <c:pt idx="5">
                  <c:v>10</c:v>
                </c:pt>
                <c:pt idx="6">
                  <c:v>11</c:v>
                </c:pt>
                <c:pt idx="7">
                  <c:v>15</c:v>
                </c:pt>
                <c:pt idx="8">
                  <c:v>17</c:v>
                </c:pt>
                <c:pt idx="9">
                  <c:v>17</c:v>
                </c:pt>
                <c:pt idx="10">
                  <c:v>20</c:v>
                </c:pt>
                <c:pt idx="11">
                  <c:v>21</c:v>
                </c:pt>
                <c:pt idx="12">
                  <c:v>23</c:v>
                </c:pt>
              </c:numCache>
            </c:numRef>
          </c:val>
          <c:extLst>
            <c:ext xmlns:c16="http://schemas.microsoft.com/office/drawing/2014/chart" uri="{C3380CC4-5D6E-409C-BE32-E72D297353CC}">
              <c16:uniqueId val="{00000000-FD9B-094F-BA71-4DC7FE9C9A93}"/>
            </c:ext>
          </c:extLst>
        </c:ser>
        <c:dLbls>
          <c:showLegendKey val="0"/>
          <c:showVal val="1"/>
          <c:showCatName val="0"/>
          <c:showSerName val="0"/>
          <c:showPercent val="0"/>
          <c:showBubbleSize val="0"/>
        </c:dLbls>
        <c:gapWidth val="84"/>
        <c:gapDepth val="53"/>
        <c:shape val="box"/>
        <c:axId val="1213289344"/>
        <c:axId val="152396655"/>
        <c:axId val="0"/>
      </c:bar3DChart>
      <c:catAx>
        <c:axId val="121328934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GB"/>
                  <a:t>Categories</a:t>
                </a:r>
              </a:p>
            </c:rich>
          </c:tx>
          <c:layout>
            <c:manualLayout>
              <c:xMode val="edge"/>
              <c:yMode val="edge"/>
              <c:x val="1.1038946729432641E-3"/>
              <c:y val="0.4415052693498111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396655"/>
        <c:crosses val="autoZero"/>
        <c:auto val="1"/>
        <c:lblAlgn val="ctr"/>
        <c:lblOffset val="100"/>
        <c:noMultiLvlLbl val="0"/>
      </c:catAx>
      <c:valAx>
        <c:axId val="152396655"/>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GB"/>
                  <a:t>Quantity</a:t>
                </a:r>
              </a:p>
              <a:p>
                <a:pPr>
                  <a:defRPr/>
                </a:pPr>
                <a:endParaRPr lang="en-GB"/>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121328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a:t>
            </a:r>
            <a:r>
              <a:rPr lang="en-US" baseline="0"/>
              <a:t> polygon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Percentage</c:v>
          </c:tx>
          <c:spPr>
            <a:ln w="28575" cap="rnd">
              <a:solidFill>
                <a:schemeClr val="accent1"/>
              </a:solidFill>
              <a:round/>
            </a:ln>
            <a:effectLst/>
          </c:spPr>
          <c:marker>
            <c:symbol val="none"/>
          </c:marker>
          <c:cat>
            <c:numRef>
              <c:f>'Chapter 2 Q1 - 5'!$N$4:$N$26</c:f>
              <c:numCache>
                <c:formatCode>General</c:formatCode>
                <c:ptCount val="23"/>
                <c:pt idx="0">
                  <c:v>-200</c:v>
                </c:pt>
                <c:pt idx="1">
                  <c:v>-180</c:v>
                </c:pt>
                <c:pt idx="2">
                  <c:v>-160</c:v>
                </c:pt>
                <c:pt idx="3">
                  <c:v>-140</c:v>
                </c:pt>
                <c:pt idx="4">
                  <c:v>-120</c:v>
                </c:pt>
                <c:pt idx="5">
                  <c:v>-100</c:v>
                </c:pt>
                <c:pt idx="6">
                  <c:v>-80</c:v>
                </c:pt>
                <c:pt idx="7">
                  <c:v>-60</c:v>
                </c:pt>
                <c:pt idx="8">
                  <c:v>-40</c:v>
                </c:pt>
                <c:pt idx="9">
                  <c:v>-20</c:v>
                </c:pt>
                <c:pt idx="10">
                  <c:v>0</c:v>
                </c:pt>
                <c:pt idx="11">
                  <c:v>20</c:v>
                </c:pt>
                <c:pt idx="12">
                  <c:v>40</c:v>
                </c:pt>
                <c:pt idx="13">
                  <c:v>60</c:v>
                </c:pt>
                <c:pt idx="14">
                  <c:v>80</c:v>
                </c:pt>
                <c:pt idx="15">
                  <c:v>100</c:v>
                </c:pt>
                <c:pt idx="16">
                  <c:v>120</c:v>
                </c:pt>
                <c:pt idx="17">
                  <c:v>140</c:v>
                </c:pt>
                <c:pt idx="18">
                  <c:v>160</c:v>
                </c:pt>
                <c:pt idx="19">
                  <c:v>180</c:v>
                </c:pt>
                <c:pt idx="20">
                  <c:v>200</c:v>
                </c:pt>
                <c:pt idx="21">
                  <c:v>220</c:v>
                </c:pt>
                <c:pt idx="22">
                  <c:v>240</c:v>
                </c:pt>
              </c:numCache>
            </c:numRef>
          </c:cat>
          <c:val>
            <c:numRef>
              <c:f>'Chapter 2 Q1 - 5'!$P$3:$P$26</c:f>
              <c:numCache>
                <c:formatCode>0.00%</c:formatCode>
                <c:ptCount val="24"/>
                <c:pt idx="0">
                  <c:v>2.6315789473684209E-2</c:v>
                </c:pt>
                <c:pt idx="1">
                  <c:v>0</c:v>
                </c:pt>
                <c:pt idx="2">
                  <c:v>0</c:v>
                </c:pt>
                <c:pt idx="3">
                  <c:v>0</c:v>
                </c:pt>
                <c:pt idx="4">
                  <c:v>2.6315789473684209E-2</c:v>
                </c:pt>
                <c:pt idx="5">
                  <c:v>2.6315789473684209E-2</c:v>
                </c:pt>
                <c:pt idx="6">
                  <c:v>0</c:v>
                </c:pt>
                <c:pt idx="7">
                  <c:v>0</c:v>
                </c:pt>
                <c:pt idx="8">
                  <c:v>0</c:v>
                </c:pt>
                <c:pt idx="9">
                  <c:v>2.6315789473684209E-2</c:v>
                </c:pt>
                <c:pt idx="10">
                  <c:v>0</c:v>
                </c:pt>
                <c:pt idx="11">
                  <c:v>0.47368421052631576</c:v>
                </c:pt>
                <c:pt idx="12">
                  <c:v>0.15789473684210525</c:v>
                </c:pt>
                <c:pt idx="13">
                  <c:v>7.8947368421052627E-2</c:v>
                </c:pt>
                <c:pt idx="14">
                  <c:v>2.6315789473684209E-2</c:v>
                </c:pt>
                <c:pt idx="15">
                  <c:v>2.6315789473684209E-2</c:v>
                </c:pt>
                <c:pt idx="16">
                  <c:v>2.6315789473684209E-2</c:v>
                </c:pt>
                <c:pt idx="17">
                  <c:v>2.6315789473684209E-2</c:v>
                </c:pt>
                <c:pt idx="18">
                  <c:v>2.6315789473684209E-2</c:v>
                </c:pt>
                <c:pt idx="19">
                  <c:v>0</c:v>
                </c:pt>
                <c:pt idx="20">
                  <c:v>0</c:v>
                </c:pt>
                <c:pt idx="21">
                  <c:v>0</c:v>
                </c:pt>
                <c:pt idx="22">
                  <c:v>2.6315789473684209E-2</c:v>
                </c:pt>
                <c:pt idx="23">
                  <c:v>2.6315789473684209E-2</c:v>
                </c:pt>
              </c:numCache>
            </c:numRef>
          </c:val>
          <c:smooth val="0"/>
          <c:extLst>
            <c:ext xmlns:c16="http://schemas.microsoft.com/office/drawing/2014/chart" uri="{C3380CC4-5D6E-409C-BE32-E72D297353CC}">
              <c16:uniqueId val="{00000000-925E-FC4D-8977-00FCC5A8FD4B}"/>
            </c:ext>
          </c:extLst>
        </c:ser>
        <c:dLbls>
          <c:showLegendKey val="0"/>
          <c:showVal val="0"/>
          <c:showCatName val="0"/>
          <c:showSerName val="0"/>
          <c:showPercent val="0"/>
          <c:showBubbleSize val="0"/>
        </c:dLbls>
        <c:smooth val="0"/>
        <c:axId val="2126284943"/>
        <c:axId val="451319088"/>
      </c:lineChart>
      <c:catAx>
        <c:axId val="212628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19088"/>
        <c:crosses val="autoZero"/>
        <c:auto val="1"/>
        <c:lblAlgn val="ctr"/>
        <c:lblOffset val="100"/>
        <c:noMultiLvlLbl val="0"/>
      </c:catAx>
      <c:valAx>
        <c:axId val="4513190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284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Cumalative</a:t>
            </a:r>
            <a:r>
              <a:rPr lang="en-US" baseline="0"/>
              <a:t> polygon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v>Cumalative%</c:v>
          </c:tx>
          <c:spPr>
            <a:ln w="28575" cap="rnd">
              <a:solidFill>
                <a:schemeClr val="accent2"/>
              </a:solidFill>
              <a:round/>
            </a:ln>
            <a:effectLst/>
          </c:spPr>
          <c:marker>
            <c:symbol val="none"/>
          </c:marker>
          <c:cat>
            <c:numRef>
              <c:f>'Chapter 2 Q1 - 5'!$N$4:$N$26</c:f>
              <c:numCache>
                <c:formatCode>General</c:formatCode>
                <c:ptCount val="23"/>
                <c:pt idx="0">
                  <c:v>-200</c:v>
                </c:pt>
                <c:pt idx="1">
                  <c:v>-180</c:v>
                </c:pt>
                <c:pt idx="2">
                  <c:v>-160</c:v>
                </c:pt>
                <c:pt idx="3">
                  <c:v>-140</c:v>
                </c:pt>
                <c:pt idx="4">
                  <c:v>-120</c:v>
                </c:pt>
                <c:pt idx="5">
                  <c:v>-100</c:v>
                </c:pt>
                <c:pt idx="6">
                  <c:v>-80</c:v>
                </c:pt>
                <c:pt idx="7">
                  <c:v>-60</c:v>
                </c:pt>
                <c:pt idx="8">
                  <c:v>-40</c:v>
                </c:pt>
                <c:pt idx="9">
                  <c:v>-20</c:v>
                </c:pt>
                <c:pt idx="10">
                  <c:v>0</c:v>
                </c:pt>
                <c:pt idx="11">
                  <c:v>20</c:v>
                </c:pt>
                <c:pt idx="12">
                  <c:v>40</c:v>
                </c:pt>
                <c:pt idx="13">
                  <c:v>60</c:v>
                </c:pt>
                <c:pt idx="14">
                  <c:v>80</c:v>
                </c:pt>
                <c:pt idx="15">
                  <c:v>100</c:v>
                </c:pt>
                <c:pt idx="16">
                  <c:v>120</c:v>
                </c:pt>
                <c:pt idx="17">
                  <c:v>140</c:v>
                </c:pt>
                <c:pt idx="18">
                  <c:v>160</c:v>
                </c:pt>
                <c:pt idx="19">
                  <c:v>180</c:v>
                </c:pt>
                <c:pt idx="20">
                  <c:v>200</c:v>
                </c:pt>
                <c:pt idx="21">
                  <c:v>220</c:v>
                </c:pt>
                <c:pt idx="22">
                  <c:v>240</c:v>
                </c:pt>
              </c:numCache>
            </c:numRef>
          </c:cat>
          <c:val>
            <c:numRef>
              <c:f>'Chapter 2 Q1 - 5'!$Q$3:$Q$26</c:f>
              <c:numCache>
                <c:formatCode>0.00%</c:formatCode>
                <c:ptCount val="24"/>
                <c:pt idx="0">
                  <c:v>2.6315789473684209E-2</c:v>
                </c:pt>
                <c:pt idx="1">
                  <c:v>2.6315789473684209E-2</c:v>
                </c:pt>
                <c:pt idx="2">
                  <c:v>2.6315789473684209E-2</c:v>
                </c:pt>
                <c:pt idx="3">
                  <c:v>2.6315789473684209E-2</c:v>
                </c:pt>
                <c:pt idx="4">
                  <c:v>5.2631578947368418E-2</c:v>
                </c:pt>
                <c:pt idx="5">
                  <c:v>7.8947368421052627E-2</c:v>
                </c:pt>
                <c:pt idx="6">
                  <c:v>7.8947368421052627E-2</c:v>
                </c:pt>
                <c:pt idx="7">
                  <c:v>7.8947368421052627E-2</c:v>
                </c:pt>
                <c:pt idx="8">
                  <c:v>7.8947368421052627E-2</c:v>
                </c:pt>
                <c:pt idx="9">
                  <c:v>0.10526315789473684</c:v>
                </c:pt>
                <c:pt idx="10">
                  <c:v>0.10526315789473684</c:v>
                </c:pt>
                <c:pt idx="11">
                  <c:v>0.57894736842105265</c:v>
                </c:pt>
                <c:pt idx="12">
                  <c:v>0.73684210526315796</c:v>
                </c:pt>
                <c:pt idx="13">
                  <c:v>0.81578947368421062</c:v>
                </c:pt>
                <c:pt idx="14">
                  <c:v>0.8421052631578948</c:v>
                </c:pt>
                <c:pt idx="15">
                  <c:v>0.86842105263157898</c:v>
                </c:pt>
                <c:pt idx="16">
                  <c:v>0.89473684210526316</c:v>
                </c:pt>
                <c:pt idx="17">
                  <c:v>0.92105263157894735</c:v>
                </c:pt>
                <c:pt idx="18">
                  <c:v>0.94736842105263153</c:v>
                </c:pt>
                <c:pt idx="19">
                  <c:v>0.94736842105263153</c:v>
                </c:pt>
                <c:pt idx="20">
                  <c:v>0.94736842105263153</c:v>
                </c:pt>
                <c:pt idx="21">
                  <c:v>0.94736842105263153</c:v>
                </c:pt>
                <c:pt idx="22">
                  <c:v>0.97368421052631571</c:v>
                </c:pt>
                <c:pt idx="23">
                  <c:v>0.99999999999999989</c:v>
                </c:pt>
              </c:numCache>
            </c:numRef>
          </c:val>
          <c:smooth val="0"/>
          <c:extLst>
            <c:ext xmlns:c16="http://schemas.microsoft.com/office/drawing/2014/chart" uri="{C3380CC4-5D6E-409C-BE32-E72D297353CC}">
              <c16:uniqueId val="{00000001-7C77-C648-B819-1392C728869E}"/>
            </c:ext>
          </c:extLst>
        </c:ser>
        <c:dLbls>
          <c:showLegendKey val="0"/>
          <c:showVal val="0"/>
          <c:showCatName val="0"/>
          <c:showSerName val="0"/>
          <c:showPercent val="0"/>
          <c:showBubbleSize val="0"/>
        </c:dLbls>
        <c:smooth val="0"/>
        <c:axId val="1666947952"/>
        <c:axId val="1666853232"/>
      </c:lineChart>
      <c:catAx>
        <c:axId val="166694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53232"/>
        <c:crosses val="autoZero"/>
        <c:auto val="1"/>
        <c:lblAlgn val="ctr"/>
        <c:lblOffset val="100"/>
        <c:noMultiLvlLbl val="0"/>
      </c:catAx>
      <c:valAx>
        <c:axId val="1666853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947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numRef>
              <c:f>'Chapter 2 Q1 - 5'!$U$17:$U$41</c:f>
              <c:numCache>
                <c:formatCode>General</c:formatCode>
                <c:ptCount val="25"/>
                <c:pt idx="0">
                  <c:v>-210</c:v>
                </c:pt>
                <c:pt idx="1">
                  <c:v>-190</c:v>
                </c:pt>
                <c:pt idx="2">
                  <c:v>-170</c:v>
                </c:pt>
                <c:pt idx="3">
                  <c:v>-150</c:v>
                </c:pt>
                <c:pt idx="4">
                  <c:v>-130</c:v>
                </c:pt>
                <c:pt idx="5">
                  <c:v>-110</c:v>
                </c:pt>
                <c:pt idx="6">
                  <c:v>-90</c:v>
                </c:pt>
                <c:pt idx="7">
                  <c:v>-70</c:v>
                </c:pt>
                <c:pt idx="8">
                  <c:v>-50</c:v>
                </c:pt>
                <c:pt idx="9">
                  <c:v>-30</c:v>
                </c:pt>
                <c:pt idx="10">
                  <c:v>-10</c:v>
                </c:pt>
                <c:pt idx="11">
                  <c:v>10</c:v>
                </c:pt>
                <c:pt idx="12">
                  <c:v>30</c:v>
                </c:pt>
                <c:pt idx="13">
                  <c:v>50</c:v>
                </c:pt>
                <c:pt idx="14">
                  <c:v>70</c:v>
                </c:pt>
                <c:pt idx="15">
                  <c:v>90</c:v>
                </c:pt>
                <c:pt idx="16">
                  <c:v>110</c:v>
                </c:pt>
                <c:pt idx="17">
                  <c:v>130</c:v>
                </c:pt>
                <c:pt idx="18">
                  <c:v>150</c:v>
                </c:pt>
                <c:pt idx="19">
                  <c:v>170</c:v>
                </c:pt>
                <c:pt idx="20">
                  <c:v>190</c:v>
                </c:pt>
                <c:pt idx="21">
                  <c:v>210</c:v>
                </c:pt>
                <c:pt idx="22">
                  <c:v>230</c:v>
                </c:pt>
                <c:pt idx="23">
                  <c:v>250</c:v>
                </c:pt>
              </c:numCache>
            </c:numRef>
          </c:cat>
          <c:val>
            <c:numRef>
              <c:f>'Chapter 2 Q1 - 5'!$V$17:$V$41</c:f>
              <c:numCache>
                <c:formatCode>General</c:formatCode>
                <c:ptCount val="25"/>
                <c:pt idx="0">
                  <c:v>1</c:v>
                </c:pt>
                <c:pt idx="1">
                  <c:v>0</c:v>
                </c:pt>
                <c:pt idx="2">
                  <c:v>0</c:v>
                </c:pt>
                <c:pt idx="3">
                  <c:v>0</c:v>
                </c:pt>
                <c:pt idx="4">
                  <c:v>1</c:v>
                </c:pt>
                <c:pt idx="5">
                  <c:v>1</c:v>
                </c:pt>
                <c:pt idx="6">
                  <c:v>0</c:v>
                </c:pt>
                <c:pt idx="7">
                  <c:v>0</c:v>
                </c:pt>
                <c:pt idx="8">
                  <c:v>0</c:v>
                </c:pt>
                <c:pt idx="9">
                  <c:v>1</c:v>
                </c:pt>
                <c:pt idx="10">
                  <c:v>0</c:v>
                </c:pt>
                <c:pt idx="11">
                  <c:v>18</c:v>
                </c:pt>
                <c:pt idx="12">
                  <c:v>6</c:v>
                </c:pt>
                <c:pt idx="13">
                  <c:v>3</c:v>
                </c:pt>
                <c:pt idx="14">
                  <c:v>1</c:v>
                </c:pt>
                <c:pt idx="15">
                  <c:v>1</c:v>
                </c:pt>
                <c:pt idx="16">
                  <c:v>1</c:v>
                </c:pt>
                <c:pt idx="17">
                  <c:v>1</c:v>
                </c:pt>
                <c:pt idx="18">
                  <c:v>1</c:v>
                </c:pt>
                <c:pt idx="19">
                  <c:v>0</c:v>
                </c:pt>
                <c:pt idx="20">
                  <c:v>0</c:v>
                </c:pt>
                <c:pt idx="21">
                  <c:v>0</c:v>
                </c:pt>
                <c:pt idx="22">
                  <c:v>1</c:v>
                </c:pt>
                <c:pt idx="23">
                  <c:v>1</c:v>
                </c:pt>
              </c:numCache>
            </c:numRef>
          </c:val>
          <c:extLst>
            <c:ext xmlns:c16="http://schemas.microsoft.com/office/drawing/2014/chart" uri="{C3380CC4-5D6E-409C-BE32-E72D297353CC}">
              <c16:uniqueId val="{00000001-1EED-D947-B8CC-12E3B6FEA7C0}"/>
            </c:ext>
          </c:extLst>
        </c:ser>
        <c:dLbls>
          <c:showLegendKey val="0"/>
          <c:showVal val="0"/>
          <c:showCatName val="0"/>
          <c:showSerName val="0"/>
          <c:showPercent val="0"/>
          <c:showBubbleSize val="0"/>
        </c:dLbls>
        <c:gapWidth val="0"/>
        <c:axId val="164017087"/>
        <c:axId val="351593119"/>
      </c:barChart>
      <c:catAx>
        <c:axId val="164017087"/>
        <c:scaling>
          <c:orientation val="minMax"/>
        </c:scaling>
        <c:delete val="0"/>
        <c:axPos val="b"/>
        <c:title>
          <c:tx>
            <c:rich>
              <a:bodyPr/>
              <a:lstStyle/>
              <a:p>
                <a:pPr>
                  <a:defRPr/>
                </a:pPr>
                <a:r>
                  <a:rPr lang="en-US"/>
                  <a:t>Bins</a:t>
                </a:r>
              </a:p>
            </c:rich>
          </c:tx>
          <c:overlay val="0"/>
        </c:title>
        <c:numFmt formatCode="General" sourceLinked="1"/>
        <c:majorTickMark val="out"/>
        <c:minorTickMark val="none"/>
        <c:tickLblPos val="nextTo"/>
        <c:crossAx val="351593119"/>
        <c:crosses val="autoZero"/>
        <c:auto val="1"/>
        <c:lblAlgn val="ctr"/>
        <c:lblOffset val="100"/>
        <c:noMultiLvlLbl val="0"/>
      </c:catAx>
      <c:valAx>
        <c:axId val="351593119"/>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164017087"/>
        <c:crosses val="autoZero"/>
        <c:crossBetween val="between"/>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Calories</a:t>
            </a:r>
            <a:r>
              <a:rPr lang="en-GB" baseline="0"/>
              <a:t> Burned V/s Time spent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310734908136483"/>
                  <c:y val="0.43942111402741324"/>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y = 11.731 x - 55.468</a:t>
                    </a:r>
                    <a:endParaRPr lang="en-US"/>
                  </a:p>
                </c:rich>
              </c:tx>
              <c:numFmt formatCode="General" sourceLinked="0"/>
              <c:spPr>
                <a:solidFill>
                  <a:schemeClr val="accent6">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'Chapter 2 6 - 7'!$B$2:$B$18</c:f>
              <c:numCache>
                <c:formatCode>General</c:formatCode>
                <c:ptCount val="17"/>
                <c:pt idx="0">
                  <c:v>35</c:v>
                </c:pt>
                <c:pt idx="1">
                  <c:v>30</c:v>
                </c:pt>
                <c:pt idx="2">
                  <c:v>45</c:v>
                </c:pt>
                <c:pt idx="3">
                  <c:v>45</c:v>
                </c:pt>
                <c:pt idx="4">
                  <c:v>40</c:v>
                </c:pt>
                <c:pt idx="5">
                  <c:v>50</c:v>
                </c:pt>
                <c:pt idx="6">
                  <c:v>50</c:v>
                </c:pt>
                <c:pt idx="7">
                  <c:v>60</c:v>
                </c:pt>
                <c:pt idx="8">
                  <c:v>55</c:v>
                </c:pt>
                <c:pt idx="9">
                  <c:v>60</c:v>
                </c:pt>
                <c:pt idx="10">
                  <c:v>55</c:v>
                </c:pt>
                <c:pt idx="11">
                  <c:v>55</c:v>
                </c:pt>
                <c:pt idx="12">
                  <c:v>60</c:v>
                </c:pt>
                <c:pt idx="13">
                  <c:v>55</c:v>
                </c:pt>
                <c:pt idx="14">
                  <c:v>60</c:v>
                </c:pt>
                <c:pt idx="15">
                  <c:v>60</c:v>
                </c:pt>
                <c:pt idx="16">
                  <c:v>55</c:v>
                </c:pt>
              </c:numCache>
            </c:numRef>
          </c:xVal>
          <c:yVal>
            <c:numRef>
              <c:f>'Chapter 2 6 - 7'!$C$2:$C$18</c:f>
              <c:numCache>
                <c:formatCode>General</c:formatCode>
                <c:ptCount val="17"/>
                <c:pt idx="0">
                  <c:v>300</c:v>
                </c:pt>
                <c:pt idx="1">
                  <c:v>320</c:v>
                </c:pt>
                <c:pt idx="2">
                  <c:v>480</c:v>
                </c:pt>
                <c:pt idx="3">
                  <c:v>479</c:v>
                </c:pt>
                <c:pt idx="4">
                  <c:v>415</c:v>
                </c:pt>
                <c:pt idx="5">
                  <c:v>550</c:v>
                </c:pt>
                <c:pt idx="6">
                  <c:v>560</c:v>
                </c:pt>
                <c:pt idx="7">
                  <c:v>640</c:v>
                </c:pt>
                <c:pt idx="8">
                  <c:v>590</c:v>
                </c:pt>
                <c:pt idx="9">
                  <c:v>644</c:v>
                </c:pt>
                <c:pt idx="10">
                  <c:v>590</c:v>
                </c:pt>
                <c:pt idx="11">
                  <c:v>580</c:v>
                </c:pt>
                <c:pt idx="12">
                  <c:v>650</c:v>
                </c:pt>
                <c:pt idx="13">
                  <c:v>590</c:v>
                </c:pt>
                <c:pt idx="14">
                  <c:v>645</c:v>
                </c:pt>
                <c:pt idx="15">
                  <c:v>640</c:v>
                </c:pt>
                <c:pt idx="16">
                  <c:v>590</c:v>
                </c:pt>
              </c:numCache>
            </c:numRef>
          </c:yVal>
          <c:smooth val="0"/>
          <c:extLst>
            <c:ext xmlns:c16="http://schemas.microsoft.com/office/drawing/2014/chart" uri="{C3380CC4-5D6E-409C-BE32-E72D297353CC}">
              <c16:uniqueId val="{00000000-9638-F04B-9D05-A478472F6C83}"/>
            </c:ext>
          </c:extLst>
        </c:ser>
        <c:dLbls>
          <c:showLegendKey val="0"/>
          <c:showVal val="0"/>
          <c:showCatName val="0"/>
          <c:showSerName val="0"/>
          <c:showPercent val="0"/>
          <c:showBubbleSize val="0"/>
        </c:dLbls>
        <c:axId val="78290368"/>
        <c:axId val="187455296"/>
      </c:scatterChart>
      <c:valAx>
        <c:axId val="78290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Minutes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55296"/>
        <c:crosses val="autoZero"/>
        <c:crossBetween val="midCat"/>
      </c:valAx>
      <c:valAx>
        <c:axId val="187455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Calories</a:t>
                </a:r>
                <a:r>
                  <a:rPr lang="en-GB" baseline="0"/>
                  <a:t> Burned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903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Sum of Quantity (Pareto Chart)</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Sum of Quantity (Pareto Chart)</a:t>
          </a:r>
        </a:p>
      </cx:txPr>
    </cx:title>
    <cx:plotArea>
      <cx:plotAreaRegion>
        <cx:series layoutId="clusteredColumn" uniqueId="{60019CDA-6843-C742-8B4D-E0F689788E69}">
          <cx:dataLabels pos="inEnd">
            <cx:visibility seriesName="0" categoryName="0" value="1"/>
          </cx:dataLabels>
          <cx:dataId val="0"/>
          <cx:layoutPr>
            <cx:aggregation/>
          </cx:layoutPr>
          <cx:axisId val="1"/>
        </cx:series>
        <cx:series layoutId="paretoLine" ownerIdx="0" uniqueId="{3508CF20-5763-7C45-9E06-3B56365C0805}">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596900</xdr:colOff>
      <xdr:row>0</xdr:row>
      <xdr:rowOff>12700</xdr:rowOff>
    </xdr:from>
    <xdr:to>
      <xdr:col>16</xdr:col>
      <xdr:colOff>228600</xdr:colOff>
      <xdr:row>21</xdr:row>
      <xdr:rowOff>76200</xdr:rowOff>
    </xdr:to>
    <xdr:sp macro="" textlink="">
      <xdr:nvSpPr>
        <xdr:cNvPr id="2" name="TextBox 1">
          <a:extLst>
            <a:ext uri="{FF2B5EF4-FFF2-40B4-BE49-F238E27FC236}">
              <a16:creationId xmlns:a16="http://schemas.microsoft.com/office/drawing/2014/main" id="{B4A74DC1-934C-41A3-83E6-A3C675905733}"/>
            </a:ext>
          </a:extLst>
        </xdr:cNvPr>
        <xdr:cNvSpPr txBox="1"/>
      </xdr:nvSpPr>
      <xdr:spPr>
        <a:xfrm>
          <a:off x="3321050" y="12700"/>
          <a:ext cx="6946900" cy="3930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For questions 1- Classify each variable as categorical or numerical and determine its measurement scale.  If a variable is numerical also state if it is discrete or continuous.</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Note:  There is a drop down box in the cells from which to use your answer.</a:t>
          </a:r>
          <a:endParaRPr lang="en-US">
            <a:effectLst/>
          </a:endParaRPr>
        </a:p>
        <a:p>
          <a:endParaRPr lang="en-US" sz="1100"/>
        </a:p>
        <a:p>
          <a:r>
            <a:rPr lang="en-US" sz="1100"/>
            <a:t>1.</a:t>
          </a:r>
          <a:r>
            <a:rPr lang="en-US" sz="1100" baseline="0"/>
            <a:t> </a:t>
          </a:r>
          <a:r>
            <a:rPr lang="en-US" sz="1100" b="0" i="0">
              <a:solidFill>
                <a:schemeClr val="dk1"/>
              </a:solidFill>
              <a:effectLst/>
              <a:latin typeface="+mn-lt"/>
              <a:ea typeface="+mn-ea"/>
              <a:cs typeface="+mn-cs"/>
            </a:rPr>
            <a:t> Consumers were asked to rate their</a:t>
          </a:r>
          <a:r>
            <a:rPr lang="en-US" sz="1100" b="0" i="0" baseline="0">
              <a:solidFill>
                <a:schemeClr val="dk1"/>
              </a:solidFill>
              <a:effectLst/>
              <a:latin typeface="+mn-lt"/>
              <a:ea typeface="+mn-ea"/>
              <a:cs typeface="+mn-cs"/>
            </a:rPr>
            <a:t> cell phone service</a:t>
          </a:r>
          <a:r>
            <a:rPr lang="en-US" sz="1100" b="0" i="0">
              <a:solidFill>
                <a:schemeClr val="dk1"/>
              </a:solidFill>
              <a:effectLst/>
              <a:latin typeface="+mn-lt"/>
              <a:ea typeface="+mn-ea"/>
              <a:cs typeface="+mn-cs"/>
            </a:rPr>
            <a:t> outstanding, very good, fair or poor.  </a:t>
          </a:r>
          <a:br>
            <a:rPr lang="en-US" sz="1100" b="0" i="0">
              <a:solidFill>
                <a:schemeClr val="dk1"/>
              </a:solidFill>
              <a:effectLst/>
              <a:latin typeface="+mn-lt"/>
              <a:ea typeface="+mn-ea"/>
              <a:cs typeface="+mn-cs"/>
            </a:rPr>
          </a:br>
          <a:r>
            <a:rPr lang="en-US" sz="1100" baseline="0"/>
            <a:t>2. </a:t>
          </a:r>
          <a:r>
            <a:rPr lang="en-US" sz="1100" b="0" i="0">
              <a:solidFill>
                <a:schemeClr val="dk1"/>
              </a:solidFill>
              <a:effectLst/>
              <a:latin typeface="+mn-lt"/>
              <a:ea typeface="+mn-ea"/>
              <a:cs typeface="+mn-cs"/>
            </a:rPr>
            <a:t> Eye color</a:t>
          </a:r>
        </a:p>
        <a:p>
          <a:r>
            <a:rPr lang="en-US" sz="1100" baseline="0"/>
            <a:t>3.  Height</a:t>
          </a:r>
          <a:br>
            <a:rPr lang="en-US" sz="1100" baseline="0"/>
          </a:br>
          <a:r>
            <a:rPr lang="en-US" sz="1100" baseline="0"/>
            <a:t>4.  Academic Major</a:t>
          </a:r>
          <a:br>
            <a:rPr lang="en-US" sz="1100" baseline="0"/>
          </a:br>
          <a:r>
            <a:rPr lang="en-US" sz="1100" baseline="0"/>
            <a:t>5.  Blood Type</a:t>
          </a:r>
        </a:p>
        <a:p>
          <a:r>
            <a:rPr lang="en-US" sz="1100" baseline="0"/>
            <a:t>6. Credit Score ( values range from 300-850)</a:t>
          </a:r>
        </a:p>
        <a:p>
          <a:r>
            <a:rPr lang="en-US" sz="1100" b="0" i="0" u="none" strike="noStrike">
              <a:solidFill>
                <a:schemeClr val="dk1"/>
              </a:solidFill>
              <a:effectLst/>
              <a:latin typeface="+mn-lt"/>
              <a:ea typeface="+mn-ea"/>
              <a:cs typeface="+mn-cs"/>
            </a:rPr>
            <a:t> </a:t>
          </a:r>
          <a:r>
            <a:rPr lang="en-US"/>
            <a:t> </a:t>
          </a:r>
          <a:br>
            <a:rPr lang="en-US" sz="1100" baseline="0"/>
          </a:br>
          <a:r>
            <a:rPr lang="en-US" sz="1100" baseline="0"/>
            <a:t> For questions  8 - 13 determine the sampling technique that was used</a:t>
          </a:r>
        </a:p>
        <a:p>
          <a:r>
            <a:rPr lang="en-US" sz="1100" baseline="0">
              <a:solidFill>
                <a:schemeClr val="dk1"/>
              </a:solidFill>
              <a:effectLst/>
              <a:latin typeface="+mn-lt"/>
              <a:ea typeface="+mn-ea"/>
              <a:cs typeface="+mn-cs"/>
            </a:rPr>
            <a:t>7.  </a:t>
          </a:r>
          <a:r>
            <a:rPr lang="en-US" sz="1100" b="0" i="0">
              <a:solidFill>
                <a:schemeClr val="dk1"/>
              </a:solidFill>
              <a:effectLst/>
              <a:latin typeface="+mn-lt"/>
              <a:ea typeface="+mn-ea"/>
              <a:cs typeface="+mn-cs"/>
            </a:rPr>
            <a:t>A grocery store surveys 50 employees by taking random samples of 10 managers, 20 stockers and 20 cashiers.</a:t>
          </a:r>
        </a:p>
        <a:p>
          <a:r>
            <a:rPr lang="en-US" sz="1100" b="0" i="0" baseline="0">
              <a:solidFill>
                <a:schemeClr val="dk1"/>
              </a:solidFill>
              <a:effectLst/>
              <a:latin typeface="+mn-lt"/>
              <a:ea typeface="+mn-ea"/>
              <a:cs typeface="+mn-cs"/>
            </a:rPr>
            <a:t>8.  You survey people as they come out of your local grocery store.</a:t>
          </a:r>
          <a:endParaRPr lang="en-US">
            <a:effectLst/>
          </a:endParaRPr>
        </a:p>
        <a:p>
          <a:r>
            <a:rPr lang="en-US" sz="1100" baseline="0"/>
            <a:t>9. </a:t>
          </a:r>
          <a:r>
            <a:rPr lang="en-US" sz="1100">
              <a:solidFill>
                <a:schemeClr val="dk1"/>
              </a:solidFill>
              <a:effectLst/>
              <a:latin typeface="+mn-lt"/>
              <a:ea typeface="+mn-ea"/>
              <a:cs typeface="+mn-cs"/>
            </a:rPr>
            <a:t> </a:t>
          </a:r>
          <a:r>
            <a:rPr lang="en-US" sz="1100" b="0" i="0">
              <a:solidFill>
                <a:schemeClr val="dk1"/>
              </a:solidFill>
              <a:effectLst/>
              <a:latin typeface="+mn-lt"/>
              <a:ea typeface="+mn-ea"/>
              <a:cs typeface="+mn-cs"/>
            </a:rPr>
            <a:t>A car manufacturer selects 3 autos at random from each of 7 models for safety testing. </a:t>
          </a:r>
        </a:p>
        <a:p>
          <a:r>
            <a:rPr lang="en-US" sz="1100">
              <a:solidFill>
                <a:schemeClr val="dk1"/>
              </a:solidFill>
              <a:effectLst/>
              <a:latin typeface="+mn-lt"/>
              <a:ea typeface="+mn-ea"/>
              <a:cs typeface="+mn-cs"/>
            </a:rPr>
            <a:t>10.</a:t>
          </a:r>
          <a:r>
            <a:rPr lang="en-US" sz="1100" baseline="0">
              <a:solidFill>
                <a:schemeClr val="dk1"/>
              </a:solidFill>
              <a:effectLst/>
              <a:latin typeface="+mn-lt"/>
              <a:ea typeface="+mn-ea"/>
              <a:cs typeface="+mn-cs"/>
            </a:rPr>
            <a:t> </a:t>
          </a:r>
          <a:r>
            <a:rPr lang="en-US" sz="1100" b="0" i="0">
              <a:solidFill>
                <a:schemeClr val="dk1"/>
              </a:solidFill>
              <a:effectLst/>
              <a:latin typeface="+mn-lt"/>
              <a:ea typeface="+mn-ea"/>
              <a:cs typeface="+mn-cs"/>
            </a:rPr>
            <a:t>A large</a:t>
          </a:r>
          <a:r>
            <a:rPr lang="en-US" sz="1100" b="0" i="0" baseline="0">
              <a:solidFill>
                <a:schemeClr val="dk1"/>
              </a:solidFill>
              <a:effectLst/>
              <a:latin typeface="+mn-lt"/>
              <a:ea typeface="+mn-ea"/>
              <a:cs typeface="+mn-cs"/>
            </a:rPr>
            <a:t> grocery store chain </a:t>
          </a:r>
          <a:r>
            <a:rPr lang="en-US" sz="1100" b="0" i="0">
              <a:solidFill>
                <a:schemeClr val="dk1"/>
              </a:solidFill>
              <a:effectLst/>
              <a:latin typeface="+mn-lt"/>
              <a:ea typeface="+mn-ea"/>
              <a:cs typeface="+mn-cs"/>
            </a:rPr>
            <a:t>surveys 20,000 employees.</a:t>
          </a:r>
          <a:r>
            <a:rPr lang="en-US" sz="1100" b="0" i="0" baseline="0">
              <a:solidFill>
                <a:schemeClr val="dk1"/>
              </a:solidFill>
              <a:effectLst/>
              <a:latin typeface="+mn-lt"/>
              <a:ea typeface="+mn-ea"/>
              <a:cs typeface="+mn-cs"/>
            </a:rPr>
            <a:t>  Employees are selected </a:t>
          </a:r>
          <a:r>
            <a:rPr lang="en-US" sz="1100" b="0" i="0">
              <a:solidFill>
                <a:schemeClr val="dk1"/>
              </a:solidFill>
              <a:effectLst/>
              <a:latin typeface="+mn-lt"/>
              <a:ea typeface="+mn-ea"/>
              <a:cs typeface="+mn-cs"/>
            </a:rPr>
            <a:t>by randomly  selecting</a:t>
          </a:r>
          <a:r>
            <a:rPr lang="en-US" sz="1100" b="0" i="0" baseline="0">
              <a:solidFill>
                <a:schemeClr val="dk1"/>
              </a:solidFill>
              <a:effectLst/>
              <a:latin typeface="+mn-lt"/>
              <a:ea typeface="+mn-ea"/>
              <a:cs typeface="+mn-cs"/>
            </a:rPr>
            <a:t> Employees by their ID numbers.</a:t>
          </a: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11. </a:t>
          </a:r>
          <a:r>
            <a:rPr lang="en-US" sz="1100" b="0" i="0">
              <a:solidFill>
                <a:schemeClr val="dk1"/>
              </a:solidFill>
              <a:effectLst/>
              <a:latin typeface="+mn-lt"/>
              <a:ea typeface="+mn-ea"/>
              <a:cs typeface="+mn-cs"/>
            </a:rPr>
            <a:t>The police set up checkpoints at randomly selected road locations, then inspected every driver at those locations.</a:t>
          </a:r>
        </a:p>
        <a:p>
          <a:r>
            <a:rPr lang="en-US" sz="1100" b="0" i="0">
              <a:solidFill>
                <a:schemeClr val="dk1"/>
              </a:solidFill>
              <a:effectLst/>
              <a:latin typeface="+mn-lt"/>
              <a:ea typeface="+mn-ea"/>
              <a:cs typeface="+mn-cs"/>
            </a:rPr>
            <a:t>12.</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The</a:t>
          </a:r>
          <a:r>
            <a:rPr lang="en-US" sz="1100" b="0" i="0" baseline="0">
              <a:solidFill>
                <a:schemeClr val="dk1"/>
              </a:solidFill>
              <a:effectLst/>
              <a:latin typeface="+mn-lt"/>
              <a:ea typeface="+mn-ea"/>
              <a:cs typeface="+mn-cs"/>
            </a:rPr>
            <a:t> university administration surveys </a:t>
          </a:r>
          <a:r>
            <a:rPr lang="en-US" sz="1100" b="0" i="0">
              <a:solidFill>
                <a:schemeClr val="dk1"/>
              </a:solidFill>
              <a:effectLst/>
              <a:latin typeface="+mn-lt"/>
              <a:ea typeface="+mn-ea"/>
              <a:cs typeface="+mn-cs"/>
            </a:rPr>
            <a:t>100 students by taking random samples of 25 freshmen, 25 sophomores, 25 juniors, and 25 seniors.  What type</a:t>
          </a:r>
          <a:r>
            <a:rPr lang="en-US" sz="1100" b="0" i="0" baseline="0">
              <a:solidFill>
                <a:schemeClr val="dk1"/>
              </a:solidFill>
              <a:effectLst/>
              <a:latin typeface="+mn-lt"/>
              <a:ea typeface="+mn-ea"/>
              <a:cs typeface="+mn-cs"/>
            </a:rPr>
            <a:t> of survey is this?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br>
            <a:rPr lang="en-US" sz="1100" b="0" i="0" baseline="0">
              <a:solidFill>
                <a:schemeClr val="dk1"/>
              </a:solidFill>
              <a:effectLst/>
              <a:latin typeface="+mn-lt"/>
              <a:ea typeface="+mn-ea"/>
              <a:cs typeface="+mn-cs"/>
            </a:rPr>
          </a:br>
          <a:r>
            <a:rPr lang="en-US" sz="1100" b="0" i="0" baseline="0">
              <a:solidFill>
                <a:schemeClr val="dk1"/>
              </a:solidFill>
              <a:effectLst/>
              <a:latin typeface="+mn-lt"/>
              <a:ea typeface="+mn-ea"/>
              <a:cs typeface="+mn-cs"/>
            </a:rPr>
            <a:t>***Some questions may have the same survey type </a:t>
          </a:r>
          <a:endParaRPr lang="en-US">
            <a:effectLst/>
          </a:endParaRPr>
        </a:p>
        <a:p>
          <a:br>
            <a:rPr lang="en-US" sz="1100">
              <a:solidFill>
                <a:schemeClr val="dk1"/>
              </a:solidFill>
              <a:effectLst/>
              <a:latin typeface="+mn-lt"/>
              <a:ea typeface="+mn-ea"/>
              <a:cs typeface="+mn-cs"/>
            </a:rPr>
          </a:br>
          <a:endParaRPr lang="en-US" sz="1100">
            <a:solidFill>
              <a:schemeClr val="dk1"/>
            </a:solidFill>
            <a:effectLst/>
            <a:latin typeface="+mn-lt"/>
            <a:ea typeface="+mn-ea"/>
            <a:cs typeface="+mn-cs"/>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57</xdr:row>
      <xdr:rowOff>144991</xdr:rowOff>
    </xdr:from>
    <xdr:to>
      <xdr:col>9</xdr:col>
      <xdr:colOff>711200</xdr:colOff>
      <xdr:row>81</xdr:row>
      <xdr:rowOff>118532</xdr:rowOff>
    </xdr:to>
    <xdr:graphicFrame macro="">
      <xdr:nvGraphicFramePr>
        <xdr:cNvPr id="5" name="Chart 4">
          <a:extLst>
            <a:ext uri="{FF2B5EF4-FFF2-40B4-BE49-F238E27FC236}">
              <a16:creationId xmlns:a16="http://schemas.microsoft.com/office/drawing/2014/main" id="{71C1FABD-AF1A-F8B0-729A-9688D1893E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745067</xdr:colOff>
      <xdr:row>57</xdr:row>
      <xdr:rowOff>169862</xdr:rowOff>
    </xdr:from>
    <xdr:to>
      <xdr:col>16</xdr:col>
      <xdr:colOff>270934</xdr:colOff>
      <xdr:row>81</xdr:row>
      <xdr:rowOff>118534</xdr:rowOff>
    </xdr:to>
    <xdr:graphicFrame macro="">
      <xdr:nvGraphicFramePr>
        <xdr:cNvPr id="7" name="Chart 6">
          <a:extLst>
            <a:ext uri="{FF2B5EF4-FFF2-40B4-BE49-F238E27FC236}">
              <a16:creationId xmlns:a16="http://schemas.microsoft.com/office/drawing/2014/main" id="{D2FB1E61-368B-5ED5-10B3-E5E4B1289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677333</xdr:colOff>
      <xdr:row>40</xdr:row>
      <xdr:rowOff>0</xdr:rowOff>
    </xdr:from>
    <xdr:to>
      <xdr:col>16</xdr:col>
      <xdr:colOff>270933</xdr:colOff>
      <xdr:row>58</xdr:row>
      <xdr:rowOff>1</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9923F96A-0761-9E45-ADCF-2E483D59CB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776633" y="7632700"/>
              <a:ext cx="6654800" cy="65532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40</xdr:row>
      <xdr:rowOff>0</xdr:rowOff>
    </xdr:from>
    <xdr:to>
      <xdr:col>9</xdr:col>
      <xdr:colOff>694267</xdr:colOff>
      <xdr:row>57</xdr:row>
      <xdr:rowOff>174271</xdr:rowOff>
    </xdr:to>
    <xdr:graphicFrame macro="">
      <xdr:nvGraphicFramePr>
        <xdr:cNvPr id="2" name="Chart 1">
          <a:extLst>
            <a:ext uri="{FF2B5EF4-FFF2-40B4-BE49-F238E27FC236}">
              <a16:creationId xmlns:a16="http://schemas.microsoft.com/office/drawing/2014/main" id="{AEA552DD-A2D9-0B46-B2DF-764B7142F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15240</xdr:colOff>
      <xdr:row>7</xdr:row>
      <xdr:rowOff>170181</xdr:rowOff>
    </xdr:from>
    <xdr:to>
      <xdr:col>24</xdr:col>
      <xdr:colOff>76200</xdr:colOff>
      <xdr:row>14</xdr:row>
      <xdr:rowOff>10161</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78779ED2-0FAD-62E9-8ECA-543DDA7E073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888440" y="1531621"/>
              <a:ext cx="1828800" cy="11912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926383</xdr:colOff>
      <xdr:row>0</xdr:row>
      <xdr:rowOff>0</xdr:rowOff>
    </xdr:from>
    <xdr:to>
      <xdr:col>18</xdr:col>
      <xdr:colOff>1720167</xdr:colOff>
      <xdr:row>14</xdr:row>
      <xdr:rowOff>30480</xdr:rowOff>
    </xdr:to>
    <xdr:graphicFrame macro="">
      <xdr:nvGraphicFramePr>
        <xdr:cNvPr id="4" name="Chart 3">
          <a:extLst>
            <a:ext uri="{FF2B5EF4-FFF2-40B4-BE49-F238E27FC236}">
              <a16:creationId xmlns:a16="http://schemas.microsoft.com/office/drawing/2014/main" id="{E8C8E62A-B93B-A908-0A32-CDCFB0B76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926383</xdr:colOff>
      <xdr:row>14</xdr:row>
      <xdr:rowOff>31174</xdr:rowOff>
    </xdr:from>
    <xdr:to>
      <xdr:col>18</xdr:col>
      <xdr:colOff>1720167</xdr:colOff>
      <xdr:row>28</xdr:row>
      <xdr:rowOff>71814</xdr:rowOff>
    </xdr:to>
    <xdr:graphicFrame macro="">
      <xdr:nvGraphicFramePr>
        <xdr:cNvPr id="8" name="Chart 7">
          <a:extLst>
            <a:ext uri="{FF2B5EF4-FFF2-40B4-BE49-F238E27FC236}">
              <a16:creationId xmlns:a16="http://schemas.microsoft.com/office/drawing/2014/main" id="{FFD60E55-52C0-9E4F-B0D2-1B73299A2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1682043</xdr:colOff>
      <xdr:row>0</xdr:row>
      <xdr:rowOff>0</xdr:rowOff>
    </xdr:from>
    <xdr:to>
      <xdr:col>20</xdr:col>
      <xdr:colOff>691443</xdr:colOff>
      <xdr:row>9</xdr:row>
      <xdr:rowOff>184530</xdr:rowOff>
    </xdr:to>
    <xdr:graphicFrame macro="">
      <xdr:nvGraphicFramePr>
        <xdr:cNvPr id="15" name="Chart 14">
          <a:extLst>
            <a:ext uri="{FF2B5EF4-FFF2-40B4-BE49-F238E27FC236}">
              <a16:creationId xmlns:a16="http://schemas.microsoft.com/office/drawing/2014/main" id="{55B9F31E-A7E6-9F6D-AEB1-033180AA3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12095</xdr:colOff>
      <xdr:row>1</xdr:row>
      <xdr:rowOff>13440</xdr:rowOff>
    </xdr:from>
    <xdr:to>
      <xdr:col>11</xdr:col>
      <xdr:colOff>0</xdr:colOff>
      <xdr:row>18</xdr:row>
      <xdr:rowOff>6719</xdr:rowOff>
    </xdr:to>
    <xdr:graphicFrame macro="">
      <xdr:nvGraphicFramePr>
        <xdr:cNvPr id="5" name="Chart 4">
          <a:extLst>
            <a:ext uri="{FF2B5EF4-FFF2-40B4-BE49-F238E27FC236}">
              <a16:creationId xmlns:a16="http://schemas.microsoft.com/office/drawing/2014/main" id="{86B1BB5E-5B3A-479A-FC94-9B565DDD9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Khanna" refreshedDate="45538.859952662038" createdVersion="8" refreshedVersion="8" minRefreshableVersion="3" recordCount="38" xr:uid="{10852862-53B3-584B-8C55-623D68ADAA9E}">
  <cacheSource type="worksheet">
    <worksheetSource ref="A1:F39" sheet="Chapter 2 Q1 - 5"/>
  </cacheSource>
  <cacheFields count="6">
    <cacheField name="Category" numFmtId="0">
      <sharedItems count="3">
        <s v="Furniture"/>
        <s v="Office Supplies"/>
        <s v="Technology"/>
      </sharedItems>
    </cacheField>
    <cacheField name="Sub-Category" numFmtId="0">
      <sharedItems count="13">
        <s v="Bookcases"/>
        <s v="Chairs"/>
        <s v="Labels"/>
        <s v="Tables"/>
        <s v="Storage"/>
        <s v="Furnishings"/>
        <s v="Art"/>
        <s v="Phones"/>
        <s v="Binders"/>
        <s v="Appliances"/>
        <s v="Paper"/>
        <s v="Accessories"/>
        <s v="Envelopes"/>
      </sharedItems>
    </cacheField>
    <cacheField name="Sales" numFmtId="0">
      <sharedItems containsSemiMixedTypes="0" containsString="0" containsNumber="1" minValue="2.5439999999999996" maxValue="1706.1840000000002"/>
    </cacheField>
    <cacheField name="Quantity" numFmtId="0">
      <sharedItems containsSemiMixedTypes="0" containsString="0" containsNumber="1" containsInteger="1" minValue="2" maxValue="9"/>
    </cacheField>
    <cacheField name="Advertising" numFmtId="0">
      <sharedItems containsSemiMixedTypes="0" containsString="0" containsNumber="1" minValue="0" maxValue="0.8"/>
    </cacheField>
    <cacheField name="Profit" numFmtId="0">
      <sharedItems containsSemiMixedTypes="0" containsString="0" containsNumber="1" minValue="-210" maxValue="240.26490000000001"/>
    </cacheField>
  </cacheFields>
  <extLst>
    <ext xmlns:x14="http://schemas.microsoft.com/office/spreadsheetml/2009/9/main" uri="{725AE2AE-9491-48be-B2B4-4EB974FC3084}">
      <x14:pivotCacheDefinition pivotCacheId="1010390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x v="0"/>
    <n v="261.95999999999998"/>
    <n v="2"/>
    <n v="0"/>
    <n v="41.913600000000002"/>
  </r>
  <r>
    <x v="0"/>
    <x v="1"/>
    <n v="731.93999999999994"/>
    <n v="3"/>
    <n v="0"/>
    <n v="219.58199999999997"/>
  </r>
  <r>
    <x v="1"/>
    <x v="2"/>
    <n v="14.62"/>
    <n v="2"/>
    <n v="0"/>
    <n v="6.8713999999999995"/>
  </r>
  <r>
    <x v="0"/>
    <x v="3"/>
    <n v="957.57749999999999"/>
    <n v="5"/>
    <n v="0.45"/>
    <n v="-210"/>
  </r>
  <r>
    <x v="1"/>
    <x v="4"/>
    <n v="22.368000000000002"/>
    <n v="2"/>
    <n v="0.2"/>
    <n v="2.5163999999999991"/>
  </r>
  <r>
    <x v="0"/>
    <x v="5"/>
    <n v="48.86"/>
    <n v="7"/>
    <n v="0"/>
    <n v="14.169399999999996"/>
  </r>
  <r>
    <x v="1"/>
    <x v="6"/>
    <n v="7.28"/>
    <n v="4"/>
    <n v="0"/>
    <n v="1.9656000000000002"/>
  </r>
  <r>
    <x v="2"/>
    <x v="7"/>
    <n v="907.15200000000004"/>
    <n v="6"/>
    <n v="0.2"/>
    <n v="90.715200000000038"/>
  </r>
  <r>
    <x v="1"/>
    <x v="8"/>
    <n v="18.504000000000001"/>
    <n v="3"/>
    <n v="0.2"/>
    <n v="5.7824999999999998"/>
  </r>
  <r>
    <x v="1"/>
    <x v="9"/>
    <n v="114.9"/>
    <n v="5"/>
    <n v="0"/>
    <n v="34.469999999999992"/>
  </r>
  <r>
    <x v="0"/>
    <x v="3"/>
    <n v="1706.1840000000002"/>
    <n v="9"/>
    <n v="0.2"/>
    <n v="85.309199999999805"/>
  </r>
  <r>
    <x v="2"/>
    <x v="7"/>
    <n v="911.42399999999998"/>
    <n v="4"/>
    <n v="0.2"/>
    <n v="68.356800000000021"/>
  </r>
  <r>
    <x v="1"/>
    <x v="10"/>
    <n v="15.552000000000003"/>
    <n v="3"/>
    <n v="0.2"/>
    <n v="5.4432"/>
  </r>
  <r>
    <x v="1"/>
    <x v="8"/>
    <n v="407.97600000000006"/>
    <n v="3"/>
    <n v="0.2"/>
    <n v="132.59219999999993"/>
  </r>
  <r>
    <x v="1"/>
    <x v="9"/>
    <n v="68.809999999999988"/>
    <n v="5"/>
    <n v="0.8"/>
    <n v="-123.858"/>
  </r>
  <r>
    <x v="1"/>
    <x v="8"/>
    <n v="2.5439999999999996"/>
    <n v="3"/>
    <n v="0.8"/>
    <n v="-3.8160000000000016"/>
  </r>
  <r>
    <x v="1"/>
    <x v="4"/>
    <n v="665.88"/>
    <n v="6"/>
    <n v="0"/>
    <n v="13.317599999999999"/>
  </r>
  <r>
    <x v="1"/>
    <x v="4"/>
    <n v="55.5"/>
    <n v="2"/>
    <n v="0"/>
    <n v="9.9899999999999949"/>
  </r>
  <r>
    <x v="1"/>
    <x v="6"/>
    <n v="8.56"/>
    <n v="2"/>
    <n v="0"/>
    <n v="2.4823999999999993"/>
  </r>
  <r>
    <x v="2"/>
    <x v="7"/>
    <n v="213.48000000000002"/>
    <n v="3"/>
    <n v="0.2"/>
    <n v="16.010999999999981"/>
  </r>
  <r>
    <x v="1"/>
    <x v="8"/>
    <n v="22.72"/>
    <n v="4"/>
    <n v="0.2"/>
    <n v="7.3839999999999986"/>
  </r>
  <r>
    <x v="1"/>
    <x v="6"/>
    <n v="19.459999999999997"/>
    <n v="7"/>
    <n v="0"/>
    <n v="5.0595999999999997"/>
  </r>
  <r>
    <x v="1"/>
    <x v="9"/>
    <n v="60.339999999999996"/>
    <n v="7"/>
    <n v="0"/>
    <n v="15.688400000000001"/>
  </r>
  <r>
    <x v="0"/>
    <x v="1"/>
    <n v="71.371999999999986"/>
    <n v="2"/>
    <n v="0.3"/>
    <n v="-1.0196000000000005"/>
  </r>
  <r>
    <x v="0"/>
    <x v="3"/>
    <n v="1044.6299999999999"/>
    <n v="3"/>
    <n v="0"/>
    <n v="240.26490000000001"/>
  </r>
  <r>
    <x v="1"/>
    <x v="8"/>
    <n v="11.648000000000001"/>
    <n v="2"/>
    <n v="0.2"/>
    <n v="4.2224000000000004"/>
  </r>
  <r>
    <x v="2"/>
    <x v="11"/>
    <n v="90.570000000000007"/>
    <n v="3"/>
    <n v="0"/>
    <n v="11.774100000000004"/>
  </r>
  <r>
    <x v="1"/>
    <x v="8"/>
    <n v="9.6180000000000021"/>
    <n v="2"/>
    <n v="0.7"/>
    <n v="-7.0532000000000004"/>
  </r>
  <r>
    <x v="0"/>
    <x v="5"/>
    <n v="124.20000000000002"/>
    <n v="3"/>
    <n v="0.2"/>
    <n v="15.524999999999991"/>
  </r>
  <r>
    <x v="1"/>
    <x v="12"/>
    <n v="3.2640000000000002"/>
    <n v="2"/>
    <n v="0.2"/>
    <n v="1.1015999999999997"/>
  </r>
  <r>
    <x v="1"/>
    <x v="6"/>
    <n v="86.304000000000002"/>
    <n v="6"/>
    <n v="0.2"/>
    <n v="9.7091999999999885"/>
  </r>
  <r>
    <x v="1"/>
    <x v="8"/>
    <n v="6.8580000000000014"/>
    <n v="6"/>
    <n v="0.7"/>
    <n v="-5.7149999999999999"/>
  </r>
  <r>
    <x v="1"/>
    <x v="6"/>
    <n v="15.76"/>
    <n v="2"/>
    <n v="0.2"/>
    <n v="3.5460000000000007"/>
  </r>
  <r>
    <x v="1"/>
    <x v="10"/>
    <n v="29.472000000000001"/>
    <n v="3"/>
    <n v="0.2"/>
    <n v="9.9467999999999979"/>
  </r>
  <r>
    <x v="2"/>
    <x v="7"/>
    <n v="1097.5440000000003"/>
    <n v="7"/>
    <n v="0.2"/>
    <n v="123.47369999999989"/>
  </r>
  <r>
    <x v="0"/>
    <x v="5"/>
    <n v="190.92"/>
    <n v="5"/>
    <n v="0.6"/>
    <n v="-147.96300000000002"/>
  </r>
  <r>
    <x v="1"/>
    <x v="12"/>
    <n v="113.328"/>
    <n v="9"/>
    <n v="0.2"/>
    <n v="35.414999999999999"/>
  </r>
  <r>
    <x v="0"/>
    <x v="0"/>
    <n v="532.39919999999995"/>
    <n v="3"/>
    <n v="0.32"/>
    <n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6FA41F-EF1C-694B-B9EC-EEAA3F196964}"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K16" firstHeaderRow="0" firstDataRow="1" firstDataCol="1"/>
  <pivotFields count="6">
    <pivotField showAll="0"/>
    <pivotField axis="axisRow" showAll="0">
      <items count="14">
        <item x="11"/>
        <item x="9"/>
        <item x="6"/>
        <item x="8"/>
        <item x="0"/>
        <item x="1"/>
        <item x="12"/>
        <item x="5"/>
        <item x="2"/>
        <item x="10"/>
        <item x="7"/>
        <item x="4"/>
        <item x="3"/>
        <item t="default"/>
      </items>
    </pivotField>
    <pivotField showAll="0"/>
    <pivotField dataField="1" showAll="0"/>
    <pivotField showAll="0"/>
    <pivotField showAll="0"/>
  </pivotFields>
  <rowFields count="1">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3" baseField="0" baseItem="0"/>
    <dataField name="Percetage" fld="3" showDataAs="percentOfTotal" baseField="0" baseItem="0" numFmtId="10"/>
  </dataFields>
  <formats count="12">
    <format dxfId="24">
      <pivotArea type="all" dataOnly="0" outline="0" fieldPosition="0"/>
    </format>
    <format dxfId="23">
      <pivotArea outline="0" collapsedLevelsAreSubtotals="1" fieldPosition="0"/>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grandRow="1" outline="0" fieldPosition="0"/>
    </format>
    <format dxfId="19">
      <pivotArea dataOnly="0" labelOnly="1" outline="0" fieldPosition="0">
        <references count="1">
          <reference field="4294967294" count="2">
            <x v="0"/>
            <x v="1"/>
          </reference>
        </references>
      </pivotArea>
    </format>
    <format dxfId="18">
      <pivotArea type="all" dataOnly="0" outline="0" fieldPosition="0"/>
    </format>
    <format dxfId="17">
      <pivotArea outline="0" collapsedLevelsAreSubtotals="1" fieldPosition="0"/>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grandRow="1" outline="0" fieldPosition="0"/>
    </format>
    <format dxfId="1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38B993-5BC3-6D45-9E34-B76096D704F6}" name="PivotTable1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X8" firstHeaderRow="1" firstDataRow="1" firstDataCol="1"/>
  <pivotFields count="6">
    <pivotField axis="axisRow" showAll="0">
      <items count="4">
        <item h="1" x="0"/>
        <item h="1" x="1"/>
        <item x="2"/>
        <item t="default"/>
      </items>
    </pivotField>
    <pivotField axis="axisRow" showAll="0">
      <items count="14">
        <item x="11"/>
        <item x="9"/>
        <item x="6"/>
        <item x="8"/>
        <item x="0"/>
        <item x="1"/>
        <item x="12"/>
        <item x="5"/>
        <item x="2"/>
        <item x="10"/>
        <item x="7"/>
        <item x="4"/>
        <item x="3"/>
        <item t="default"/>
      </items>
    </pivotField>
    <pivotField showAll="0"/>
    <pivotField dataField="1" showAll="0"/>
    <pivotField showAll="0"/>
    <pivotField showAll="0"/>
  </pivotFields>
  <rowFields count="2">
    <field x="0"/>
    <field x="1"/>
  </rowFields>
  <rowItems count="4">
    <i>
      <x v="2"/>
    </i>
    <i r="1">
      <x/>
    </i>
    <i r="1">
      <x v="10"/>
    </i>
    <i t="grand">
      <x/>
    </i>
  </rowItems>
  <colItems count="1">
    <i/>
  </colItems>
  <dataFields count="1">
    <dataField name="Average of Quantity" fld="3" subtotal="average" baseField="0" baseItem="0" numFmtId="2"/>
  </dataFields>
  <formats count="8">
    <format dxfId="32">
      <pivotArea outline="0" collapsedLevelsAreSubtotals="1" fieldPosition="0"/>
    </format>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fieldPosition="0">
        <references count="2">
          <reference field="0" count="0" selected="0"/>
          <reference field="1" count="4">
            <x v="4"/>
            <x v="5"/>
            <x v="7"/>
            <x v="12"/>
          </reference>
        </references>
      </pivotArea>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ADFD1CB-425D-9541-86EF-DC0F03641869}" sourceName="Category">
  <pivotTables>
    <pivotTable tabId="1" name="PivotTable12"/>
  </pivotTables>
  <data>
    <tabular pivotCacheId="101039034">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1EBC0D5-AFBD-E14D-A38B-BF39159F86BC}" cache="Slicer_Category" caption="Categor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701F64-7702-FF48-9720-B4172F1694E7}" name="Table1" displayName="Table1" ref="I20:K34" totalsRowShown="0" headerRowDxfId="12" dataDxfId="11">
  <autoFilter ref="I20:K34" xr:uid="{7A701F64-7702-FF48-9720-B4172F1694E7}"/>
  <sortState xmlns:xlrd2="http://schemas.microsoft.com/office/spreadsheetml/2017/richdata2" ref="I21:K34">
    <sortCondition ref="J20:J34"/>
  </sortState>
  <tableColumns count="3">
    <tableColumn id="1" xr3:uid="{3F84D457-D76D-A64E-9166-E4F4381602E9}" name="Sub-Castegory" dataDxfId="10"/>
    <tableColumn id="2" xr3:uid="{47AECBD8-4FF5-B941-834F-300E3A24980D}" name="Sum Of Quantity" dataDxfId="9"/>
    <tableColumn id="3" xr3:uid="{4055D103-D9B7-024F-96F4-7A5008840D70}" name="Percentage"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41F8970-D498-9244-B422-352A13C78C28}">
  <we:reference id="wa200005502" version="1.0.0.11" store="en-GB" storeType="OMEX"/>
  <we:alternateReferences>
    <we:reference id="wa200005502" version="1.0.0.11" store="" storeType="OMEX"/>
  </we:alternateReferences>
  <we:properties>
    <we:property name="docId" value="&quot;8lA7iPcuSWRHvm1ogUyEX&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B487B-508C-4201-A58A-FCB9A0099E2D}">
  <dimension ref="A2:D19"/>
  <sheetViews>
    <sheetView showGridLines="0" zoomScale="156" workbookViewId="0">
      <selection activeCell="D4" sqref="D4"/>
    </sheetView>
  </sheetViews>
  <sheetFormatPr baseColWidth="10" defaultColWidth="8.83203125" defaultRowHeight="15" x14ac:dyDescent="0.2"/>
  <cols>
    <col min="2" max="2" width="13" bestFit="1" customWidth="1"/>
    <col min="4" max="4" width="12.33203125" bestFit="1" customWidth="1"/>
  </cols>
  <sheetData>
    <row r="2" spans="1:4" x14ac:dyDescent="0.2">
      <c r="A2">
        <v>1</v>
      </c>
      <c r="B2" s="7" t="s">
        <v>26</v>
      </c>
      <c r="C2" s="7" t="s">
        <v>27</v>
      </c>
      <c r="D2" s="7" t="s">
        <v>33</v>
      </c>
    </row>
    <row r="3" spans="1:4" x14ac:dyDescent="0.2">
      <c r="A3">
        <v>2</v>
      </c>
      <c r="B3" s="7" t="s">
        <v>26</v>
      </c>
      <c r="C3" s="7" t="s">
        <v>29</v>
      </c>
      <c r="D3" s="7" t="s">
        <v>33</v>
      </c>
    </row>
    <row r="4" spans="1:4" x14ac:dyDescent="0.2">
      <c r="A4">
        <v>3</v>
      </c>
      <c r="B4" s="7" t="s">
        <v>31</v>
      </c>
      <c r="C4" s="7" t="s">
        <v>32</v>
      </c>
      <c r="D4" s="7" t="s">
        <v>28</v>
      </c>
    </row>
    <row r="5" spans="1:4" x14ac:dyDescent="0.2">
      <c r="A5">
        <v>4</v>
      </c>
      <c r="B5" s="7" t="s">
        <v>26</v>
      </c>
      <c r="C5" s="7" t="s">
        <v>29</v>
      </c>
      <c r="D5" s="7" t="s">
        <v>33</v>
      </c>
    </row>
    <row r="6" spans="1:4" x14ac:dyDescent="0.2">
      <c r="A6">
        <v>5</v>
      </c>
      <c r="B6" s="7" t="s">
        <v>26</v>
      </c>
      <c r="C6" s="7" t="s">
        <v>29</v>
      </c>
      <c r="D6" s="7" t="s">
        <v>33</v>
      </c>
    </row>
    <row r="7" spans="1:4" x14ac:dyDescent="0.2">
      <c r="A7">
        <v>6</v>
      </c>
      <c r="B7" s="7" t="s">
        <v>31</v>
      </c>
      <c r="C7" s="7" t="s">
        <v>34</v>
      </c>
      <c r="D7" s="7" t="s">
        <v>30</v>
      </c>
    </row>
    <row r="8" spans="1:4" x14ac:dyDescent="0.2">
      <c r="A8">
        <v>7</v>
      </c>
      <c r="B8" s="7" t="s">
        <v>35</v>
      </c>
    </row>
    <row r="9" spans="1:4" x14ac:dyDescent="0.2">
      <c r="A9">
        <v>8</v>
      </c>
      <c r="B9" s="7" t="s">
        <v>36</v>
      </c>
    </row>
    <row r="10" spans="1:4" x14ac:dyDescent="0.2">
      <c r="A10">
        <v>9</v>
      </c>
      <c r="B10" s="7" t="s">
        <v>35</v>
      </c>
    </row>
    <row r="11" spans="1:4" x14ac:dyDescent="0.2">
      <c r="A11">
        <v>10</v>
      </c>
      <c r="B11" s="7" t="s">
        <v>37</v>
      </c>
    </row>
    <row r="12" spans="1:4" x14ac:dyDescent="0.2">
      <c r="A12">
        <v>11</v>
      </c>
      <c r="B12" s="7" t="s">
        <v>38</v>
      </c>
    </row>
    <row r="13" spans="1:4" x14ac:dyDescent="0.2">
      <c r="A13">
        <v>12</v>
      </c>
      <c r="B13" s="7" t="s">
        <v>35</v>
      </c>
    </row>
    <row r="19" spans="2:2" x14ac:dyDescent="0.2">
      <c r="B19" s="8"/>
    </row>
  </sheetData>
  <dataValidations count="4">
    <dataValidation type="list" allowBlank="1" showInputMessage="1" showErrorMessage="1" sqref="C2:C7" xr:uid="{EB69C747-D475-4EF8-95BB-27747010ED03}">
      <formula1>"Nominal, Ordinal, Interval, Ratio"</formula1>
    </dataValidation>
    <dataValidation type="list" allowBlank="1" showInputMessage="1" showErrorMessage="1" sqref="B2:B7" xr:uid="{33A00C53-FAF2-486D-B622-A6279A829ED3}">
      <formula1>"Categorical., Numerical"</formula1>
    </dataValidation>
    <dataValidation type="list" allowBlank="1" showInputMessage="1" showErrorMessage="1" sqref="D2:D7" xr:uid="{1699653F-8EA0-4873-BD76-2425E4F418FF}">
      <formula1>"Not Applicable,Discrete,Continuous"</formula1>
    </dataValidation>
    <dataValidation type="list" allowBlank="1" showInputMessage="1" showErrorMessage="1" sqref="B8:B13" xr:uid="{EB82DA0C-F659-4669-B6F5-C0B52184DA2B}">
      <formula1>"Convenience, Judgement, Cluster, Simple Random, Stratified, Systematic, none of the above"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3"/>
  <sheetViews>
    <sheetView showGridLines="0" tabSelected="1" topLeftCell="D1" zoomScale="117" zoomScaleNormal="100" workbookViewId="0">
      <selection activeCell="X21" sqref="X21"/>
    </sheetView>
  </sheetViews>
  <sheetFormatPr baseColWidth="10" defaultColWidth="8.83203125" defaultRowHeight="15" x14ac:dyDescent="0.2"/>
  <cols>
    <col min="1" max="1" width="12.1640625" bestFit="1" customWidth="1"/>
    <col min="2" max="2" width="12" bestFit="1" customWidth="1"/>
    <col min="3" max="3" width="9.1640625" bestFit="1" customWidth="1"/>
    <col min="4" max="4" width="8.1640625" style="1" bestFit="1" customWidth="1"/>
    <col min="5" max="5" width="10.33203125" style="1" bestFit="1" customWidth="1"/>
    <col min="6" max="6" width="9.1640625" style="1" bestFit="1" customWidth="1"/>
    <col min="9" max="9" width="14.5" bestFit="1" customWidth="1"/>
    <col min="10" max="10" width="16.1640625" bestFit="1" customWidth="1"/>
    <col min="11" max="11" width="12.5" bestFit="1" customWidth="1"/>
    <col min="12" max="12" width="12.1640625" bestFit="1" customWidth="1"/>
    <col min="13" max="13" width="13.83203125" bestFit="1" customWidth="1"/>
    <col min="14" max="14" width="10" bestFit="1" customWidth="1"/>
    <col min="15" max="15" width="15.83203125" bestFit="1" customWidth="1"/>
    <col min="16" max="16" width="12.1640625" bestFit="1" customWidth="1"/>
    <col min="17" max="17" width="14.83203125" bestFit="1" customWidth="1"/>
    <col min="18" max="18" width="34.83203125" bestFit="1" customWidth="1"/>
    <col min="19" max="19" width="42.1640625" customWidth="1"/>
    <col min="20" max="20" width="37.5" style="10" customWidth="1"/>
    <col min="21" max="21" width="13.1640625" customWidth="1"/>
    <col min="22" max="22" width="17" bestFit="1" customWidth="1"/>
    <col min="23" max="23" width="10" bestFit="1" customWidth="1"/>
    <col min="24" max="24" width="13.1640625" bestFit="1" customWidth="1"/>
    <col min="25" max="25" width="17" bestFit="1" customWidth="1"/>
    <col min="26" max="26" width="10" bestFit="1" customWidth="1"/>
  </cols>
  <sheetData>
    <row r="1" spans="1:26" ht="16" x14ac:dyDescent="0.2">
      <c r="A1" s="11" t="s">
        <v>0</v>
      </c>
      <c r="B1" s="11" t="s">
        <v>1</v>
      </c>
      <c r="C1" s="11" t="s">
        <v>2</v>
      </c>
      <c r="D1" s="11" t="s">
        <v>3</v>
      </c>
      <c r="E1" s="11" t="s">
        <v>21</v>
      </c>
      <c r="F1" s="11" t="s">
        <v>4</v>
      </c>
      <c r="I1" s="30" t="s">
        <v>42</v>
      </c>
      <c r="J1" s="30"/>
      <c r="K1" s="30"/>
      <c r="M1" s="31" t="s">
        <v>52</v>
      </c>
      <c r="N1" s="31"/>
      <c r="O1" s="31"/>
      <c r="P1" s="31"/>
      <c r="Q1" s="31"/>
      <c r="R1" s="18"/>
      <c r="S1" s="18"/>
    </row>
    <row r="2" spans="1:26" x14ac:dyDescent="0.2">
      <c r="A2" s="12" t="s">
        <v>5</v>
      </c>
      <c r="B2" s="12" t="s">
        <v>6</v>
      </c>
      <c r="C2" s="12">
        <v>261.95999999999998</v>
      </c>
      <c r="D2" s="13">
        <v>2</v>
      </c>
      <c r="E2" s="13">
        <v>0</v>
      </c>
      <c r="F2" s="13">
        <v>41.913600000000002</v>
      </c>
      <c r="I2" s="15" t="s">
        <v>39</v>
      </c>
      <c r="J2" s="15" t="s">
        <v>41</v>
      </c>
      <c r="K2" s="15" t="s">
        <v>46</v>
      </c>
      <c r="M2" s="24" t="s">
        <v>56</v>
      </c>
      <c r="N2" s="24" t="s">
        <v>58</v>
      </c>
      <c r="O2" s="24" t="s">
        <v>53</v>
      </c>
      <c r="P2" s="24" t="s">
        <v>47</v>
      </c>
      <c r="Q2" s="24" t="s">
        <v>57</v>
      </c>
      <c r="R2" s="18"/>
      <c r="S2" s="18"/>
      <c r="T2" s="14"/>
    </row>
    <row r="3" spans="1:26" x14ac:dyDescent="0.2">
      <c r="A3" s="12" t="s">
        <v>5</v>
      </c>
      <c r="B3" s="12" t="s">
        <v>7</v>
      </c>
      <c r="C3" s="12">
        <v>731.93999999999994</v>
      </c>
      <c r="D3" s="13">
        <v>3</v>
      </c>
      <c r="E3" s="13">
        <v>0</v>
      </c>
      <c r="F3" s="13">
        <v>219.58199999999997</v>
      </c>
      <c r="I3" s="16" t="s">
        <v>19</v>
      </c>
      <c r="J3" s="15">
        <v>3</v>
      </c>
      <c r="K3" s="17">
        <v>1.935483870967742E-2</v>
      </c>
      <c r="M3" s="24">
        <v>-210</v>
      </c>
      <c r="N3" s="24"/>
      <c r="O3" s="24" cm="1">
        <f t="array" ref="O3:O27">FREQUENCY(F2:F39,M3:M26)</f>
        <v>1</v>
      </c>
      <c r="P3" s="28">
        <f>O3/$O$28</f>
        <v>2.6315789473684209E-2</v>
      </c>
      <c r="Q3" s="29">
        <f>SUM(P3:$P$3)</f>
        <v>2.6315789473684209E-2</v>
      </c>
      <c r="R3" s="18"/>
      <c r="S3" s="18"/>
      <c r="W3" s="27" t="s">
        <v>55</v>
      </c>
      <c r="X3" s="18"/>
      <c r="Y3" s="18"/>
      <c r="Z3" s="18"/>
    </row>
    <row r="4" spans="1:26" x14ac:dyDescent="0.2">
      <c r="A4" s="12" t="s">
        <v>8</v>
      </c>
      <c r="B4" s="12" t="s">
        <v>9</v>
      </c>
      <c r="C4" s="12">
        <v>14.62</v>
      </c>
      <c r="D4" s="13">
        <v>2</v>
      </c>
      <c r="E4" s="13">
        <v>0</v>
      </c>
      <c r="F4" s="13">
        <v>6.8713999999999995</v>
      </c>
      <c r="I4" s="16" t="s">
        <v>17</v>
      </c>
      <c r="J4" s="15">
        <v>17</v>
      </c>
      <c r="K4" s="17">
        <v>0.10967741935483871</v>
      </c>
      <c r="M4" s="24">
        <v>-190</v>
      </c>
      <c r="N4" s="24">
        <v>-200</v>
      </c>
      <c r="O4" s="24">
        <v>0</v>
      </c>
      <c r="P4" s="28">
        <f t="shared" ref="P4:P26" si="0">O4/$O$28</f>
        <v>0</v>
      </c>
      <c r="Q4" s="29">
        <f>SUM(P$3:$P4)</f>
        <v>2.6315789473684209E-2</v>
      </c>
      <c r="R4" s="18"/>
      <c r="S4" s="18"/>
      <c r="W4" s="18" t="s">
        <v>39</v>
      </c>
      <c r="X4" s="18" t="s">
        <v>54</v>
      </c>
      <c r="Y4" s="18"/>
      <c r="Z4" s="18"/>
    </row>
    <row r="5" spans="1:26" x14ac:dyDescent="0.2">
      <c r="A5" s="12" t="s">
        <v>5</v>
      </c>
      <c r="B5" s="12" t="s">
        <v>10</v>
      </c>
      <c r="C5" s="12">
        <v>957.57749999999999</v>
      </c>
      <c r="D5" s="13">
        <v>5</v>
      </c>
      <c r="E5" s="13">
        <v>0.45</v>
      </c>
      <c r="F5" s="13">
        <v>-210</v>
      </c>
      <c r="I5" s="16" t="s">
        <v>13</v>
      </c>
      <c r="J5" s="15">
        <v>21</v>
      </c>
      <c r="K5" s="17">
        <v>0.13548387096774195</v>
      </c>
      <c r="M5" s="24">
        <v>-170</v>
      </c>
      <c r="N5" s="24">
        <v>-180</v>
      </c>
      <c r="O5" s="24">
        <v>0</v>
      </c>
      <c r="P5" s="28">
        <f t="shared" si="0"/>
        <v>0</v>
      </c>
      <c r="Q5" s="29">
        <f>SUM(P$3:$P5)</f>
        <v>2.6315789473684209E-2</v>
      </c>
      <c r="R5" s="18"/>
      <c r="S5" s="18"/>
      <c r="W5" s="19" t="s">
        <v>14</v>
      </c>
      <c r="X5" s="25">
        <v>4.5999999999999996</v>
      </c>
      <c r="Y5" s="18"/>
      <c r="Z5" s="18"/>
    </row>
    <row r="6" spans="1:26" x14ac:dyDescent="0.2">
      <c r="A6" s="12" t="s">
        <v>8</v>
      </c>
      <c r="B6" s="12" t="s">
        <v>11</v>
      </c>
      <c r="C6" s="12">
        <v>22.368000000000002</v>
      </c>
      <c r="D6" s="13">
        <v>2</v>
      </c>
      <c r="E6" s="13">
        <v>0.2</v>
      </c>
      <c r="F6" s="13">
        <v>2.5163999999999991</v>
      </c>
      <c r="I6" s="16" t="s">
        <v>16</v>
      </c>
      <c r="J6" s="15">
        <v>23</v>
      </c>
      <c r="K6" s="17">
        <v>0.14838709677419354</v>
      </c>
      <c r="M6" s="24">
        <v>-150</v>
      </c>
      <c r="N6" s="24">
        <v>-160</v>
      </c>
      <c r="O6" s="24">
        <v>0</v>
      </c>
      <c r="P6" s="28">
        <f t="shared" si="0"/>
        <v>0</v>
      </c>
      <c r="Q6" s="29">
        <f>SUM(P$3:$P6)</f>
        <v>2.6315789473684209E-2</v>
      </c>
      <c r="R6" s="18"/>
      <c r="S6" s="18"/>
      <c r="W6" s="26" t="s">
        <v>19</v>
      </c>
      <c r="X6" s="25">
        <v>3</v>
      </c>
      <c r="Y6" s="18"/>
      <c r="Z6" s="18"/>
    </row>
    <row r="7" spans="1:26" x14ac:dyDescent="0.2">
      <c r="A7" s="12" t="s">
        <v>5</v>
      </c>
      <c r="B7" s="12" t="s">
        <v>12</v>
      </c>
      <c r="C7" s="12">
        <v>48.86</v>
      </c>
      <c r="D7" s="13">
        <v>7</v>
      </c>
      <c r="E7" s="13">
        <v>0</v>
      </c>
      <c r="F7" s="13">
        <v>14.169399999999996</v>
      </c>
      <c r="I7" s="16" t="s">
        <v>6</v>
      </c>
      <c r="J7" s="15">
        <v>5</v>
      </c>
      <c r="K7" s="17">
        <v>3.2258064516129031E-2</v>
      </c>
      <c r="M7" s="24">
        <v>-130</v>
      </c>
      <c r="N7" s="24">
        <v>-140</v>
      </c>
      <c r="O7" s="24">
        <v>1</v>
      </c>
      <c r="P7" s="28">
        <f t="shared" si="0"/>
        <v>2.6315789473684209E-2</v>
      </c>
      <c r="Q7" s="29">
        <f>SUM(P$3:$P7)</f>
        <v>5.2631578947368418E-2</v>
      </c>
      <c r="R7" s="18"/>
      <c r="S7" s="18"/>
      <c r="W7" s="26" t="s">
        <v>15</v>
      </c>
      <c r="X7" s="25">
        <v>5</v>
      </c>
      <c r="Y7" s="18"/>
      <c r="Z7" s="18"/>
    </row>
    <row r="8" spans="1:26" x14ac:dyDescent="0.2">
      <c r="A8" s="12" t="s">
        <v>8</v>
      </c>
      <c r="B8" s="12" t="s">
        <v>13</v>
      </c>
      <c r="C8" s="12">
        <v>7.28</v>
      </c>
      <c r="D8" s="13">
        <v>4</v>
      </c>
      <c r="E8" s="13">
        <v>0</v>
      </c>
      <c r="F8" s="13">
        <v>1.9656000000000002</v>
      </c>
      <c r="I8" s="16" t="s">
        <v>7</v>
      </c>
      <c r="J8" s="15">
        <v>5</v>
      </c>
      <c r="K8" s="17">
        <v>3.2258064516129031E-2</v>
      </c>
      <c r="M8" s="24">
        <v>-110</v>
      </c>
      <c r="N8" s="24">
        <v>-120</v>
      </c>
      <c r="O8" s="24">
        <v>1</v>
      </c>
      <c r="P8" s="28">
        <f t="shared" si="0"/>
        <v>2.6315789473684209E-2</v>
      </c>
      <c r="Q8" s="29">
        <f>SUM(P$3:$P8)</f>
        <v>7.8947368421052627E-2</v>
      </c>
      <c r="R8" s="18"/>
      <c r="S8" s="18"/>
      <c r="W8" s="19" t="s">
        <v>40</v>
      </c>
      <c r="X8" s="25">
        <v>4.5999999999999996</v>
      </c>
      <c r="Y8" s="18"/>
      <c r="Z8" s="18"/>
    </row>
    <row r="9" spans="1:26" x14ac:dyDescent="0.2">
      <c r="A9" s="12" t="s">
        <v>14</v>
      </c>
      <c r="B9" s="12" t="s">
        <v>15</v>
      </c>
      <c r="C9" s="12">
        <v>907.15200000000004</v>
      </c>
      <c r="D9" s="13">
        <v>6</v>
      </c>
      <c r="E9" s="13">
        <v>0.2</v>
      </c>
      <c r="F9" s="13">
        <v>90.715200000000038</v>
      </c>
      <c r="I9" s="16" t="s">
        <v>20</v>
      </c>
      <c r="J9" s="15">
        <v>11</v>
      </c>
      <c r="K9" s="17">
        <v>7.0967741935483872E-2</v>
      </c>
      <c r="M9" s="24">
        <v>-90</v>
      </c>
      <c r="N9" s="24">
        <v>-100</v>
      </c>
      <c r="O9" s="24">
        <v>0</v>
      </c>
      <c r="P9" s="28">
        <f t="shared" si="0"/>
        <v>0</v>
      </c>
      <c r="Q9" s="29">
        <f>SUM(P$3:$P9)</f>
        <v>7.8947368421052627E-2</v>
      </c>
      <c r="R9" s="18"/>
      <c r="S9" s="18"/>
    </row>
    <row r="10" spans="1:26" x14ac:dyDescent="0.2">
      <c r="A10" s="12" t="s">
        <v>8</v>
      </c>
      <c r="B10" s="12" t="s">
        <v>16</v>
      </c>
      <c r="C10" s="12">
        <v>18.504000000000001</v>
      </c>
      <c r="D10" s="13">
        <v>3</v>
      </c>
      <c r="E10" s="13">
        <v>0.2</v>
      </c>
      <c r="F10" s="13">
        <v>5.7824999999999998</v>
      </c>
      <c r="I10" s="16" t="s">
        <v>12</v>
      </c>
      <c r="J10" s="15">
        <v>15</v>
      </c>
      <c r="K10" s="17">
        <v>9.6774193548387094E-2</v>
      </c>
      <c r="M10" s="24">
        <v>-70</v>
      </c>
      <c r="N10" s="24">
        <v>-80</v>
      </c>
      <c r="O10" s="24">
        <v>0</v>
      </c>
      <c r="P10" s="28">
        <f t="shared" si="0"/>
        <v>0</v>
      </c>
      <c r="Q10" s="29">
        <f>SUM(P$3:$P10)</f>
        <v>7.8947368421052627E-2</v>
      </c>
      <c r="R10" s="18"/>
      <c r="S10" s="18"/>
    </row>
    <row r="11" spans="1:26" x14ac:dyDescent="0.2">
      <c r="A11" s="12" t="s">
        <v>8</v>
      </c>
      <c r="B11" s="12" t="s">
        <v>17</v>
      </c>
      <c r="C11" s="12">
        <v>114.9</v>
      </c>
      <c r="D11" s="13">
        <v>5</v>
      </c>
      <c r="E11" s="13">
        <v>0</v>
      </c>
      <c r="F11" s="13">
        <v>34.469999999999992</v>
      </c>
      <c r="I11" s="16" t="s">
        <v>9</v>
      </c>
      <c r="J11" s="15">
        <v>2</v>
      </c>
      <c r="K11" s="17">
        <v>1.2903225806451613E-2</v>
      </c>
      <c r="M11" s="24">
        <v>-50</v>
      </c>
      <c r="N11" s="24">
        <v>-60</v>
      </c>
      <c r="O11" s="24">
        <v>0</v>
      </c>
      <c r="P11" s="28">
        <f t="shared" si="0"/>
        <v>0</v>
      </c>
      <c r="Q11" s="29">
        <f>SUM(P$3:$P11)</f>
        <v>7.8947368421052627E-2</v>
      </c>
      <c r="R11" s="18"/>
      <c r="S11" s="18"/>
    </row>
    <row r="12" spans="1:26" x14ac:dyDescent="0.2">
      <c r="A12" s="12" t="s">
        <v>5</v>
      </c>
      <c r="B12" s="12" t="s">
        <v>10</v>
      </c>
      <c r="C12" s="12">
        <v>1706.1840000000002</v>
      </c>
      <c r="D12" s="13">
        <v>9</v>
      </c>
      <c r="E12" s="13">
        <v>0.2</v>
      </c>
      <c r="F12" s="13">
        <v>85.309199999999805</v>
      </c>
      <c r="I12" s="16" t="s">
        <v>18</v>
      </c>
      <c r="J12" s="15">
        <v>6</v>
      </c>
      <c r="K12" s="17">
        <v>3.870967741935484E-2</v>
      </c>
      <c r="M12" s="24">
        <v>-30</v>
      </c>
      <c r="N12" s="24">
        <v>-40</v>
      </c>
      <c r="O12" s="24">
        <v>1</v>
      </c>
      <c r="P12" s="28">
        <f t="shared" si="0"/>
        <v>2.6315789473684209E-2</v>
      </c>
      <c r="Q12" s="29">
        <f>SUM(P$3:$P12)</f>
        <v>0.10526315789473684</v>
      </c>
      <c r="R12" s="18"/>
      <c r="S12" s="18"/>
    </row>
    <row r="13" spans="1:26" x14ac:dyDescent="0.2">
      <c r="A13" s="12" t="s">
        <v>14</v>
      </c>
      <c r="B13" s="12" t="s">
        <v>15</v>
      </c>
      <c r="C13" s="12">
        <v>911.42399999999998</v>
      </c>
      <c r="D13" s="13">
        <v>4</v>
      </c>
      <c r="E13" s="13">
        <v>0.2</v>
      </c>
      <c r="F13" s="13">
        <v>68.356800000000021</v>
      </c>
      <c r="I13" s="16" t="s">
        <v>15</v>
      </c>
      <c r="J13" s="15">
        <v>20</v>
      </c>
      <c r="K13" s="17">
        <v>0.12903225806451613</v>
      </c>
      <c r="M13" s="24">
        <v>-10</v>
      </c>
      <c r="N13" s="24">
        <v>-20</v>
      </c>
      <c r="O13" s="24">
        <v>0</v>
      </c>
      <c r="P13" s="28">
        <f t="shared" si="0"/>
        <v>0</v>
      </c>
      <c r="Q13" s="29">
        <f>SUM(P$3:$P13)</f>
        <v>0.10526315789473684</v>
      </c>
      <c r="R13" s="18"/>
      <c r="S13" s="18"/>
    </row>
    <row r="14" spans="1:26" x14ac:dyDescent="0.2">
      <c r="A14" s="12" t="s">
        <v>8</v>
      </c>
      <c r="B14" s="12" t="s">
        <v>18</v>
      </c>
      <c r="C14" s="12">
        <v>15.552000000000003</v>
      </c>
      <c r="D14" s="13">
        <v>3</v>
      </c>
      <c r="E14" s="13">
        <v>0.2</v>
      </c>
      <c r="F14" s="13">
        <v>5.4432</v>
      </c>
      <c r="I14" s="16" t="s">
        <v>11</v>
      </c>
      <c r="J14" s="15">
        <v>10</v>
      </c>
      <c r="K14" s="17">
        <v>6.4516129032258063E-2</v>
      </c>
      <c r="M14" s="24">
        <v>10</v>
      </c>
      <c r="N14" s="24">
        <v>0</v>
      </c>
      <c r="O14" s="24">
        <v>18</v>
      </c>
      <c r="P14" s="28">
        <f t="shared" si="0"/>
        <v>0.47368421052631576</v>
      </c>
      <c r="Q14" s="29">
        <f>SUM(P$3:$P14)</f>
        <v>0.57894736842105265</v>
      </c>
      <c r="R14" s="18"/>
      <c r="S14" s="18"/>
      <c r="W14" s="18"/>
      <c r="X14" s="18"/>
    </row>
    <row r="15" spans="1:26" ht="16" thickBot="1" x14ac:dyDescent="0.25">
      <c r="A15" s="12" t="s">
        <v>8</v>
      </c>
      <c r="B15" s="12" t="s">
        <v>16</v>
      </c>
      <c r="C15" s="12">
        <v>407.97600000000006</v>
      </c>
      <c r="D15" s="13">
        <v>3</v>
      </c>
      <c r="E15" s="13">
        <v>0.2</v>
      </c>
      <c r="F15" s="13">
        <v>132.59219999999993</v>
      </c>
      <c r="I15" s="16" t="s">
        <v>10</v>
      </c>
      <c r="J15" s="15">
        <v>17</v>
      </c>
      <c r="K15" s="17">
        <v>0.10967741935483871</v>
      </c>
      <c r="M15" s="23">
        <v>30</v>
      </c>
      <c r="N15" s="23">
        <v>20</v>
      </c>
      <c r="O15" s="23">
        <v>6</v>
      </c>
      <c r="P15" s="28">
        <f t="shared" si="0"/>
        <v>0.15789473684210525</v>
      </c>
      <c r="Q15" s="29">
        <f>SUM(P$3:$P15)</f>
        <v>0.73684210526315796</v>
      </c>
      <c r="R15" s="18"/>
      <c r="S15" s="22"/>
    </row>
    <row r="16" spans="1:26" x14ac:dyDescent="0.2">
      <c r="A16" s="12" t="s">
        <v>8</v>
      </c>
      <c r="B16" s="12" t="s">
        <v>17</v>
      </c>
      <c r="C16" s="12">
        <v>68.809999999999988</v>
      </c>
      <c r="D16" s="13">
        <v>5</v>
      </c>
      <c r="E16" s="13">
        <v>0.8</v>
      </c>
      <c r="F16" s="13">
        <v>-123.858</v>
      </c>
      <c r="I16" s="16" t="s">
        <v>40</v>
      </c>
      <c r="J16" s="15">
        <v>155</v>
      </c>
      <c r="K16" s="17">
        <v>1</v>
      </c>
      <c r="M16" s="24">
        <v>50</v>
      </c>
      <c r="N16" s="24">
        <v>40</v>
      </c>
      <c r="O16" s="24">
        <v>3</v>
      </c>
      <c r="P16" s="28">
        <f t="shared" si="0"/>
        <v>7.8947368421052627E-2</v>
      </c>
      <c r="Q16" s="29">
        <f>SUM(P$3:$P16)</f>
        <v>0.81578947368421062</v>
      </c>
      <c r="R16" s="18"/>
      <c r="S16" s="22"/>
      <c r="U16" s="35" t="s">
        <v>56</v>
      </c>
      <c r="V16" s="35" t="s">
        <v>53</v>
      </c>
    </row>
    <row r="17" spans="1:22" x14ac:dyDescent="0.2">
      <c r="A17" s="12" t="s">
        <v>8</v>
      </c>
      <c r="B17" s="12" t="s">
        <v>16</v>
      </c>
      <c r="C17" s="12">
        <v>2.5439999999999996</v>
      </c>
      <c r="D17" s="13">
        <v>3</v>
      </c>
      <c r="E17" s="13">
        <v>0.8</v>
      </c>
      <c r="F17" s="13">
        <v>-3.8160000000000016</v>
      </c>
      <c r="M17" s="24">
        <v>70</v>
      </c>
      <c r="N17" s="24">
        <v>60</v>
      </c>
      <c r="O17" s="24">
        <v>1</v>
      </c>
      <c r="P17" s="28">
        <f t="shared" si="0"/>
        <v>2.6315789473684209E-2</v>
      </c>
      <c r="Q17" s="29">
        <f>SUM(P$3:$P17)</f>
        <v>0.8421052631578948</v>
      </c>
      <c r="R17" s="18"/>
      <c r="U17" s="33">
        <v>-210</v>
      </c>
      <c r="V17" s="34">
        <v>1</v>
      </c>
    </row>
    <row r="18" spans="1:22" x14ac:dyDescent="0.2">
      <c r="A18" s="12" t="s">
        <v>8</v>
      </c>
      <c r="B18" s="12" t="s">
        <v>11</v>
      </c>
      <c r="C18" s="12">
        <v>665.88</v>
      </c>
      <c r="D18" s="13">
        <v>6</v>
      </c>
      <c r="E18" s="13">
        <v>0</v>
      </c>
      <c r="F18" s="13">
        <v>13.317599999999999</v>
      </c>
      <c r="M18" s="24">
        <v>90</v>
      </c>
      <c r="N18" s="24">
        <v>80</v>
      </c>
      <c r="O18" s="24">
        <v>1</v>
      </c>
      <c r="P18" s="28">
        <f t="shared" si="0"/>
        <v>2.6315789473684209E-2</v>
      </c>
      <c r="Q18" s="29">
        <f>SUM(P$3:$P18)</f>
        <v>0.86842105263157898</v>
      </c>
      <c r="R18" s="18"/>
      <c r="U18" s="33">
        <v>-190</v>
      </c>
      <c r="V18" s="34">
        <v>0</v>
      </c>
    </row>
    <row r="19" spans="1:22" x14ac:dyDescent="0.2">
      <c r="A19" s="12" t="s">
        <v>8</v>
      </c>
      <c r="B19" s="12" t="s">
        <v>11</v>
      </c>
      <c r="C19" s="12">
        <v>55.5</v>
      </c>
      <c r="D19" s="13">
        <v>2</v>
      </c>
      <c r="E19" s="13">
        <v>0</v>
      </c>
      <c r="F19" s="13">
        <v>9.9899999999999949</v>
      </c>
      <c r="I19" s="30" t="s">
        <v>43</v>
      </c>
      <c r="J19" s="30"/>
      <c r="K19" s="30"/>
      <c r="M19" s="24">
        <v>110</v>
      </c>
      <c r="N19" s="24">
        <v>100</v>
      </c>
      <c r="O19" s="24">
        <v>1</v>
      </c>
      <c r="P19" s="28">
        <f t="shared" si="0"/>
        <v>2.6315789473684209E-2</v>
      </c>
      <c r="Q19" s="29">
        <f>SUM(P$3:$P19)</f>
        <v>0.89473684210526316</v>
      </c>
      <c r="R19" s="18"/>
      <c r="U19" s="33">
        <v>-170</v>
      </c>
      <c r="V19" s="34">
        <v>0</v>
      </c>
    </row>
    <row r="20" spans="1:22" x14ac:dyDescent="0.2">
      <c r="A20" s="12" t="s">
        <v>8</v>
      </c>
      <c r="B20" s="12" t="s">
        <v>13</v>
      </c>
      <c r="C20" s="12">
        <v>8.56</v>
      </c>
      <c r="D20" s="13">
        <v>2</v>
      </c>
      <c r="E20" s="13">
        <v>0</v>
      </c>
      <c r="F20" s="13">
        <v>2.4823999999999993</v>
      </c>
      <c r="I20" s="18" t="s">
        <v>44</v>
      </c>
      <c r="J20" s="18" t="s">
        <v>45</v>
      </c>
      <c r="K20" s="18" t="s">
        <v>47</v>
      </c>
      <c r="M20" s="24">
        <v>130</v>
      </c>
      <c r="N20" s="24">
        <v>120</v>
      </c>
      <c r="O20" s="24">
        <v>1</v>
      </c>
      <c r="P20" s="28">
        <f t="shared" si="0"/>
        <v>2.6315789473684209E-2</v>
      </c>
      <c r="Q20" s="29">
        <f>SUM(P$3:$P20)</f>
        <v>0.92105263157894735</v>
      </c>
      <c r="R20" s="18"/>
      <c r="U20" s="33">
        <v>-150</v>
      </c>
      <c r="V20" s="34">
        <v>0</v>
      </c>
    </row>
    <row r="21" spans="1:22" x14ac:dyDescent="0.2">
      <c r="A21" s="12" t="s">
        <v>14</v>
      </c>
      <c r="B21" s="12" t="s">
        <v>15</v>
      </c>
      <c r="C21" s="12">
        <v>213.48000000000002</v>
      </c>
      <c r="D21" s="13">
        <v>3</v>
      </c>
      <c r="E21" s="13">
        <v>0.2</v>
      </c>
      <c r="F21" s="13">
        <v>16.010999999999981</v>
      </c>
      <c r="I21" s="19" t="s">
        <v>9</v>
      </c>
      <c r="J21" s="18">
        <f t="shared" ref="J21:J33" si="1">SUMIF($B$2:$B$39,I21,$D$2:$D$39)</f>
        <v>2</v>
      </c>
      <c r="K21" s="20">
        <f t="shared" ref="K21:K33" si="2">J21/$J$34</f>
        <v>1.2903225806451613E-2</v>
      </c>
      <c r="M21" s="24">
        <v>150</v>
      </c>
      <c r="N21" s="24">
        <v>140</v>
      </c>
      <c r="O21" s="24">
        <v>1</v>
      </c>
      <c r="P21" s="28">
        <f t="shared" si="0"/>
        <v>2.6315789473684209E-2</v>
      </c>
      <c r="Q21" s="29">
        <f>SUM(P$3:$P21)</f>
        <v>0.94736842105263153</v>
      </c>
      <c r="R21" s="18"/>
      <c r="U21" s="33">
        <v>-130</v>
      </c>
      <c r="V21" s="34">
        <v>1</v>
      </c>
    </row>
    <row r="22" spans="1:22" x14ac:dyDescent="0.2">
      <c r="A22" s="12" t="s">
        <v>8</v>
      </c>
      <c r="B22" s="12" t="s">
        <v>16</v>
      </c>
      <c r="C22" s="12">
        <v>22.72</v>
      </c>
      <c r="D22" s="13">
        <v>4</v>
      </c>
      <c r="E22" s="13">
        <v>0.2</v>
      </c>
      <c r="F22" s="13">
        <v>7.3839999999999986</v>
      </c>
      <c r="I22" s="19" t="s">
        <v>19</v>
      </c>
      <c r="J22" s="18">
        <f t="shared" si="1"/>
        <v>3</v>
      </c>
      <c r="K22" s="20">
        <f t="shared" si="2"/>
        <v>1.935483870967742E-2</v>
      </c>
      <c r="M22" s="24">
        <v>170</v>
      </c>
      <c r="N22" s="24">
        <v>160</v>
      </c>
      <c r="O22" s="24">
        <v>0</v>
      </c>
      <c r="P22" s="28">
        <f t="shared" si="0"/>
        <v>0</v>
      </c>
      <c r="Q22" s="29">
        <f>SUM(P$3:$P22)</f>
        <v>0.94736842105263153</v>
      </c>
      <c r="R22" s="18"/>
      <c r="U22" s="33">
        <v>-110</v>
      </c>
      <c r="V22" s="34">
        <v>1</v>
      </c>
    </row>
    <row r="23" spans="1:22" x14ac:dyDescent="0.2">
      <c r="A23" s="12" t="s">
        <v>8</v>
      </c>
      <c r="B23" s="12" t="s">
        <v>13</v>
      </c>
      <c r="C23" s="12">
        <v>19.459999999999997</v>
      </c>
      <c r="D23" s="13">
        <v>7</v>
      </c>
      <c r="E23" s="13">
        <v>0</v>
      </c>
      <c r="F23" s="13">
        <v>5.0595999999999997</v>
      </c>
      <c r="I23" s="19" t="s">
        <v>6</v>
      </c>
      <c r="J23" s="18">
        <f t="shared" si="1"/>
        <v>5</v>
      </c>
      <c r="K23" s="20">
        <f t="shared" si="2"/>
        <v>3.2258064516129031E-2</v>
      </c>
      <c r="M23" s="24">
        <v>190</v>
      </c>
      <c r="N23" s="24">
        <v>180</v>
      </c>
      <c r="O23" s="24">
        <v>0</v>
      </c>
      <c r="P23" s="28">
        <f t="shared" si="0"/>
        <v>0</v>
      </c>
      <c r="Q23" s="29">
        <f>SUM(P$3:$P23)</f>
        <v>0.94736842105263153</v>
      </c>
      <c r="R23" s="18"/>
      <c r="U23" s="33">
        <v>-90</v>
      </c>
      <c r="V23" s="34">
        <v>0</v>
      </c>
    </row>
    <row r="24" spans="1:22" x14ac:dyDescent="0.2">
      <c r="A24" s="12" t="s">
        <v>8</v>
      </c>
      <c r="B24" s="12" t="s">
        <v>17</v>
      </c>
      <c r="C24" s="12">
        <v>60.339999999999996</v>
      </c>
      <c r="D24" s="13">
        <v>7</v>
      </c>
      <c r="E24" s="13">
        <v>0</v>
      </c>
      <c r="F24" s="13">
        <v>15.688400000000001</v>
      </c>
      <c r="I24" s="19" t="s">
        <v>7</v>
      </c>
      <c r="J24" s="18">
        <f t="shared" si="1"/>
        <v>5</v>
      </c>
      <c r="K24" s="20">
        <f t="shared" si="2"/>
        <v>3.2258064516129031E-2</v>
      </c>
      <c r="M24" s="24">
        <v>210</v>
      </c>
      <c r="N24" s="24">
        <v>200</v>
      </c>
      <c r="O24" s="24">
        <v>0</v>
      </c>
      <c r="P24" s="28">
        <f t="shared" si="0"/>
        <v>0</v>
      </c>
      <c r="Q24" s="29">
        <f>SUM(P$3:$P24)</f>
        <v>0.94736842105263153</v>
      </c>
      <c r="R24" s="18"/>
      <c r="U24" s="33">
        <v>-70</v>
      </c>
      <c r="V24" s="34">
        <v>0</v>
      </c>
    </row>
    <row r="25" spans="1:22" x14ac:dyDescent="0.2">
      <c r="A25" s="12" t="s">
        <v>5</v>
      </c>
      <c r="B25" s="12" t="s">
        <v>7</v>
      </c>
      <c r="C25" s="12">
        <v>71.371999999999986</v>
      </c>
      <c r="D25" s="13">
        <v>2</v>
      </c>
      <c r="E25" s="13">
        <v>0.3</v>
      </c>
      <c r="F25" s="13">
        <v>-1.0196000000000005</v>
      </c>
      <c r="I25" s="19" t="s">
        <v>18</v>
      </c>
      <c r="J25" s="18">
        <f t="shared" si="1"/>
        <v>6</v>
      </c>
      <c r="K25" s="20">
        <f t="shared" si="2"/>
        <v>3.870967741935484E-2</v>
      </c>
      <c r="M25" s="24">
        <v>230</v>
      </c>
      <c r="N25" s="24">
        <v>220</v>
      </c>
      <c r="O25" s="24">
        <v>1</v>
      </c>
      <c r="P25" s="28">
        <f t="shared" si="0"/>
        <v>2.6315789473684209E-2</v>
      </c>
      <c r="Q25" s="29">
        <f>SUM(P$3:$P25)</f>
        <v>0.97368421052631571</v>
      </c>
      <c r="R25" s="18"/>
      <c r="U25" s="33">
        <v>-50</v>
      </c>
      <c r="V25" s="34">
        <v>0</v>
      </c>
    </row>
    <row r="26" spans="1:22" x14ac:dyDescent="0.2">
      <c r="A26" s="12" t="s">
        <v>5</v>
      </c>
      <c r="B26" s="12" t="s">
        <v>10</v>
      </c>
      <c r="C26" s="12">
        <v>1044.6299999999999</v>
      </c>
      <c r="D26" s="13">
        <v>3</v>
      </c>
      <c r="E26" s="13">
        <v>0</v>
      </c>
      <c r="F26" s="13">
        <v>240.26490000000001</v>
      </c>
      <c r="I26" s="19" t="s">
        <v>11</v>
      </c>
      <c r="J26" s="18">
        <f t="shared" si="1"/>
        <v>10</v>
      </c>
      <c r="K26" s="20">
        <f t="shared" si="2"/>
        <v>6.4516129032258063E-2</v>
      </c>
      <c r="M26" s="24">
        <v>250</v>
      </c>
      <c r="N26" s="24">
        <v>240</v>
      </c>
      <c r="O26" s="24">
        <v>1</v>
      </c>
      <c r="P26" s="28">
        <f t="shared" si="0"/>
        <v>2.6315789473684209E-2</v>
      </c>
      <c r="Q26" s="29">
        <f>SUM(P$3:$P26)</f>
        <v>0.99999999999999989</v>
      </c>
      <c r="R26" s="18"/>
      <c r="U26" s="33">
        <v>-30</v>
      </c>
      <c r="V26" s="34">
        <v>1</v>
      </c>
    </row>
    <row r="27" spans="1:22" x14ac:dyDescent="0.2">
      <c r="A27" s="12" t="s">
        <v>8</v>
      </c>
      <c r="B27" s="12" t="s">
        <v>16</v>
      </c>
      <c r="C27" s="12">
        <v>11.648000000000001</v>
      </c>
      <c r="D27" s="13">
        <v>2</v>
      </c>
      <c r="E27" s="13">
        <v>0.2</v>
      </c>
      <c r="F27" s="13">
        <v>4.2224000000000004</v>
      </c>
      <c r="I27" s="19" t="s">
        <v>20</v>
      </c>
      <c r="J27" s="18">
        <f t="shared" si="1"/>
        <v>11</v>
      </c>
      <c r="K27" s="20">
        <f t="shared" si="2"/>
        <v>7.0967741935483872E-2</v>
      </c>
      <c r="M27" s="24"/>
      <c r="N27" s="24"/>
      <c r="O27" s="24">
        <v>0</v>
      </c>
      <c r="P27" s="24"/>
      <c r="Q27" s="24"/>
      <c r="R27" s="18"/>
      <c r="U27" s="33">
        <v>-10</v>
      </c>
      <c r="V27" s="34">
        <v>0</v>
      </c>
    </row>
    <row r="28" spans="1:22" x14ac:dyDescent="0.2">
      <c r="A28" s="12" t="s">
        <v>14</v>
      </c>
      <c r="B28" s="12" t="s">
        <v>19</v>
      </c>
      <c r="C28" s="12">
        <v>90.570000000000007</v>
      </c>
      <c r="D28" s="13">
        <v>3</v>
      </c>
      <c r="E28" s="13">
        <v>0</v>
      </c>
      <c r="F28" s="13">
        <v>11.774100000000004</v>
      </c>
      <c r="I28" s="19" t="s">
        <v>12</v>
      </c>
      <c r="J28" s="18">
        <f t="shared" si="1"/>
        <v>15</v>
      </c>
      <c r="K28" s="20">
        <f t="shared" si="2"/>
        <v>9.6774193548387094E-2</v>
      </c>
      <c r="M28" s="24"/>
      <c r="N28" s="24" t="s">
        <v>48</v>
      </c>
      <c r="O28" s="24">
        <f>SUM(O3:O26)</f>
        <v>38</v>
      </c>
      <c r="P28" s="24"/>
      <c r="Q28" s="24"/>
      <c r="R28" s="18"/>
      <c r="U28" s="33">
        <v>10</v>
      </c>
      <c r="V28" s="34">
        <v>18</v>
      </c>
    </row>
    <row r="29" spans="1:22" x14ac:dyDescent="0.2">
      <c r="A29" s="12" t="s">
        <v>8</v>
      </c>
      <c r="B29" s="12" t="s">
        <v>16</v>
      </c>
      <c r="C29" s="12">
        <v>9.6180000000000021</v>
      </c>
      <c r="D29" s="13">
        <v>2</v>
      </c>
      <c r="E29" s="13">
        <v>0.7</v>
      </c>
      <c r="F29" s="13">
        <v>-7.0532000000000004</v>
      </c>
      <c r="I29" s="19" t="s">
        <v>17</v>
      </c>
      <c r="J29" s="18">
        <f t="shared" si="1"/>
        <v>17</v>
      </c>
      <c r="K29" s="20">
        <f t="shared" si="2"/>
        <v>0.10967741935483871</v>
      </c>
      <c r="U29" s="33">
        <v>30</v>
      </c>
      <c r="V29" s="34">
        <v>6</v>
      </c>
    </row>
    <row r="30" spans="1:22" x14ac:dyDescent="0.2">
      <c r="A30" s="12" t="s">
        <v>5</v>
      </c>
      <c r="B30" s="12" t="s">
        <v>12</v>
      </c>
      <c r="C30" s="12">
        <v>124.20000000000002</v>
      </c>
      <c r="D30" s="13">
        <v>3</v>
      </c>
      <c r="E30" s="13">
        <v>0.2</v>
      </c>
      <c r="F30" s="13">
        <v>15.524999999999991</v>
      </c>
      <c r="I30" s="19" t="s">
        <v>10</v>
      </c>
      <c r="J30" s="18">
        <f t="shared" si="1"/>
        <v>17</v>
      </c>
      <c r="K30" s="20">
        <f t="shared" si="2"/>
        <v>0.10967741935483871</v>
      </c>
      <c r="U30" s="33">
        <v>50</v>
      </c>
      <c r="V30" s="34">
        <v>3</v>
      </c>
    </row>
    <row r="31" spans="1:22" x14ac:dyDescent="0.2">
      <c r="A31" s="12" t="s">
        <v>8</v>
      </c>
      <c r="B31" s="12" t="s">
        <v>20</v>
      </c>
      <c r="C31" s="12">
        <v>3.2640000000000002</v>
      </c>
      <c r="D31" s="13">
        <v>2</v>
      </c>
      <c r="E31" s="13">
        <v>0.2</v>
      </c>
      <c r="F31" s="13">
        <v>1.1015999999999997</v>
      </c>
      <c r="I31" s="19" t="s">
        <v>15</v>
      </c>
      <c r="J31" s="18">
        <f t="shared" si="1"/>
        <v>20</v>
      </c>
      <c r="K31" s="20">
        <f t="shared" si="2"/>
        <v>0.12903225806451613</v>
      </c>
      <c r="U31" s="33">
        <v>70</v>
      </c>
      <c r="V31" s="34">
        <v>1</v>
      </c>
    </row>
    <row r="32" spans="1:22" x14ac:dyDescent="0.2">
      <c r="A32" s="12" t="s">
        <v>8</v>
      </c>
      <c r="B32" s="12" t="s">
        <v>13</v>
      </c>
      <c r="C32" s="12">
        <v>86.304000000000002</v>
      </c>
      <c r="D32" s="13">
        <v>6</v>
      </c>
      <c r="E32" s="13">
        <v>0.2</v>
      </c>
      <c r="F32" s="13">
        <v>9.7091999999999885</v>
      </c>
      <c r="I32" s="19" t="s">
        <v>13</v>
      </c>
      <c r="J32" s="18">
        <f t="shared" si="1"/>
        <v>21</v>
      </c>
      <c r="K32" s="20">
        <f t="shared" si="2"/>
        <v>0.13548387096774195</v>
      </c>
      <c r="U32" s="33">
        <v>90</v>
      </c>
      <c r="V32" s="34">
        <v>1</v>
      </c>
    </row>
    <row r="33" spans="1:22" x14ac:dyDescent="0.2">
      <c r="A33" s="12" t="s">
        <v>8</v>
      </c>
      <c r="B33" s="12" t="s">
        <v>16</v>
      </c>
      <c r="C33" s="12">
        <v>6.8580000000000014</v>
      </c>
      <c r="D33" s="13">
        <v>6</v>
      </c>
      <c r="E33" s="13">
        <v>0.7</v>
      </c>
      <c r="F33" s="13">
        <v>-5.7149999999999999</v>
      </c>
      <c r="I33" s="19" t="s">
        <v>16</v>
      </c>
      <c r="J33" s="18">
        <f t="shared" si="1"/>
        <v>23</v>
      </c>
      <c r="K33" s="20">
        <f t="shared" si="2"/>
        <v>0.14838709677419354</v>
      </c>
      <c r="U33" s="33">
        <v>110</v>
      </c>
      <c r="V33" s="34">
        <v>1</v>
      </c>
    </row>
    <row r="34" spans="1:22" x14ac:dyDescent="0.2">
      <c r="A34" s="12" t="s">
        <v>8</v>
      </c>
      <c r="B34" s="12" t="s">
        <v>13</v>
      </c>
      <c r="C34" s="12">
        <v>15.76</v>
      </c>
      <c r="D34" s="13">
        <v>2</v>
      </c>
      <c r="E34" s="13">
        <v>0.2</v>
      </c>
      <c r="F34" s="13">
        <v>3.5460000000000007</v>
      </c>
      <c r="I34" s="19" t="s">
        <v>48</v>
      </c>
      <c r="J34" s="18">
        <f>SUM(J21:J33)</f>
        <v>155</v>
      </c>
      <c r="K34" s="21">
        <f>SUM(K21:K33)</f>
        <v>1</v>
      </c>
      <c r="U34" s="33">
        <v>130</v>
      </c>
      <c r="V34" s="34">
        <v>1</v>
      </c>
    </row>
    <row r="35" spans="1:22" x14ac:dyDescent="0.2">
      <c r="A35" s="12" t="s">
        <v>8</v>
      </c>
      <c r="B35" s="12" t="s">
        <v>18</v>
      </c>
      <c r="C35" s="12">
        <v>29.472000000000001</v>
      </c>
      <c r="D35" s="13">
        <v>3</v>
      </c>
      <c r="E35" s="13">
        <v>0.2</v>
      </c>
      <c r="F35" s="13">
        <v>9.9467999999999979</v>
      </c>
      <c r="I35" s="9"/>
      <c r="U35" s="33">
        <v>150</v>
      </c>
      <c r="V35" s="34">
        <v>1</v>
      </c>
    </row>
    <row r="36" spans="1:22" x14ac:dyDescent="0.2">
      <c r="A36" s="12" t="s">
        <v>14</v>
      </c>
      <c r="B36" s="12" t="s">
        <v>15</v>
      </c>
      <c r="C36" s="12">
        <v>1097.5440000000003</v>
      </c>
      <c r="D36" s="13">
        <v>7</v>
      </c>
      <c r="E36" s="13">
        <v>0.2</v>
      </c>
      <c r="F36" s="13">
        <v>123.47369999999989</v>
      </c>
      <c r="I36" s="9"/>
      <c r="U36" s="33">
        <v>170</v>
      </c>
      <c r="V36" s="34">
        <v>0</v>
      </c>
    </row>
    <row r="37" spans="1:22" x14ac:dyDescent="0.2">
      <c r="A37" s="12" t="s">
        <v>5</v>
      </c>
      <c r="B37" s="12" t="s">
        <v>12</v>
      </c>
      <c r="C37" s="12">
        <v>190.92</v>
      </c>
      <c r="D37" s="13">
        <v>5</v>
      </c>
      <c r="E37" s="13">
        <v>0.6</v>
      </c>
      <c r="F37" s="13">
        <v>-147.96300000000002</v>
      </c>
      <c r="I37" s="9"/>
      <c r="U37" s="33">
        <v>190</v>
      </c>
      <c r="V37" s="34">
        <v>0</v>
      </c>
    </row>
    <row r="38" spans="1:22" x14ac:dyDescent="0.2">
      <c r="A38" s="12" t="s">
        <v>8</v>
      </c>
      <c r="B38" s="12" t="s">
        <v>20</v>
      </c>
      <c r="C38" s="12">
        <v>113.328</v>
      </c>
      <c r="D38" s="13">
        <v>9</v>
      </c>
      <c r="E38" s="13">
        <v>0.2</v>
      </c>
      <c r="F38" s="13">
        <v>35.414999999999999</v>
      </c>
      <c r="G38" s="32" t="s">
        <v>49</v>
      </c>
      <c r="H38" s="31"/>
      <c r="I38" s="31"/>
      <c r="J38" s="31"/>
      <c r="K38" s="31"/>
      <c r="L38" s="31"/>
      <c r="M38" s="31"/>
      <c r="N38" s="31"/>
      <c r="O38" s="31"/>
      <c r="P38" s="31"/>
      <c r="Q38" s="31"/>
      <c r="R38" s="31"/>
      <c r="U38" s="33">
        <v>210</v>
      </c>
      <c r="V38" s="34">
        <v>0</v>
      </c>
    </row>
    <row r="39" spans="1:22" x14ac:dyDescent="0.2">
      <c r="A39" s="12" t="s">
        <v>5</v>
      </c>
      <c r="B39" s="12" t="s">
        <v>6</v>
      </c>
      <c r="C39" s="12">
        <v>532.39919999999995</v>
      </c>
      <c r="D39" s="13">
        <v>3</v>
      </c>
      <c r="E39" s="13">
        <v>0.32</v>
      </c>
      <c r="F39" s="13">
        <v>-47</v>
      </c>
      <c r="G39" s="32"/>
      <c r="H39" s="31"/>
      <c r="I39" s="31"/>
      <c r="J39" s="31"/>
      <c r="K39" s="31"/>
      <c r="L39" s="31"/>
      <c r="M39" s="31"/>
      <c r="N39" s="31"/>
      <c r="O39" s="31"/>
      <c r="P39" s="31"/>
      <c r="Q39" s="31"/>
      <c r="R39" s="31"/>
      <c r="U39" s="33">
        <v>230</v>
      </c>
      <c r="V39" s="34">
        <v>1</v>
      </c>
    </row>
    <row r="40" spans="1:22" x14ac:dyDescent="0.2">
      <c r="A40" s="18"/>
      <c r="B40" s="18"/>
      <c r="C40" s="18"/>
      <c r="D40" s="24"/>
      <c r="E40" s="24"/>
      <c r="F40" s="24"/>
      <c r="G40" s="18"/>
      <c r="H40" s="18"/>
      <c r="I40" s="18"/>
      <c r="J40" s="18"/>
      <c r="K40" s="18"/>
      <c r="L40" s="18"/>
      <c r="M40" s="18"/>
      <c r="N40" s="18"/>
      <c r="O40" s="18"/>
      <c r="P40" s="18"/>
      <c r="Q40" s="18"/>
      <c r="R40" s="18"/>
      <c r="U40" s="33">
        <v>250</v>
      </c>
      <c r="V40" s="34">
        <v>1</v>
      </c>
    </row>
    <row r="41" spans="1:22" ht="96" x14ac:dyDescent="0.2">
      <c r="A41" s="18"/>
      <c r="B41" s="18"/>
      <c r="C41" s="18"/>
      <c r="D41" s="24"/>
      <c r="E41" s="24"/>
      <c r="F41" s="24"/>
      <c r="G41" s="18"/>
      <c r="H41" s="18"/>
      <c r="I41" s="18"/>
      <c r="J41" s="18"/>
      <c r="K41" s="18"/>
      <c r="L41" s="18"/>
      <c r="M41" s="18"/>
      <c r="N41" s="18"/>
      <c r="O41" s="18"/>
      <c r="P41" s="18"/>
      <c r="Q41" s="18"/>
      <c r="R41" s="22" t="s">
        <v>50</v>
      </c>
      <c r="V41" s="34"/>
    </row>
    <row r="42" spans="1:22" x14ac:dyDescent="0.2">
      <c r="A42" s="18"/>
      <c r="B42" s="18"/>
      <c r="C42" s="18"/>
      <c r="D42" s="24"/>
      <c r="E42" s="24"/>
      <c r="F42" s="24"/>
      <c r="G42" s="18"/>
      <c r="H42" s="18"/>
      <c r="I42" s="18"/>
      <c r="J42" s="18"/>
      <c r="K42" s="18"/>
      <c r="L42" s="18"/>
      <c r="M42" s="18"/>
      <c r="N42" s="18"/>
      <c r="O42" s="18"/>
      <c r="P42" s="18"/>
      <c r="Q42" s="18"/>
      <c r="R42" s="18"/>
      <c r="V42" s="36"/>
    </row>
    <row r="43" spans="1:22" ht="96" x14ac:dyDescent="0.2">
      <c r="A43" s="18"/>
      <c r="B43" s="18"/>
      <c r="C43" s="18"/>
      <c r="D43" s="24"/>
      <c r="E43" s="24"/>
      <c r="F43" s="24"/>
      <c r="G43" s="18"/>
      <c r="H43" s="18"/>
      <c r="I43" s="18"/>
      <c r="J43" s="18"/>
      <c r="K43" s="18"/>
      <c r="L43" s="18"/>
      <c r="M43" s="18"/>
      <c r="N43" s="18"/>
      <c r="O43" s="18"/>
      <c r="P43" s="18"/>
      <c r="Q43" s="18"/>
      <c r="R43" s="22" t="s">
        <v>51</v>
      </c>
    </row>
    <row r="48" spans="1:22" x14ac:dyDescent="0.2">
      <c r="U48" s="36"/>
      <c r="V48" s="36"/>
    </row>
    <row r="49" spans="21:22" x14ac:dyDescent="0.2">
      <c r="U49" s="36"/>
      <c r="V49" s="36"/>
    </row>
    <row r="50" spans="21:22" x14ac:dyDescent="0.2">
      <c r="U50" s="36"/>
      <c r="V50" s="36"/>
    </row>
    <row r="53" spans="21:22" ht="99" customHeight="1" x14ac:dyDescent="0.2"/>
  </sheetData>
  <sortState xmlns:xlrd2="http://schemas.microsoft.com/office/spreadsheetml/2017/richdata2" ref="U17:U40">
    <sortCondition ref="U17"/>
  </sortState>
  <mergeCells count="4">
    <mergeCell ref="I1:K1"/>
    <mergeCell ref="I19:K19"/>
    <mergeCell ref="M1:Q1"/>
    <mergeCell ref="G38:R39"/>
  </mergeCells>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zoomScale="189" workbookViewId="0">
      <selection activeCell="L7" sqref="L7"/>
    </sheetView>
  </sheetViews>
  <sheetFormatPr baseColWidth="10" defaultColWidth="8.83203125" defaultRowHeight="15" x14ac:dyDescent="0.2"/>
  <cols>
    <col min="1" max="1" width="9.5" bestFit="1" customWidth="1"/>
    <col min="2" max="2" width="12.33203125" bestFit="1" customWidth="1"/>
    <col min="3" max="3" width="14.33203125" customWidth="1"/>
    <col min="6" max="6" width="8.6640625" customWidth="1"/>
  </cols>
  <sheetData>
    <row r="1" spans="1:6" x14ac:dyDescent="0.2">
      <c r="A1" s="2" t="s">
        <v>22</v>
      </c>
      <c r="B1" s="5" t="s">
        <v>23</v>
      </c>
      <c r="C1" s="3" t="s">
        <v>24</v>
      </c>
      <c r="E1" t="s">
        <v>25</v>
      </c>
      <c r="F1" s="6"/>
    </row>
    <row r="2" spans="1:6" x14ac:dyDescent="0.2">
      <c r="A2" s="4">
        <v>42583</v>
      </c>
      <c r="B2" s="1">
        <v>35</v>
      </c>
      <c r="C2">
        <v>300</v>
      </c>
    </row>
    <row r="3" spans="1:6" x14ac:dyDescent="0.2">
      <c r="A3" s="4">
        <v>42584</v>
      </c>
      <c r="B3" s="1">
        <v>30</v>
      </c>
      <c r="C3">
        <v>320</v>
      </c>
    </row>
    <row r="4" spans="1:6" x14ac:dyDescent="0.2">
      <c r="A4" s="4">
        <v>42585</v>
      </c>
      <c r="B4" s="1">
        <v>45</v>
      </c>
      <c r="C4">
        <v>480</v>
      </c>
    </row>
    <row r="5" spans="1:6" x14ac:dyDescent="0.2">
      <c r="A5" s="4">
        <v>42586</v>
      </c>
      <c r="B5" s="1">
        <v>45</v>
      </c>
      <c r="C5">
        <v>479</v>
      </c>
    </row>
    <row r="6" spans="1:6" x14ac:dyDescent="0.2">
      <c r="A6" s="4">
        <v>42587</v>
      </c>
      <c r="B6" s="1">
        <v>40</v>
      </c>
      <c r="C6">
        <v>415</v>
      </c>
    </row>
    <row r="7" spans="1:6" x14ac:dyDescent="0.2">
      <c r="A7" s="4">
        <v>42588</v>
      </c>
      <c r="B7" s="1">
        <v>50</v>
      </c>
      <c r="C7">
        <v>550</v>
      </c>
    </row>
    <row r="8" spans="1:6" x14ac:dyDescent="0.2">
      <c r="A8" s="4">
        <v>42589</v>
      </c>
      <c r="B8" s="1">
        <v>50</v>
      </c>
      <c r="C8">
        <v>560</v>
      </c>
    </row>
    <row r="9" spans="1:6" x14ac:dyDescent="0.2">
      <c r="A9" s="4">
        <v>42590</v>
      </c>
      <c r="B9" s="1">
        <v>60</v>
      </c>
      <c r="C9">
        <v>640</v>
      </c>
    </row>
    <row r="10" spans="1:6" x14ac:dyDescent="0.2">
      <c r="A10" s="4">
        <v>42591</v>
      </c>
      <c r="B10" s="1">
        <v>55</v>
      </c>
      <c r="C10">
        <v>590</v>
      </c>
    </row>
    <row r="11" spans="1:6" x14ac:dyDescent="0.2">
      <c r="A11" s="4">
        <v>42592</v>
      </c>
      <c r="B11" s="1">
        <v>60</v>
      </c>
      <c r="C11">
        <v>644</v>
      </c>
    </row>
    <row r="12" spans="1:6" x14ac:dyDescent="0.2">
      <c r="A12" s="4">
        <v>42593</v>
      </c>
      <c r="B12" s="1">
        <v>55</v>
      </c>
      <c r="C12">
        <v>590</v>
      </c>
    </row>
    <row r="13" spans="1:6" x14ac:dyDescent="0.2">
      <c r="A13" s="4">
        <v>42594</v>
      </c>
      <c r="B13" s="1">
        <v>55</v>
      </c>
      <c r="C13">
        <v>580</v>
      </c>
    </row>
    <row r="14" spans="1:6" x14ac:dyDescent="0.2">
      <c r="A14" s="4">
        <v>42595</v>
      </c>
      <c r="B14" s="1">
        <v>60</v>
      </c>
      <c r="C14">
        <v>650</v>
      </c>
    </row>
    <row r="15" spans="1:6" x14ac:dyDescent="0.2">
      <c r="A15" s="4">
        <v>42596</v>
      </c>
      <c r="B15" s="1">
        <v>55</v>
      </c>
      <c r="C15">
        <v>590</v>
      </c>
    </row>
    <row r="16" spans="1:6" x14ac:dyDescent="0.2">
      <c r="A16" s="4">
        <v>42597</v>
      </c>
      <c r="B16" s="1">
        <v>60</v>
      </c>
      <c r="C16">
        <v>645</v>
      </c>
    </row>
    <row r="17" spans="1:3" x14ac:dyDescent="0.2">
      <c r="A17" s="4">
        <v>42598</v>
      </c>
      <c r="B17" s="1">
        <v>60</v>
      </c>
      <c r="C17">
        <v>640</v>
      </c>
    </row>
    <row r="18" spans="1:3" x14ac:dyDescent="0.2">
      <c r="A18" s="4">
        <v>42599</v>
      </c>
      <c r="B18" s="1">
        <v>55</v>
      </c>
      <c r="C18">
        <v>590</v>
      </c>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CAE550B1-76BC-BC43-8405-CF676FB7C500}">
          <x14:colorSeries rgb="FF00B050"/>
          <x14:colorNegative rgb="FFFF0000"/>
          <x14:colorAxis rgb="FF000000"/>
          <x14:colorMarkers rgb="FF0070C0"/>
          <x14:colorFirst rgb="FFFFC000"/>
          <x14:colorLast rgb="FFFFC000"/>
          <x14:colorHigh rgb="FF00B050"/>
          <x14:colorLow rgb="FFFF0000"/>
          <x14:sparklines>
            <x14:sparkline>
              <xm:f>'Chapter 2 6 - 7'!C2:C18</xm:f>
              <xm:sqref>F1</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Chapter 1</vt:lpstr>
      <vt:lpstr>Chapter 2 Q1 - 5</vt:lpstr>
      <vt:lpstr>Chapter 2 6 - 7</vt:lpstr>
    </vt:vector>
  </TitlesOfParts>
  <Company>Quinnipiac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Ceccucci, Wendy A. Prof.</dc:creator>
  <cp:lastModifiedBy>Dhruv Khanna</cp:lastModifiedBy>
  <dcterms:created xsi:type="dcterms:W3CDTF">2018-01-04T17:27:24Z</dcterms:created>
  <dcterms:modified xsi:type="dcterms:W3CDTF">2024-09-08T19:26:22Z</dcterms:modified>
</cp:coreProperties>
</file>