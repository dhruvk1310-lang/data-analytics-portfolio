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dhruv/Downloads/"/>
    </mc:Choice>
  </mc:AlternateContent>
  <xr:revisionPtr revIDLastSave="0" documentId="13_ncr:1_{9380ABF8-9547-E140-91EF-B08C9C195330}" xr6:coauthVersionLast="47" xr6:coauthVersionMax="47" xr10:uidLastSave="{00000000-0000-0000-0000-000000000000}"/>
  <bookViews>
    <workbookView xWindow="0" yWindow="740" windowWidth="29400" windowHeight="18380" tabRatio="790" firstSheet="3" activeTab="6" xr2:uid="{BEEDA5E6-3B5D-471C-A473-AC0CEA58D21F}"/>
  </bookViews>
  <sheets>
    <sheet name="Read First!" sheetId="17" r:id="rId1"/>
    <sheet name="Answer Sheet." sheetId="2" r:id="rId2"/>
    <sheet name="8.1" sheetId="1" r:id="rId3"/>
    <sheet name="8.2" sheetId="6" r:id="rId4"/>
    <sheet name="8.3" sheetId="7" r:id="rId5"/>
    <sheet name="9.1" sheetId="4" r:id="rId6"/>
    <sheet name="9.2" sheetId="21" r:id="rId7"/>
    <sheet name="9.3" sheetId="5" r:id="rId8"/>
    <sheet name="CIE Mean Sigma Known" sheetId="11" r:id="rId9"/>
    <sheet name="CIE Sigma Unknown" sheetId="12" r:id="rId10"/>
    <sheet name="CIE Prop." sheetId="10" r:id="rId11"/>
    <sheet name="n mean" sheetId="22" r:id="rId12"/>
    <sheet name="n prop" sheetId="23" r:id="rId13"/>
    <sheet name="Ztest for Mean" sheetId="8" r:id="rId14"/>
    <sheet name="ZTest Mean UPPER" sheetId="14" r:id="rId15"/>
    <sheet name="Ztest Mean Lower" sheetId="13" r:id="rId16"/>
    <sheet name="Ttest Mean" sheetId="18" r:id="rId17"/>
    <sheet name="TTest Mean Upper" sheetId="20" r:id="rId18"/>
    <sheet name="Ttest Mean Lower" sheetId="19" r:id="rId19"/>
    <sheet name="Ztest for Prop." sheetId="9" r:id="rId20"/>
    <sheet name="Ztest Prop Upper" sheetId="15" r:id="rId21"/>
    <sheet name="Ztest Prop Lower" sheetId="16" r:id="rId22"/>
  </sheets>
  <definedNames>
    <definedName name="_xlchart.v1.0" hidden="1">'9.3'!$A$2:$A$31</definedName>
    <definedName name="_xlchart.v1.1" hidden="1">'9.3'!$A$2:$A$31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 i="5" l="1"/>
  <c r="E6" i="5"/>
  <c r="H27" i="5"/>
  <c r="H30" i="5" s="1"/>
  <c r="H26" i="5"/>
  <c r="H31" i="5"/>
  <c r="H35" i="5" s="1"/>
  <c r="J29" i="4"/>
  <c r="J33" i="4" s="1"/>
  <c r="J28" i="4"/>
  <c r="J30" i="4" s="1"/>
  <c r="F29" i="4"/>
  <c r="F33" i="4" s="1"/>
  <c r="F28" i="4"/>
  <c r="F30" i="4" s="1"/>
  <c r="K22" i="6"/>
  <c r="H32" i="5" l="1"/>
  <c r="K30" i="5"/>
  <c r="K31" i="5" s="1"/>
  <c r="H36" i="5" s="1"/>
  <c r="G37" i="5" s="1"/>
  <c r="J37" i="4"/>
  <c r="J38" i="4" s="1"/>
  <c r="F37" i="4"/>
  <c r="F38" i="4" s="1"/>
  <c r="J34" i="4" l="1"/>
  <c r="I35" i="4" s="1"/>
  <c r="F34" i="4"/>
  <c r="E35" i="4" s="1"/>
  <c r="B23" i="7" l="1"/>
  <c r="B22" i="7"/>
  <c r="K28" i="6"/>
  <c r="K27" i="6"/>
  <c r="B31" i="1"/>
  <c r="B32" i="1" s="1"/>
  <c r="B30" i="1"/>
  <c r="J13" i="5"/>
  <c r="J12" i="5"/>
  <c r="C11" i="21"/>
  <c r="H23" i="21"/>
  <c r="C10" i="21"/>
  <c r="H27" i="21"/>
  <c r="H26" i="21"/>
  <c r="H22" i="21"/>
  <c r="H21" i="21"/>
  <c r="H28" i="21" s="1"/>
  <c r="G29" i="21" s="1"/>
  <c r="F27" i="21"/>
  <c r="F26" i="21"/>
  <c r="F22" i="21"/>
  <c r="F21" i="21"/>
  <c r="C26" i="4"/>
  <c r="L33" i="4"/>
  <c r="L32" i="4"/>
  <c r="L28" i="4"/>
  <c r="L27" i="4"/>
  <c r="L29" i="4" s="1"/>
  <c r="L34" i="4" s="1"/>
  <c r="K35" i="4" s="1"/>
  <c r="B33" i="1" l="1"/>
  <c r="B37" i="1" s="1"/>
  <c r="B5" i="1" s="1"/>
  <c r="B5" i="2" s="1"/>
  <c r="B36" i="1"/>
  <c r="F23" i="21"/>
  <c r="C21" i="4"/>
  <c r="C20" i="4"/>
  <c r="C15" i="4"/>
  <c r="C14" i="4"/>
  <c r="H33" i="4"/>
  <c r="H32" i="4"/>
  <c r="H28" i="4"/>
  <c r="H27" i="4"/>
  <c r="B6" i="7"/>
  <c r="E20" i="7"/>
  <c r="E21" i="7" s="1"/>
  <c r="E24" i="7" s="1"/>
  <c r="B4" i="7"/>
  <c r="B30" i="2" s="1"/>
  <c r="B27" i="7"/>
  <c r="B21" i="7"/>
  <c r="K31" i="6"/>
  <c r="B12" i="6" s="1"/>
  <c r="B23" i="2" s="1"/>
  <c r="B10" i="6"/>
  <c r="B21" i="2" s="1"/>
  <c r="H27" i="6"/>
  <c r="H28" i="6" s="1"/>
  <c r="H31" i="6" s="1"/>
  <c r="E28" i="6"/>
  <c r="E27" i="6"/>
  <c r="B5" i="6"/>
  <c r="B4" i="6"/>
  <c r="B29" i="6"/>
  <c r="B30" i="6" s="1"/>
  <c r="B28" i="6"/>
  <c r="L24" i="1"/>
  <c r="L29" i="1"/>
  <c r="B10" i="1"/>
  <c r="I29" i="1"/>
  <c r="I30" i="1" s="1"/>
  <c r="I33" i="1" s="1"/>
  <c r="B8" i="1"/>
  <c r="B7" i="1"/>
  <c r="F30" i="1"/>
  <c r="F29" i="1"/>
  <c r="B4" i="1"/>
  <c r="B4" i="2" s="1"/>
  <c r="B10" i="11"/>
  <c r="B26" i="2"/>
  <c r="N13" i="2"/>
  <c r="O9" i="2"/>
  <c r="O4" i="2"/>
  <c r="O5" i="2"/>
  <c r="O8" i="2"/>
  <c r="O3" i="2"/>
  <c r="J16" i="2"/>
  <c r="J13" i="2"/>
  <c r="J14" i="2"/>
  <c r="J12" i="2"/>
  <c r="J9" i="2"/>
  <c r="J4" i="2"/>
  <c r="J7" i="2"/>
  <c r="J3" i="2"/>
  <c r="F30" i="2"/>
  <c r="F29" i="2"/>
  <c r="F28" i="2"/>
  <c r="F25" i="2"/>
  <c r="F23" i="2"/>
  <c r="F24" i="2"/>
  <c r="F22" i="2"/>
  <c r="F19" i="2"/>
  <c r="F14" i="2"/>
  <c r="F15" i="2"/>
  <c r="F17" i="2"/>
  <c r="F18" i="2"/>
  <c r="F13" i="2"/>
  <c r="F9" i="2"/>
  <c r="F4" i="2"/>
  <c r="F5" i="2"/>
  <c r="F8" i="2"/>
  <c r="F3" i="2"/>
  <c r="B9" i="23"/>
  <c r="B10" i="23" s="1"/>
  <c r="B13" i="23" s="1"/>
  <c r="B9" i="22"/>
  <c r="B10" i="22"/>
  <c r="B13" i="22"/>
  <c r="B11" i="20"/>
  <c r="B13" i="20" s="1"/>
  <c r="B12" i="20"/>
  <c r="B16" i="20"/>
  <c r="B11" i="19"/>
  <c r="B13" i="19" s="1"/>
  <c r="B12" i="19"/>
  <c r="B16" i="19" s="1"/>
  <c r="B11" i="18"/>
  <c r="B13" i="18" s="1"/>
  <c r="B18" i="18" s="1"/>
  <c r="A19" i="18" s="1"/>
  <c r="B12" i="18"/>
  <c r="B17" i="18" s="1"/>
  <c r="B10" i="16"/>
  <c r="B12" i="16" s="1"/>
  <c r="B16" i="16" s="1"/>
  <c r="A17" i="16" s="1"/>
  <c r="B11" i="16"/>
  <c r="B15" i="16"/>
  <c r="B10" i="15"/>
  <c r="B11" i="15"/>
  <c r="B12" i="15"/>
  <c r="B16" i="15"/>
  <c r="A17" i="15" s="1"/>
  <c r="B15" i="15"/>
  <c r="B11" i="14"/>
  <c r="B12" i="14" s="1"/>
  <c r="B16" i="14" s="1"/>
  <c r="A17" i="14" s="1"/>
  <c r="B15" i="14"/>
  <c r="B11" i="13"/>
  <c r="B12" i="13" s="1"/>
  <c r="B16" i="13" s="1"/>
  <c r="A17" i="13" s="1"/>
  <c r="B15" i="13"/>
  <c r="B11" i="12"/>
  <c r="B12" i="12"/>
  <c r="B13" i="12" s="1"/>
  <c r="B10" i="12"/>
  <c r="B12" i="11"/>
  <c r="B16" i="11" s="1"/>
  <c r="B11" i="11"/>
  <c r="B9" i="10"/>
  <c r="B11" i="10" s="1"/>
  <c r="B12" i="10" s="1"/>
  <c r="B10" i="10"/>
  <c r="B10" i="9"/>
  <c r="B11" i="9"/>
  <c r="B12" i="9"/>
  <c r="B17" i="9" s="1"/>
  <c r="A18" i="9" s="1"/>
  <c r="B16" i="9"/>
  <c r="B15" i="9"/>
  <c r="B11" i="8"/>
  <c r="B12" i="8" s="1"/>
  <c r="B17" i="8" s="1"/>
  <c r="A18" i="8" s="1"/>
  <c r="B16" i="8"/>
  <c r="B15" i="8"/>
  <c r="B16" i="2"/>
  <c r="B15" i="2"/>
  <c r="B7" i="2"/>
  <c r="B8" i="2"/>
  <c r="B10" i="2"/>
  <c r="O6" i="2" l="1"/>
  <c r="F28" i="21"/>
  <c r="C4" i="21"/>
  <c r="J5" i="2" s="1"/>
  <c r="H29" i="4"/>
  <c r="H34" i="4" s="1"/>
  <c r="G35" i="4" s="1"/>
  <c r="C5" i="4"/>
  <c r="F6" i="2" s="1"/>
  <c r="C6" i="4"/>
  <c r="F7" i="2" s="1"/>
  <c r="B26" i="7"/>
  <c r="B3" i="7" s="1"/>
  <c r="B29" i="2" s="1"/>
  <c r="E29" i="6"/>
  <c r="E30" i="6" s="1"/>
  <c r="B31" i="6"/>
  <c r="B35" i="6"/>
  <c r="B34" i="6"/>
  <c r="L30" i="1"/>
  <c r="L33" i="1" s="1"/>
  <c r="B12" i="1" s="1"/>
  <c r="B12" i="2" s="1"/>
  <c r="F31" i="1"/>
  <c r="F32" i="1" s="1"/>
  <c r="E11" i="20"/>
  <c r="E12" i="20" s="1"/>
  <c r="B17" i="20" s="1"/>
  <c r="A18" i="20" s="1"/>
  <c r="B17" i="12"/>
  <c r="B16" i="12"/>
  <c r="E11" i="19"/>
  <c r="E12" i="19" s="1"/>
  <c r="B16" i="18"/>
  <c r="B15" i="10"/>
  <c r="B15" i="11"/>
  <c r="B16" i="10"/>
  <c r="O7" i="2" l="1"/>
  <c r="E29" i="21"/>
  <c r="C5" i="21"/>
  <c r="J6" i="2" s="1"/>
  <c r="E34" i="6"/>
  <c r="B8" i="6" s="1"/>
  <c r="B19" i="2" s="1"/>
  <c r="E33" i="6"/>
  <c r="B7" i="6" s="1"/>
  <c r="B18" i="2" s="1"/>
  <c r="F36" i="1"/>
  <c r="F35" i="1"/>
  <c r="B17" i="19"/>
  <c r="A18" i="19" s="1"/>
</calcChain>
</file>

<file path=xl/sharedStrings.xml><?xml version="1.0" encoding="utf-8"?>
<sst xmlns="http://schemas.openxmlformats.org/spreadsheetml/2006/main" count="591" uniqueCount="111">
  <si>
    <t>Week 4 Homework</t>
  </si>
  <si>
    <t xml:space="preserve">Part A. </t>
  </si>
  <si>
    <t>Confidence Interval Lower Bound</t>
  </si>
  <si>
    <t>Confidence Interval Upper Bound</t>
  </si>
  <si>
    <t xml:space="preserve">Part B. </t>
  </si>
  <si>
    <t>Part C.</t>
  </si>
  <si>
    <t>Sample Size</t>
  </si>
  <si>
    <t xml:space="preserve">Part D.  </t>
  </si>
  <si>
    <t>Number of Customers</t>
  </si>
  <si>
    <t>Part A.</t>
  </si>
  <si>
    <t>Part B.</t>
  </si>
  <si>
    <t>Part B</t>
  </si>
  <si>
    <t>Ho:</t>
  </si>
  <si>
    <t>H1:</t>
  </si>
  <si>
    <t>p-value:</t>
  </si>
  <si>
    <t>Decision</t>
  </si>
  <si>
    <t>Assumptions:</t>
  </si>
  <si>
    <t>Force</t>
  </si>
  <si>
    <t>Is this a Z or t test?</t>
  </si>
  <si>
    <t>Z Test for the Mean</t>
  </si>
  <si>
    <t>Data</t>
  </si>
  <si>
    <r>
      <t xml:space="preserve">Null Hypothesis                         </t>
    </r>
    <r>
      <rPr>
        <b/>
        <sz val="11"/>
        <rFont val="Symbol"/>
        <family val="1"/>
        <charset val="2"/>
      </rPr>
      <t xml:space="preserve">m </t>
    </r>
    <r>
      <rPr>
        <b/>
        <sz val="11"/>
        <rFont val="Calibri"/>
        <family val="2"/>
      </rPr>
      <t>=</t>
    </r>
  </si>
  <si>
    <t>Level of Significance</t>
  </si>
  <si>
    <t>Population Standard Deviation</t>
  </si>
  <si>
    <t>Sample Mean</t>
  </si>
  <si>
    <t>Intermediate Calculations</t>
  </si>
  <si>
    <t>Standard Error of the Mean</t>
  </si>
  <si>
    <t>Z Test Statistic</t>
  </si>
  <si>
    <t>Two-Tail Test</t>
  </si>
  <si>
    <t>Lower Critical Value</t>
  </si>
  <si>
    <t>Upper Critical Value</t>
  </si>
  <si>
    <r>
      <t>p</t>
    </r>
    <r>
      <rPr>
        <sz val="11"/>
        <rFont val="Calibri"/>
        <family val="2"/>
      </rPr>
      <t>-Value</t>
    </r>
  </si>
  <si>
    <t>Z Test of Hypothesis for the Proportion</t>
  </si>
  <si>
    <r>
      <t xml:space="preserve">Null Hypothesis                </t>
    </r>
    <r>
      <rPr>
        <b/>
        <sz val="11"/>
        <rFont val="Calibri"/>
        <family val="2"/>
      </rPr>
      <t xml:space="preserve">  </t>
    </r>
    <r>
      <rPr>
        <b/>
        <i/>
        <sz val="11"/>
        <rFont val="Symbol"/>
        <family val="1"/>
        <charset val="2"/>
      </rPr>
      <t>p</t>
    </r>
    <r>
      <rPr>
        <sz val="11"/>
        <rFont val="Calibri"/>
        <family val="2"/>
      </rPr>
      <t>=</t>
    </r>
  </si>
  <si>
    <t>Number of Items of Interest</t>
  </si>
  <si>
    <t>Sample Proportion</t>
  </si>
  <si>
    <t>Standard Error</t>
  </si>
  <si>
    <t>Upper Critical value</t>
  </si>
  <si>
    <t xml:space="preserve">Proportion of In-Error Sales Invoices </t>
  </si>
  <si>
    <t>Number of Successes</t>
  </si>
  <si>
    <t>Confidence Level</t>
  </si>
  <si>
    <t>Z Value</t>
  </si>
  <si>
    <t>Standard Error of the Proportion</t>
  </si>
  <si>
    <t>Interval Half Width</t>
  </si>
  <si>
    <t>Confidence Interval</t>
  </si>
  <si>
    <t>Interval Lower Limit</t>
  </si>
  <si>
    <t>Interval Upper Limit</t>
  </si>
  <si>
    <t>Confidence Estimate for the Mean</t>
  </si>
  <si>
    <t>Estimate for the Mean Sales Invoice Amount</t>
  </si>
  <si>
    <t>Sample Standard Deviation</t>
  </si>
  <si>
    <t>Degrees of Freedom</t>
  </si>
  <si>
    <r>
      <t>t</t>
    </r>
    <r>
      <rPr>
        <sz val="11"/>
        <rFont val="Calibri"/>
        <family val="2"/>
      </rPr>
      <t xml:space="preserve"> Value</t>
    </r>
  </si>
  <si>
    <r>
      <t xml:space="preserve">Null Hypothesis                         </t>
    </r>
    <r>
      <rPr>
        <b/>
        <sz val="11"/>
        <rFont val="Symbol"/>
        <family val="1"/>
        <charset val="2"/>
      </rPr>
      <t>m &gt;=</t>
    </r>
  </si>
  <si>
    <t>Lower-Tail Test</t>
  </si>
  <si>
    <r>
      <t xml:space="preserve">Null Hypothesis                         </t>
    </r>
    <r>
      <rPr>
        <b/>
        <sz val="11"/>
        <rFont val="Symbol"/>
        <family val="1"/>
        <charset val="2"/>
      </rPr>
      <t>m &lt;=</t>
    </r>
  </si>
  <si>
    <t>Upper-Tail Test</t>
  </si>
  <si>
    <t>Test Statistic</t>
  </si>
  <si>
    <t>State the Decision in terms of the problem</t>
  </si>
  <si>
    <t>t Test for the Hypothesis of the Mean</t>
  </si>
  <si>
    <r>
      <t xml:space="preserve">Null Hypothesis                  </t>
    </r>
    <r>
      <rPr>
        <b/>
        <sz val="11"/>
        <rFont val="Symbol"/>
        <family val="1"/>
        <charset val="2"/>
      </rPr>
      <t>m</t>
    </r>
    <r>
      <rPr>
        <sz val="11"/>
        <rFont val="Calibri"/>
        <family val="2"/>
      </rPr>
      <t>=</t>
    </r>
  </si>
  <si>
    <r>
      <t>t</t>
    </r>
    <r>
      <rPr>
        <sz val="11"/>
        <rFont val="Calibri"/>
        <family val="2"/>
      </rPr>
      <t xml:space="preserve"> Test Statistic</t>
    </r>
  </si>
  <si>
    <t>One-Tail Calculations</t>
  </si>
  <si>
    <t>T.DIST.RT value</t>
  </si>
  <si>
    <t>1-T.DIST.RT value</t>
  </si>
  <si>
    <t>For the Mean Sales Invoice Amount</t>
  </si>
  <si>
    <t>Sampling Error</t>
  </si>
  <si>
    <t>Intemediate Calculations</t>
  </si>
  <si>
    <t xml:space="preserve">Calculated Sample Size </t>
  </si>
  <si>
    <t>Result</t>
  </si>
  <si>
    <t>Sample Size Needed</t>
  </si>
  <si>
    <t>Estimate of True Proportion</t>
  </si>
  <si>
    <t>9.1. Part A</t>
  </si>
  <si>
    <t>Test Statistic Value</t>
  </si>
  <si>
    <t>9.1 C</t>
  </si>
  <si>
    <t>9.1 D</t>
  </si>
  <si>
    <t>9.1  B</t>
  </si>
  <si>
    <t>B.</t>
  </si>
  <si>
    <t>For the Proportion of In-Error Sales Invoices</t>
  </si>
  <si>
    <t>2. Part A</t>
  </si>
  <si>
    <t>9.3. Part A</t>
  </si>
  <si>
    <t>3. Part A</t>
  </si>
  <si>
    <t>Sample mean</t>
  </si>
  <si>
    <t>Sample Stdev</t>
  </si>
  <si>
    <t>For A:</t>
  </si>
  <si>
    <t>For B</t>
  </si>
  <si>
    <t>For C</t>
  </si>
  <si>
    <t>For D</t>
  </si>
  <si>
    <t>Smaple mean</t>
  </si>
  <si>
    <t>For A</t>
  </si>
  <si>
    <t>Pop Stdev</t>
  </si>
  <si>
    <t>u &lt; 100</t>
  </si>
  <si>
    <t>u &gt;= 100</t>
  </si>
  <si>
    <t>t</t>
  </si>
  <si>
    <t>Do Not reject the Null Hypothesis</t>
  </si>
  <si>
    <t>Reject the Null Hypothesis</t>
  </si>
  <si>
    <t>we failed to show that the average reimbursement was any different from $100.</t>
  </si>
  <si>
    <t>We failed to show that the proportion of incorrect reimbursements was any different from 0.1.</t>
  </si>
  <si>
    <t>we failed to show that the proportion of incorrect reimbursements was any different from 0.1</t>
  </si>
  <si>
    <t>pi=0.5</t>
  </si>
  <si>
    <t>pi&lt;&gt;0.5</t>
  </si>
  <si>
    <t>We failed to show that the proportion of laptop users who use their laptops while watching TV is any different from 50%.</t>
  </si>
  <si>
    <t>With 100 users, there is evidence to suggest that the proportion of laptop users who use their laptops while watching TV is different from 50%</t>
  </si>
  <si>
    <t>mean</t>
  </si>
  <si>
    <t>Stdev</t>
  </si>
  <si>
    <t>u&lt;=1700</t>
  </si>
  <si>
    <t>u&gt;1700</t>
  </si>
  <si>
    <t>We need to assume that the data is noramlly distributed</t>
  </si>
  <si>
    <t>There is evidence to show that the population mean for reibursement was less than $100</t>
  </si>
  <si>
    <t>We fail to prove evidence that the population mean force required to break the insulators is greater than 1,700 pounds</t>
  </si>
  <si>
    <t>π &lt;= .1</t>
  </si>
  <si>
    <t>π &gt;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</si>
</sst>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
    <numFmt numFmtId="166" formatCode="0E+00"/>
  </numFmts>
  <fonts count="13" x14ac:knownFonts="1">
    <font>
      <sz val="11"/>
      <color theme="1"/>
      <name val="Calibri"/>
      <family val="2"/>
      <scheme val="minor"/>
    </font>
    <font>
      <sz val="18"/>
      <color theme="3"/>
      <name val="Calibri Light"/>
      <family val="2"/>
      <scheme val="major"/>
    </font>
    <font>
      <sz val="11"/>
      <color rgb="FF3F3F76"/>
      <name val="Calibri"/>
      <family val="2"/>
      <scheme val="minor"/>
    </font>
    <font>
      <b/>
      <sz val="11"/>
      <color theme="1"/>
      <name val="Calibri"/>
      <family val="2"/>
      <scheme val="minor"/>
    </font>
    <font>
      <b/>
      <sz val="11"/>
      <name val="Calibri"/>
      <family val="2"/>
      <scheme val="minor"/>
    </font>
    <font>
      <sz val="11"/>
      <name val="Calibri"/>
      <family val="2"/>
      <scheme val="minor"/>
    </font>
    <font>
      <sz val="10"/>
      <name val="Arial"/>
      <family val="2"/>
    </font>
    <font>
      <b/>
      <sz val="11"/>
      <name val="Symbol"/>
      <family val="1"/>
      <charset val="2"/>
    </font>
    <font>
      <b/>
      <sz val="11"/>
      <name val="Calibri"/>
      <family val="2"/>
    </font>
    <font>
      <i/>
      <sz val="11"/>
      <name val="Calibri"/>
      <family val="2"/>
      <scheme val="minor"/>
    </font>
    <font>
      <sz val="11"/>
      <name val="Calibri"/>
      <family val="2"/>
    </font>
    <font>
      <b/>
      <i/>
      <sz val="11"/>
      <name val="Symbol"/>
      <family val="1"/>
      <charset val="2"/>
    </font>
    <font>
      <sz val="11"/>
      <color theme="1"/>
      <name val="Calibri"/>
      <family val="2"/>
      <scheme val="minor"/>
    </font>
  </fonts>
  <fills count="6">
    <fill>
      <patternFill patternType="none"/>
    </fill>
    <fill>
      <patternFill patternType="gray125"/>
    </fill>
    <fill>
      <patternFill patternType="solid">
        <fgColor rgb="FFFFCC99"/>
      </patternFill>
    </fill>
    <fill>
      <patternFill patternType="solid">
        <fgColor indexed="41"/>
        <bgColor indexed="64"/>
      </patternFill>
    </fill>
    <fill>
      <patternFill patternType="solid">
        <fgColor indexed="43"/>
        <bgColor indexed="64"/>
      </patternFill>
    </fill>
    <fill>
      <patternFill patternType="solid">
        <fgColor rgb="FFFFFF99"/>
        <bgColor indexed="64"/>
      </patternFill>
    </fill>
  </fills>
  <borders count="29">
    <border>
      <left/>
      <right/>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rgb="FF7F7F7F"/>
      </left>
      <right style="medium">
        <color indexed="64"/>
      </right>
      <top style="thin">
        <color rgb="FF7F7F7F"/>
      </top>
      <bottom style="thin">
        <color rgb="FF7F7F7F"/>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rgb="FF7F7F7F"/>
      </left>
      <right style="medium">
        <color indexed="64"/>
      </right>
      <top style="thin">
        <color rgb="FF7F7F7F"/>
      </top>
      <bottom style="medium">
        <color indexed="64"/>
      </bottom>
      <diagonal/>
    </border>
    <border>
      <left/>
      <right/>
      <top style="medium">
        <color indexed="64"/>
      </top>
      <bottom style="thin">
        <color indexed="64"/>
      </bottom>
      <diagonal/>
    </border>
    <border>
      <left style="medium">
        <color indexed="64"/>
      </left>
      <right/>
      <top/>
      <bottom style="thin">
        <color indexed="64"/>
      </bottom>
      <diagonal/>
    </border>
    <border>
      <left style="thin">
        <color rgb="FF7F7F7F"/>
      </left>
      <right style="medium">
        <color indexed="64"/>
      </right>
      <top style="thin">
        <color rgb="FF7F7F7F"/>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rgb="FF7F7F7F"/>
      </left>
      <right style="medium">
        <color indexed="64"/>
      </right>
      <top style="thin">
        <color rgb="FF7F7F7F"/>
      </top>
      <bottom/>
      <diagonal/>
    </border>
    <border>
      <left style="thin">
        <color rgb="FF7F7F7F"/>
      </left>
      <right style="medium">
        <color indexed="64"/>
      </right>
      <top/>
      <bottom style="medium">
        <color indexed="64"/>
      </bottom>
      <diagonal/>
    </border>
    <border>
      <left/>
      <right style="medium">
        <color indexed="64"/>
      </right>
      <top/>
      <bottom style="medium">
        <color indexed="64"/>
      </bottom>
      <diagonal/>
    </border>
    <border>
      <left style="thin">
        <color rgb="FF7F7F7F"/>
      </left>
      <right style="medium">
        <color indexed="64"/>
      </right>
      <top style="medium">
        <color indexed="64"/>
      </top>
      <bottom style="thin">
        <color rgb="FF7F7F7F"/>
      </bottom>
      <diagonal/>
    </border>
    <border>
      <left style="thin">
        <color rgb="FF7F7F7F"/>
      </left>
      <right style="thin">
        <color rgb="FF7F7F7F"/>
      </right>
      <top style="thin">
        <color rgb="FF7F7F7F"/>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top style="thin">
        <color rgb="FF7F7F7F"/>
      </top>
      <bottom/>
      <diagonal/>
    </border>
  </borders>
  <cellStyleXfs count="6">
    <xf numFmtId="0" fontId="0" fillId="0" borderId="0"/>
    <xf numFmtId="0" fontId="1" fillId="0" borderId="0" applyNumberFormat="0" applyFill="0" applyBorder="0" applyAlignment="0" applyProtection="0"/>
    <xf numFmtId="0" fontId="2" fillId="2" borderId="1" applyNumberFormat="0" applyAlignment="0" applyProtection="0"/>
    <xf numFmtId="0" fontId="6" fillId="0" borderId="0"/>
    <xf numFmtId="9" fontId="6" fillId="0" borderId="0" applyFont="0" applyFill="0" applyBorder="0" applyAlignment="0" applyProtection="0"/>
    <xf numFmtId="9" fontId="12" fillId="0" borderId="0" applyFont="0" applyFill="0" applyBorder="0" applyAlignment="0" applyProtection="0"/>
  </cellStyleXfs>
  <cellXfs count="139">
    <xf numFmtId="0" fontId="0" fillId="0" borderId="0" xfId="0"/>
    <xf numFmtId="0" fontId="3" fillId="0" borderId="3" xfId="0" applyFont="1" applyBorder="1" applyAlignment="1">
      <alignment horizontal="left"/>
    </xf>
    <xf numFmtId="0" fontId="0" fillId="0" borderId="4" xfId="0" applyBorder="1"/>
    <xf numFmtId="0" fontId="0" fillId="0" borderId="5" xfId="0" applyBorder="1"/>
    <xf numFmtId="0" fontId="3" fillId="0" borderId="6" xfId="0" applyFont="1" applyBorder="1"/>
    <xf numFmtId="0" fontId="2" fillId="2" borderId="7" xfId="2" applyBorder="1"/>
    <xf numFmtId="0" fontId="0" fillId="0" borderId="8" xfId="0" applyBorder="1"/>
    <xf numFmtId="0" fontId="0" fillId="0" borderId="6" xfId="0" applyBorder="1"/>
    <xf numFmtId="0" fontId="0" fillId="0" borderId="9" xfId="0" applyBorder="1"/>
    <xf numFmtId="0" fontId="3" fillId="0" borderId="3" xfId="0" applyFont="1" applyBorder="1"/>
    <xf numFmtId="0" fontId="3" fillId="0" borderId="6" xfId="0" applyFont="1" applyBorder="1" applyAlignment="1">
      <alignment horizontal="left"/>
    </xf>
    <xf numFmtId="0" fontId="4" fillId="0" borderId="12" xfId="0" applyFont="1" applyBorder="1" applyAlignment="1" applyProtection="1">
      <alignment horizontal="center"/>
      <protection locked="0"/>
    </xf>
    <xf numFmtId="0" fontId="5" fillId="0" borderId="0" xfId="0" applyFont="1" applyProtection="1">
      <protection locked="0"/>
    </xf>
    <xf numFmtId="0" fontId="5" fillId="0" borderId="2" xfId="0" applyFont="1" applyBorder="1" applyProtection="1">
      <protection locked="0"/>
    </xf>
    <xf numFmtId="0" fontId="0" fillId="0" borderId="13" xfId="0" applyBorder="1"/>
    <xf numFmtId="0" fontId="4" fillId="0" borderId="0" xfId="3" applyFont="1" applyAlignment="1">
      <alignment horizontal="left"/>
    </xf>
    <xf numFmtId="0" fontId="5" fillId="0" borderId="0" xfId="3" applyFont="1" applyAlignment="1">
      <alignment horizontal="centerContinuous"/>
    </xf>
    <xf numFmtId="0" fontId="5" fillId="0" borderId="0" xfId="3" applyFont="1"/>
    <xf numFmtId="0" fontId="5" fillId="3" borderId="15" xfId="3" applyFont="1" applyFill="1" applyBorder="1"/>
    <xf numFmtId="0" fontId="5" fillId="0" borderId="15" xfId="3" applyFont="1" applyBorder="1"/>
    <xf numFmtId="0" fontId="5" fillId="4" borderId="15" xfId="3" applyFont="1" applyFill="1" applyBorder="1"/>
    <xf numFmtId="0" fontId="4" fillId="4" borderId="15" xfId="3" applyFont="1" applyFill="1" applyBorder="1" applyAlignment="1">
      <alignment horizontal="centerContinuous"/>
    </xf>
    <xf numFmtId="164" fontId="5" fillId="4" borderId="15" xfId="3" applyNumberFormat="1" applyFont="1" applyFill="1" applyBorder="1"/>
    <xf numFmtId="0" fontId="9" fillId="4" borderId="15" xfId="3" applyFont="1" applyFill="1" applyBorder="1"/>
    <xf numFmtId="0" fontId="5" fillId="4" borderId="15" xfId="3" applyFont="1" applyFill="1" applyBorder="1" applyAlignment="1">
      <alignment horizontal="centerContinuous"/>
    </xf>
    <xf numFmtId="0" fontId="4" fillId="0" borderId="0" xfId="3" applyFont="1"/>
    <xf numFmtId="164" fontId="5" fillId="0" borderId="15" xfId="3" applyNumberFormat="1" applyFont="1" applyBorder="1"/>
    <xf numFmtId="164" fontId="4" fillId="0" borderId="0" xfId="3" quotePrefix="1" applyNumberFormat="1" applyFont="1"/>
    <xf numFmtId="0" fontId="4" fillId="0" borderId="0" xfId="3" applyFont="1" applyAlignment="1">
      <alignment horizontal="centerContinuous"/>
    </xf>
    <xf numFmtId="0" fontId="4" fillId="0" borderId="0" xfId="3" quotePrefix="1" applyFont="1"/>
    <xf numFmtId="0" fontId="5" fillId="3" borderId="15" xfId="3" applyFont="1" applyFill="1" applyBorder="1" applyProtection="1">
      <protection locked="0"/>
    </xf>
    <xf numFmtId="9" fontId="5" fillId="3" borderId="15" xfId="4" applyFont="1" applyFill="1" applyBorder="1"/>
    <xf numFmtId="9" fontId="4" fillId="0" borderId="0" xfId="4" applyFont="1"/>
    <xf numFmtId="0" fontId="5" fillId="0" borderId="18" xfId="3" applyFont="1" applyBorder="1"/>
    <xf numFmtId="0" fontId="4" fillId="3" borderId="15" xfId="3" applyFont="1" applyFill="1" applyBorder="1" applyAlignment="1">
      <alignment horizontal="centerContinuous"/>
    </xf>
    <xf numFmtId="0" fontId="5" fillId="3" borderId="15" xfId="3" applyFont="1" applyFill="1" applyBorder="1" applyAlignment="1">
      <alignment horizontal="centerContinuous"/>
    </xf>
    <xf numFmtId="9" fontId="5" fillId="3" borderId="15" xfId="4" applyFont="1" applyFill="1" applyBorder="1" applyProtection="1">
      <protection locked="0"/>
    </xf>
    <xf numFmtId="9" fontId="4" fillId="0" borderId="0" xfId="4" applyFont="1" applyProtection="1">
      <protection locked="0"/>
    </xf>
    <xf numFmtId="0" fontId="4" fillId="3" borderId="19" xfId="3" applyFont="1" applyFill="1" applyBorder="1" applyAlignment="1">
      <alignment horizontal="centerContinuous"/>
    </xf>
    <xf numFmtId="0" fontId="5" fillId="3" borderId="20" xfId="3" applyFont="1" applyFill="1" applyBorder="1" applyAlignment="1">
      <alignment horizontal="centerContinuous"/>
    </xf>
    <xf numFmtId="0" fontId="9" fillId="0" borderId="15" xfId="3" applyFont="1" applyBorder="1"/>
    <xf numFmtId="2" fontId="5" fillId="4" borderId="15" xfId="3" applyNumberFormat="1" applyFont="1" applyFill="1" applyBorder="1"/>
    <xf numFmtId="0" fontId="4" fillId="0" borderId="0" xfId="3" applyFont="1" applyAlignment="1">
      <alignment horizontal="center"/>
    </xf>
    <xf numFmtId="0" fontId="5" fillId="0" borderId="0" xfId="3" applyFont="1" applyAlignment="1">
      <alignment horizontal="right"/>
    </xf>
    <xf numFmtId="0" fontId="5" fillId="0" borderId="15" xfId="3" applyFont="1" applyBorder="1" applyAlignment="1">
      <alignment horizontal="centerContinuous"/>
    </xf>
    <xf numFmtId="0" fontId="5" fillId="0" borderId="15" xfId="3" applyFont="1" applyBorder="1" applyAlignment="1">
      <alignment horizontal="left"/>
    </xf>
    <xf numFmtId="2" fontId="2" fillId="2" borderId="7" xfId="2" applyNumberFormat="1" applyBorder="1"/>
    <xf numFmtId="164" fontId="2" fillId="2" borderId="7" xfId="2" applyNumberFormat="1" applyBorder="1"/>
    <xf numFmtId="1" fontId="5" fillId="4" borderId="15" xfId="3" applyNumberFormat="1" applyFont="1" applyFill="1" applyBorder="1"/>
    <xf numFmtId="1" fontId="2" fillId="2" borderId="7" xfId="2" applyNumberFormat="1" applyBorder="1"/>
    <xf numFmtId="1" fontId="2" fillId="2" borderId="11" xfId="2" applyNumberFormat="1" applyBorder="1"/>
    <xf numFmtId="1" fontId="2" fillId="2" borderId="14" xfId="2" applyNumberFormat="1" applyBorder="1"/>
    <xf numFmtId="2" fontId="0" fillId="0" borderId="8" xfId="0" applyNumberFormat="1" applyBorder="1"/>
    <xf numFmtId="164" fontId="2" fillId="2" borderId="14" xfId="2" applyNumberFormat="1" applyBorder="1"/>
    <xf numFmtId="0" fontId="2" fillId="2" borderId="7" xfId="2" applyBorder="1" applyAlignment="1">
      <alignment horizontal="left"/>
    </xf>
    <xf numFmtId="164" fontId="2" fillId="2" borderId="7" xfId="2" applyNumberFormat="1" applyBorder="1" applyAlignment="1">
      <alignment horizontal="left"/>
    </xf>
    <xf numFmtId="0" fontId="1" fillId="0" borderId="0" xfId="1" applyBorder="1"/>
    <xf numFmtId="2" fontId="2" fillId="2" borderId="8" xfId="2" applyNumberFormat="1" applyBorder="1"/>
    <xf numFmtId="0" fontId="2" fillId="2" borderId="8" xfId="2" applyBorder="1"/>
    <xf numFmtId="0" fontId="2" fillId="2" borderId="23" xfId="2" applyBorder="1"/>
    <xf numFmtId="1" fontId="2" fillId="2" borderId="8" xfId="2" applyNumberFormat="1" applyBorder="1"/>
    <xf numFmtId="2" fontId="2" fillId="2" borderId="8" xfId="2" applyNumberFormat="1" applyBorder="1" applyAlignment="1">
      <alignment horizontal="right"/>
    </xf>
    <xf numFmtId="2" fontId="2" fillId="2" borderId="23" xfId="2" applyNumberFormat="1" applyBorder="1" applyAlignment="1">
      <alignment horizontal="right"/>
    </xf>
    <xf numFmtId="0" fontId="2" fillId="2" borderId="8" xfId="2" applyBorder="1" applyAlignment="1">
      <alignment horizontal="left"/>
    </xf>
    <xf numFmtId="164" fontId="2" fillId="2" borderId="8" xfId="2" applyNumberFormat="1" applyBorder="1" applyAlignment="1">
      <alignment horizontal="left"/>
    </xf>
    <xf numFmtId="0" fontId="0" fillId="0" borderId="8" xfId="0" applyBorder="1" applyAlignment="1">
      <alignment horizontal="left"/>
    </xf>
    <xf numFmtId="166" fontId="2" fillId="2" borderId="8" xfId="2" applyNumberFormat="1" applyBorder="1" applyAlignment="1">
      <alignment horizontal="left"/>
    </xf>
    <xf numFmtId="165" fontId="2" fillId="2" borderId="8" xfId="2" applyNumberFormat="1" applyBorder="1" applyAlignment="1">
      <alignment horizontal="left"/>
    </xf>
    <xf numFmtId="0" fontId="0" fillId="0" borderId="3" xfId="0" applyBorder="1"/>
    <xf numFmtId="164" fontId="2" fillId="2" borderId="24" xfId="2" applyNumberFormat="1" applyBorder="1"/>
    <xf numFmtId="0" fontId="2" fillId="2" borderId="24" xfId="2" applyBorder="1"/>
    <xf numFmtId="0" fontId="3" fillId="0" borderId="26" xfId="0" applyFont="1" applyBorder="1"/>
    <xf numFmtId="0" fontId="0" fillId="0" borderId="27" xfId="0" applyBorder="1"/>
    <xf numFmtId="0" fontId="4" fillId="0" borderId="0" xfId="0" applyFont="1"/>
    <xf numFmtId="0" fontId="5" fillId="0" borderId="0" xfId="0" applyFont="1"/>
    <xf numFmtId="9" fontId="5" fillId="3" borderId="15" xfId="5" applyFont="1" applyFill="1" applyBorder="1" applyProtection="1">
      <protection locked="0"/>
    </xf>
    <xf numFmtId="0" fontId="4" fillId="4" borderId="15" xfId="3" applyFont="1" applyFill="1" applyBorder="1"/>
    <xf numFmtId="0" fontId="3" fillId="0" borderId="3" xfId="0" applyFont="1" applyBorder="1" applyAlignment="1">
      <alignment horizontal="left" vertical="center"/>
    </xf>
    <xf numFmtId="0" fontId="2" fillId="2" borderId="8" xfId="2" applyBorder="1" applyAlignment="1">
      <alignment horizontal="left" vertical="center"/>
    </xf>
    <xf numFmtId="164" fontId="2" fillId="2" borderId="8" xfId="2" applyNumberFormat="1" applyBorder="1" applyAlignment="1">
      <alignment horizontal="left" vertical="center"/>
    </xf>
    <xf numFmtId="164" fontId="2" fillId="2" borderId="5" xfId="2" applyNumberFormat="1"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0" xfId="0" applyAlignment="1">
      <alignment horizontal="left" vertical="center"/>
    </xf>
    <xf numFmtId="0" fontId="3" fillId="0" borderId="6" xfId="0" applyFont="1" applyBorder="1" applyAlignment="1">
      <alignment horizontal="left" vertical="center"/>
    </xf>
    <xf numFmtId="0" fontId="0" fillId="0" borderId="6" xfId="0" applyBorder="1" applyAlignment="1">
      <alignment horizontal="left" vertical="center"/>
    </xf>
    <xf numFmtId="0" fontId="0" fillId="0" borderId="9" xfId="0" applyBorder="1" applyAlignment="1">
      <alignment horizontal="left" vertical="center"/>
    </xf>
    <xf numFmtId="0" fontId="0" fillId="0" borderId="3" xfId="0" applyBorder="1" applyAlignment="1">
      <alignment horizontal="left" vertical="center"/>
    </xf>
    <xf numFmtId="0" fontId="0" fillId="0" borderId="0" xfId="0" applyAlignment="1">
      <alignment horizontal="left" wrapText="1"/>
    </xf>
    <xf numFmtId="0" fontId="2" fillId="2" borderId="8" xfId="2" applyBorder="1" applyAlignment="1">
      <alignment horizontal="left"/>
    </xf>
    <xf numFmtId="0" fontId="2" fillId="2" borderId="0" xfId="2" applyBorder="1" applyAlignment="1">
      <alignment horizontal="left"/>
    </xf>
    <xf numFmtId="0" fontId="2" fillId="2" borderId="10" xfId="2" applyBorder="1" applyAlignment="1">
      <alignment horizontal="left"/>
    </xf>
    <xf numFmtId="0" fontId="2" fillId="2" borderId="23" xfId="2" applyBorder="1" applyAlignment="1">
      <alignment horizontal="left"/>
    </xf>
    <xf numFmtId="0" fontId="0" fillId="0" borderId="10" xfId="0" applyBorder="1" applyAlignment="1">
      <alignment horizontal="left" wrapText="1"/>
    </xf>
    <xf numFmtId="0" fontId="2" fillId="2" borderId="8" xfId="2" applyNumberFormat="1" applyBorder="1" applyAlignment="1">
      <alignment horizontal="left"/>
    </xf>
    <xf numFmtId="0" fontId="5" fillId="0" borderId="15" xfId="3" applyFont="1" applyBorder="1" applyAlignment="1">
      <alignment horizontal="center"/>
    </xf>
    <xf numFmtId="0" fontId="4" fillId="4" borderId="15" xfId="3" applyFont="1" applyFill="1" applyBorder="1" applyAlignment="1">
      <alignment horizontal="center"/>
    </xf>
    <xf numFmtId="0" fontId="0" fillId="0" borderId="2" xfId="0" applyBorder="1" applyAlignment="1">
      <alignment horizontal="center"/>
    </xf>
    <xf numFmtId="0" fontId="0" fillId="0" borderId="0" xfId="0" applyAlignment="1">
      <alignment horizontal="center"/>
    </xf>
    <xf numFmtId="0" fontId="5" fillId="0" borderId="16" xfId="3" applyFont="1" applyBorder="1" applyAlignment="1">
      <alignment horizontal="center"/>
    </xf>
    <xf numFmtId="0" fontId="5" fillId="0" borderId="17" xfId="3" applyFont="1" applyBorder="1" applyAlignment="1">
      <alignment horizontal="center"/>
    </xf>
    <xf numFmtId="0" fontId="4" fillId="3" borderId="16" xfId="3" applyFont="1" applyFill="1" applyBorder="1" applyAlignment="1">
      <alignment horizontal="center"/>
    </xf>
    <xf numFmtId="0" fontId="4" fillId="3" borderId="17" xfId="3" applyFont="1" applyFill="1" applyBorder="1" applyAlignment="1">
      <alignment horizontal="center"/>
    </xf>
    <xf numFmtId="0" fontId="5" fillId="0" borderId="19" xfId="3" applyFont="1" applyBorder="1" applyAlignment="1">
      <alignment horizontal="center"/>
    </xf>
    <xf numFmtId="0" fontId="5" fillId="0" borderId="20" xfId="3" applyFont="1" applyBorder="1" applyAlignment="1">
      <alignment horizontal="center"/>
    </xf>
    <xf numFmtId="0" fontId="4" fillId="4" borderId="16" xfId="3" applyFont="1" applyFill="1" applyBorder="1" applyAlignment="1">
      <alignment horizontal="center"/>
    </xf>
    <xf numFmtId="0" fontId="4" fillId="4" borderId="17" xfId="3" applyFont="1" applyFill="1" applyBorder="1" applyAlignment="1">
      <alignment horizontal="center"/>
    </xf>
    <xf numFmtId="0" fontId="4" fillId="3" borderId="15" xfId="3" applyFont="1" applyFill="1" applyBorder="1" applyAlignment="1">
      <alignment horizontal="center"/>
    </xf>
    <xf numFmtId="0" fontId="4" fillId="5" borderId="15" xfId="3" applyFont="1" applyFill="1" applyBorder="1" applyAlignment="1">
      <alignment horizontal="center"/>
    </xf>
    <xf numFmtId="0" fontId="0" fillId="0" borderId="0" xfId="0" applyAlignment="1">
      <alignment horizontal="center" vertical="center"/>
    </xf>
    <xf numFmtId="0" fontId="0" fillId="0" borderId="0" xfId="0" applyAlignment="1">
      <alignment horizontal="left" vertical="center" wrapText="1"/>
    </xf>
    <xf numFmtId="0" fontId="0" fillId="0" borderId="10" xfId="0" applyBorder="1" applyAlignment="1">
      <alignment horizontal="left" vertical="center" wrapText="1"/>
    </xf>
    <xf numFmtId="0" fontId="2" fillId="2" borderId="8" xfId="2" applyBorder="1" applyAlignment="1">
      <alignment horizontal="left" vertical="center" wrapText="1"/>
    </xf>
    <xf numFmtId="0" fontId="2" fillId="2" borderId="23" xfId="2" applyBorder="1" applyAlignment="1">
      <alignment horizontal="left" vertical="center" wrapText="1"/>
    </xf>
    <xf numFmtId="0" fontId="2" fillId="2" borderId="21" xfId="2" applyBorder="1" applyAlignment="1">
      <alignment horizontal="center" wrapText="1"/>
    </xf>
    <xf numFmtId="0" fontId="2" fillId="2" borderId="22" xfId="2" applyBorder="1" applyAlignment="1">
      <alignment horizontal="center" wrapText="1"/>
    </xf>
    <xf numFmtId="0" fontId="2" fillId="2" borderId="28" xfId="2" applyBorder="1" applyAlignment="1">
      <alignment horizontal="center" wrapText="1"/>
    </xf>
    <xf numFmtId="0" fontId="2" fillId="2" borderId="0" xfId="2" applyBorder="1" applyAlignment="1">
      <alignment horizontal="center" wrapText="1"/>
    </xf>
    <xf numFmtId="0" fontId="2" fillId="2" borderId="10" xfId="2" applyBorder="1" applyAlignment="1">
      <alignment horizontal="center" wrapText="1"/>
    </xf>
    <xf numFmtId="0" fontId="0" fillId="0" borderId="0" xfId="0" applyAlignment="1">
      <alignment horizontal="center" wrapText="1"/>
    </xf>
    <xf numFmtId="0" fontId="0" fillId="0" borderId="10" xfId="0" applyBorder="1" applyAlignment="1">
      <alignment horizontal="center" wrapText="1"/>
    </xf>
    <xf numFmtId="0" fontId="2" fillId="2" borderId="1" xfId="2" applyAlignment="1">
      <alignment horizontal="left"/>
    </xf>
    <xf numFmtId="0" fontId="2" fillId="2" borderId="7" xfId="2" applyBorder="1" applyAlignment="1">
      <alignment horizontal="left"/>
    </xf>
    <xf numFmtId="0" fontId="2" fillId="2" borderId="25" xfId="2" applyBorder="1" applyAlignment="1">
      <alignment horizontal="left"/>
    </xf>
    <xf numFmtId="0" fontId="2" fillId="2" borderId="11" xfId="2" applyBorder="1" applyAlignment="1">
      <alignment horizontal="left"/>
    </xf>
    <xf numFmtId="0" fontId="9" fillId="4" borderId="17" xfId="3" applyFont="1" applyFill="1" applyBorder="1"/>
    <xf numFmtId="0" fontId="5" fillId="4" borderId="17" xfId="3" applyFont="1" applyFill="1" applyBorder="1" applyAlignment="1">
      <alignment horizontal="centerContinuous"/>
    </xf>
    <xf numFmtId="0" fontId="5" fillId="0" borderId="17" xfId="3" applyFont="1" applyBorder="1" applyAlignment="1">
      <alignment horizontal="centerContinuous"/>
    </xf>
    <xf numFmtId="0" fontId="5" fillId="0" borderId="17" xfId="3" applyFont="1" applyBorder="1" applyAlignment="1">
      <alignment horizontal="left"/>
    </xf>
    <xf numFmtId="0" fontId="4" fillId="0" borderId="0" xfId="3" applyFont="1" applyFill="1" applyBorder="1" applyAlignment="1">
      <alignment horizontal="left" vertical="center"/>
    </xf>
    <xf numFmtId="0" fontId="5" fillId="0" borderId="0" xfId="3" applyFont="1" applyFill="1" applyBorder="1" applyAlignment="1">
      <alignment horizontal="left" vertical="center"/>
    </xf>
    <xf numFmtId="0" fontId="4" fillId="0" borderId="0" xfId="3" applyFont="1" applyFill="1" applyBorder="1" applyAlignment="1">
      <alignment horizontal="left" vertical="center"/>
    </xf>
    <xf numFmtId="164" fontId="5" fillId="0" borderId="0" xfId="3" applyNumberFormat="1" applyFont="1" applyFill="1" applyBorder="1" applyAlignment="1">
      <alignment horizontal="left" vertical="center"/>
    </xf>
    <xf numFmtId="0" fontId="9" fillId="0" borderId="0" xfId="3" applyFont="1" applyFill="1" applyBorder="1" applyAlignment="1">
      <alignment horizontal="left" vertical="center"/>
    </xf>
    <xf numFmtId="0" fontId="5" fillId="0" borderId="0" xfId="3" applyFont="1" applyFill="1" applyBorder="1" applyAlignment="1">
      <alignment vertical="center"/>
    </xf>
    <xf numFmtId="0" fontId="2" fillId="2" borderId="21" xfId="2" applyBorder="1" applyAlignment="1">
      <alignment horizontal="left" wrapText="1"/>
    </xf>
    <xf numFmtId="0" fontId="2" fillId="2" borderId="22" xfId="2" applyBorder="1" applyAlignment="1">
      <alignment horizontal="left" wrapText="1"/>
    </xf>
    <xf numFmtId="0" fontId="4" fillId="0" borderId="0" xfId="3" applyFont="1" applyFill="1" applyBorder="1" applyAlignment="1">
      <alignment horizontal="center"/>
    </xf>
    <xf numFmtId="0" fontId="0" fillId="0" borderId="0" xfId="0" applyFill="1" applyBorder="1"/>
  </cellXfs>
  <cellStyles count="6">
    <cellStyle name="Input" xfId="2" builtinId="20"/>
    <cellStyle name="Normal" xfId="0" builtinId="0"/>
    <cellStyle name="Normal 2" xfId="3" xr:uid="{8CBC608B-2EC5-424D-A7A8-9C6D322D5BD5}"/>
    <cellStyle name="Percent" xfId="5" builtinId="5"/>
    <cellStyle name="Percent 2" xfId="4" xr:uid="{9E9DA30B-53FB-4271-9E4D-8426C238E26D}"/>
    <cellStyle name="Title" xfId="1" builtinI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Force Histogram</a:t>
            </a:r>
          </a:p>
          <a:p>
            <a:pPr algn="ctr" rtl="0">
              <a:defRPr/>
            </a:pPr>
            <a:endParaRPr lang="en-US"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E555DFE9-4446-5343-84A1-C33D1B7945F7}">
          <cx:dataId val="0"/>
          <cx:layoutPr>
            <cx:binning intervalClosed="r"/>
          </cx:layoutPr>
        </cx:series>
      </cx:plotAreaRegion>
      <cx:axis id="0">
        <cx:catScaling gapWidth="0"/>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0</xdr:col>
      <xdr:colOff>482600</xdr:colOff>
      <xdr:row>0</xdr:row>
      <xdr:rowOff>139700</xdr:rowOff>
    </xdr:from>
    <xdr:to>
      <xdr:col>18</xdr:col>
      <xdr:colOff>374650</xdr:colOff>
      <xdr:row>27</xdr:row>
      <xdr:rowOff>12700</xdr:rowOff>
    </xdr:to>
    <xdr:sp macro="" textlink="">
      <xdr:nvSpPr>
        <xdr:cNvPr id="2" name="TextBox 1">
          <a:extLst>
            <a:ext uri="{FF2B5EF4-FFF2-40B4-BE49-F238E27FC236}">
              <a16:creationId xmlns:a16="http://schemas.microsoft.com/office/drawing/2014/main" id="{F49F45F5-769F-45F8-AF1D-03DAA7434D34}"/>
            </a:ext>
          </a:extLst>
        </xdr:cNvPr>
        <xdr:cNvSpPr txBox="1"/>
      </xdr:nvSpPr>
      <xdr:spPr>
        <a:xfrm>
          <a:off x="482600" y="139700"/>
          <a:ext cx="10864850" cy="4845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HI BAN610</a:t>
          </a:r>
          <a:br>
            <a:rPr lang="en-US" sz="1100"/>
          </a:br>
          <a:r>
            <a:rPr lang="en-US" sz="1100"/>
            <a:t>In</a:t>
          </a:r>
          <a:r>
            <a:rPr lang="en-US" sz="1100" baseline="0"/>
            <a:t> this workbook, you should find all that you need to complete your homework.</a:t>
          </a:r>
          <a:br>
            <a:rPr lang="en-US" sz="1100" baseline="0"/>
          </a:br>
          <a:r>
            <a:rPr lang="en-US" sz="1100" baseline="0"/>
            <a:t>The first sheet the </a:t>
          </a:r>
          <a:r>
            <a:rPr lang="en-US" sz="1100" baseline="0">
              <a:solidFill>
                <a:srgbClr val="FF0000"/>
              </a:solidFill>
            </a:rPr>
            <a:t>Answer Sheet - it is for my grading purposes - do NOT edit this sheet</a:t>
          </a:r>
          <a:r>
            <a:rPr lang="en-US" sz="1100" baseline="0"/>
            <a:t>.  It references your homework sheets.  </a:t>
          </a:r>
          <a:br>
            <a:rPr lang="en-US" sz="1100" baseline="0"/>
          </a:br>
          <a:endParaRPr lang="en-US" sz="1100" baseline="0"/>
        </a:p>
        <a:p>
          <a:r>
            <a:rPr lang="en-US" sz="1100" baseline="0"/>
            <a:t>You have six problems to complete.  Each problem is given on a different worksheet.  Please place your answers where indicated.   </a:t>
          </a:r>
          <a:br>
            <a:rPr lang="en-US" sz="1100" baseline="0"/>
          </a:br>
          <a:br>
            <a:rPr lang="en-US" sz="1100" baseline="0"/>
          </a:br>
          <a:r>
            <a:rPr lang="en-US" sz="1100" baseline="0"/>
            <a:t>The last few worksheets are templates that your book provides (Excel Guide files - available in week 1) that I have copied into this worksheet to help you solve the problems.  They make completing your homework a lot easier.  I highly suggest you use them.  I would copy the Excel cells from the correct template  into your worksheet.  I have placed all the templates at the end.  Please note it is your job to determine which template to use and you are not going to use all of them.  For example, for chapter 8 you need to compute the confidence interval - I would take a look at the three worksheets that deal with the confidence interval  (they start with CIE) and decide which one you need based on the problem.</a:t>
          </a:r>
        </a:p>
        <a:p>
          <a:endParaRPr lang="en-US" sz="1100" baseline="0"/>
        </a:p>
        <a:p>
          <a:r>
            <a:rPr lang="en-US" sz="1100" baseline="0"/>
            <a:t>Some helpful hints:</a:t>
          </a:r>
          <a:br>
            <a:rPr lang="en-US" sz="1100" baseline="0"/>
          </a:br>
          <a:r>
            <a:rPr lang="en-US" sz="1100" baseline="0"/>
            <a:t>	If you do not know the population std deviation you  are using a t-statistic.  Most of the time this is the case!  I have given you all the templates  - carefully think about which one to use. </a:t>
          </a:r>
          <a:r>
            <a:rPr lang="en-US" sz="1100" baseline="0">
              <a:solidFill>
                <a:schemeClr val="dk1"/>
              </a:solidFill>
              <a:effectLst/>
              <a:latin typeface="+mn-lt"/>
              <a:ea typeface="+mn-ea"/>
              <a:cs typeface="+mn-cs"/>
            </a:rPr>
            <a:t>You have z test on mean, t test on mean,and z on proportion and each of hese have a two tailed, upper and lower worksheets.</a:t>
          </a:r>
          <a:br>
            <a:rPr lang="en-US" sz="1100" baseline="0"/>
          </a:br>
          <a:br>
            <a:rPr lang="en-US" sz="1100" baseline="0"/>
          </a:br>
          <a:r>
            <a:rPr lang="en-US" sz="1100" baseline="0"/>
            <a:t>On hypothesis testing, Keep in mind, </a:t>
          </a:r>
          <a:r>
            <a:rPr lang="en-US" sz="1100" baseline="0">
              <a:solidFill>
                <a:srgbClr val="FF0000"/>
              </a:solidFill>
            </a:rPr>
            <a:t>What you are trying to prove is the alternative hypothesis</a:t>
          </a:r>
          <a:r>
            <a:rPr lang="en-US" sz="1100" baseline="0"/>
            <a:t>.  So if a problem says that you are trying to show that the population mean is greater than 50 the hypothesis is:</a:t>
          </a:r>
          <a:br>
            <a:rPr lang="en-US" sz="1100" baseline="0"/>
          </a:br>
          <a:r>
            <a:rPr lang="en-US" sz="1100" baseline="0"/>
            <a:t>Ho:  u&lt;= 50</a:t>
          </a:r>
          <a:br>
            <a:rPr lang="en-US" sz="1100" baseline="0"/>
          </a:br>
          <a:r>
            <a:rPr lang="en-US" sz="1100" baseline="0"/>
            <a:t>Ha:  u&gt; 50</a:t>
          </a:r>
          <a:br>
            <a:rPr lang="en-US" sz="1100" baseline="0"/>
          </a:br>
          <a:r>
            <a:rPr lang="en-US" sz="1100" baseline="0"/>
            <a:t>This is a one tailed test so be sure to use the appropriate worksheet.  Theses are the options for your hypothesis:</a:t>
          </a:r>
          <a:br>
            <a:rPr lang="en-US" sz="1100" baseline="0"/>
          </a:br>
          <a:endParaRPr lang="en-US" sz="1100" baseline="0"/>
        </a:p>
        <a:p>
          <a:endParaRPr lang="en-US" sz="1100" baseline="0"/>
        </a:p>
        <a:p>
          <a:r>
            <a:rPr lang="en-US" sz="1100" baseline="0"/>
            <a:t>If you have any questions - please reach out </a:t>
          </a:r>
        </a:p>
      </xdr:txBody>
    </xdr:sp>
    <xdr:clientData/>
  </xdr:twoCellAnchor>
  <xdr:twoCellAnchor editAs="oneCell">
    <xdr:from>
      <xdr:col>12</xdr:col>
      <xdr:colOff>152400</xdr:colOff>
      <xdr:row>16</xdr:row>
      <xdr:rowOff>0</xdr:rowOff>
    </xdr:from>
    <xdr:to>
      <xdr:col>18</xdr:col>
      <xdr:colOff>297639</xdr:colOff>
      <xdr:row>21</xdr:row>
      <xdr:rowOff>179859</xdr:rowOff>
    </xdr:to>
    <xdr:pic>
      <xdr:nvPicPr>
        <xdr:cNvPr id="3" name="Picture 2">
          <a:extLst>
            <a:ext uri="{FF2B5EF4-FFF2-40B4-BE49-F238E27FC236}">
              <a16:creationId xmlns:a16="http://schemas.microsoft.com/office/drawing/2014/main" id="{683F64D4-5DCA-460C-9895-6D90AF14BFBB}"/>
            </a:ext>
          </a:extLst>
        </xdr:cNvPr>
        <xdr:cNvPicPr>
          <a:picLocks noChangeAspect="1"/>
        </xdr:cNvPicPr>
      </xdr:nvPicPr>
      <xdr:blipFill>
        <a:blip xmlns:r="http://schemas.openxmlformats.org/officeDocument/2006/relationships" r:embed="rId1"/>
        <a:stretch>
          <a:fillRect/>
        </a:stretch>
      </xdr:blipFill>
      <xdr:spPr>
        <a:xfrm>
          <a:off x="7467600" y="3048000"/>
          <a:ext cx="3802839" cy="11323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31750</xdr:colOff>
      <xdr:row>0</xdr:row>
      <xdr:rowOff>0</xdr:rowOff>
    </xdr:from>
    <xdr:to>
      <xdr:col>8</xdr:col>
      <xdr:colOff>336550</xdr:colOff>
      <xdr:row>1</xdr:row>
      <xdr:rowOff>25400</xdr:rowOff>
    </xdr:to>
    <xdr:sp macro="" textlink="">
      <xdr:nvSpPr>
        <xdr:cNvPr id="2" name="TextBox 1">
          <a:extLst>
            <a:ext uri="{FF2B5EF4-FFF2-40B4-BE49-F238E27FC236}">
              <a16:creationId xmlns:a16="http://schemas.microsoft.com/office/drawing/2014/main" id="{664C7FEB-50EB-4237-8A11-4E6E6CA07723}"/>
            </a:ext>
          </a:extLst>
        </xdr:cNvPr>
        <xdr:cNvSpPr txBox="1"/>
      </xdr:nvSpPr>
      <xdr:spPr>
        <a:xfrm>
          <a:off x="2044700" y="0"/>
          <a:ext cx="7289800" cy="330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FF0000"/>
              </a:solidFill>
            </a:rPr>
            <a:t>This</a:t>
          </a:r>
          <a:r>
            <a:rPr lang="en-US" sz="1100" baseline="0">
              <a:solidFill>
                <a:srgbClr val="FF0000"/>
              </a:solidFill>
            </a:rPr>
            <a:t> sheet is for grading purposes.  Please place all of your work on each of the sheets and your answers where indicated.</a:t>
          </a:r>
          <a:endParaRPr lang="en-US" sz="1100">
            <a:solidFill>
              <a:srgbClr val="FF0000"/>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412750</xdr:colOff>
      <xdr:row>0</xdr:row>
      <xdr:rowOff>101600</xdr:rowOff>
    </xdr:from>
    <xdr:to>
      <xdr:col>13</xdr:col>
      <xdr:colOff>114300</xdr:colOff>
      <xdr:row>12</xdr:row>
      <xdr:rowOff>69850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64D791-600F-43E7-B90F-AD8BD690BFE0}"/>
                </a:ext>
              </a:extLst>
            </xdr:cNvPr>
            <xdr:cNvSpPr txBox="1"/>
          </xdr:nvSpPr>
          <xdr:spPr>
            <a:xfrm>
              <a:off x="3200400" y="101600"/>
              <a:ext cx="6407150" cy="219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a:t>
              </a:r>
              <a:r>
                <a:rPr lang="en-US"/>
                <a:t>The owner of a specialty coffee shop wants to study coffee purchasing habits of customers at her shop. She selects a random sample of 60 customers during a certain week, with the following results: </a:t>
              </a:r>
            </a:p>
            <a:p>
              <a:r>
                <a:rPr lang="en-US"/>
                <a:t>• The amount spent was  </a:t>
              </a:r>
              <a14:m>
                <m:oMath xmlns:m="http://schemas.openxmlformats.org/officeDocument/2006/math">
                  <m:acc>
                    <m:accPr>
                      <m:chr m:val="̅"/>
                      <m:ctrlPr>
                        <a:rPr lang="en-US" i="1">
                          <a:latin typeface="Cambria Math" panose="02040503050406030204" pitchFamily="18" charset="0"/>
                        </a:rPr>
                      </m:ctrlPr>
                    </m:accPr>
                    <m:e>
                      <m:r>
                        <a:rPr lang="en-US" b="0" i="1">
                          <a:latin typeface="Cambria Math" panose="02040503050406030204" pitchFamily="18" charset="0"/>
                        </a:rPr>
                        <m:t>𝑋</m:t>
                      </m:r>
                    </m:e>
                  </m:acc>
                </m:oMath>
              </a14:m>
              <a:r>
                <a:rPr lang="en-US"/>
                <a:t>= $7.25, S = $2. </a:t>
              </a:r>
            </a:p>
            <a:p>
              <a:r>
                <a:rPr lang="en-US"/>
                <a:t>• Thirty-one customers say they "definitely will" recommend the specialty coffee shop to family and friends. </a:t>
              </a:r>
            </a:p>
            <a:p>
              <a:endParaRPr lang="en-US"/>
            </a:p>
            <a:p>
              <a:r>
                <a:rPr lang="en-US"/>
                <a:t>A) Construct</a:t>
              </a:r>
              <a:r>
                <a:rPr lang="en-US" baseline="0"/>
                <a:t> a 95% confidence interval estimate for the</a:t>
              </a:r>
              <a:r>
                <a:rPr lang="en-US"/>
                <a:t> population </a:t>
              </a:r>
              <a:r>
                <a:rPr lang="en-US" u="sng"/>
                <a:t>mean</a:t>
              </a:r>
              <a:r>
                <a:rPr lang="en-US"/>
                <a:t> amount spent.</a:t>
              </a:r>
            </a:p>
            <a:p>
              <a:pPr marL="0" marR="0" lvl="0" indent="0" defTabSz="914400" eaLnBrk="1" fontAlgn="auto" latinLnBrk="0" hangingPunct="1">
                <a:lnSpc>
                  <a:spcPct val="100000"/>
                </a:lnSpc>
                <a:spcBef>
                  <a:spcPts val="0"/>
                </a:spcBef>
                <a:spcAft>
                  <a:spcPts val="0"/>
                </a:spcAft>
                <a:buClrTx/>
                <a:buSzTx/>
                <a:buFontTx/>
                <a:buNone/>
                <a:tabLst/>
                <a:defRPr/>
              </a:pPr>
              <a:r>
                <a:rPr lang="en-US"/>
                <a:t>B) </a:t>
              </a:r>
              <a:r>
                <a:rPr lang="en-US" sz="1100">
                  <a:solidFill>
                    <a:schemeClr val="dk1"/>
                  </a:solidFill>
                  <a:effectLst/>
                  <a:latin typeface="+mn-lt"/>
                  <a:ea typeface="+mn-ea"/>
                  <a:cs typeface="+mn-cs"/>
                </a:rPr>
                <a:t>Construct</a:t>
              </a:r>
              <a:r>
                <a:rPr lang="en-US" sz="1100" baseline="0">
                  <a:solidFill>
                    <a:schemeClr val="dk1"/>
                  </a:solidFill>
                  <a:effectLst/>
                  <a:latin typeface="+mn-lt"/>
                  <a:ea typeface="+mn-ea"/>
                  <a:cs typeface="+mn-cs"/>
                </a:rPr>
                <a:t> a 95% confidence interval estimate for the</a:t>
              </a:r>
              <a:r>
                <a:rPr lang="en-US" sz="1100">
                  <a:solidFill>
                    <a:schemeClr val="dk1"/>
                  </a:solidFill>
                  <a:effectLst/>
                  <a:latin typeface="+mn-lt"/>
                  <a:ea typeface="+mn-ea"/>
                  <a:cs typeface="+mn-cs"/>
                </a:rPr>
                <a:t> population </a:t>
              </a:r>
              <a:r>
                <a:rPr lang="en-US" sz="1100" u="sng">
                  <a:solidFill>
                    <a:schemeClr val="dk1"/>
                  </a:solidFill>
                  <a:effectLst/>
                  <a:latin typeface="+mn-lt"/>
                  <a:ea typeface="+mn-ea"/>
                  <a:cs typeface="+mn-cs"/>
                </a:rPr>
                <a:t>proportion </a:t>
              </a:r>
              <a:r>
                <a:rPr lang="en-US" sz="1100">
                  <a:solidFill>
                    <a:schemeClr val="dk1"/>
                  </a:solidFill>
                  <a:effectLst/>
                  <a:latin typeface="+mn-lt"/>
                  <a:ea typeface="+mn-ea"/>
                  <a:cs typeface="+mn-cs"/>
                </a:rPr>
                <a:t>of customers</a:t>
              </a:r>
              <a:r>
                <a:rPr lang="en-US" sz="1100" baseline="0">
                  <a:solidFill>
                    <a:schemeClr val="dk1"/>
                  </a:solidFill>
                  <a:effectLst/>
                  <a:latin typeface="+mn-lt"/>
                  <a:ea typeface="+mn-ea"/>
                  <a:cs typeface="+mn-cs"/>
                </a:rPr>
                <a:t> who said they "definitely will"</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C)  What sample size is needed to have 99% confidence of estimating the population mean amount spent to within +/- $.5?  Assume the </a:t>
              </a:r>
              <a:r>
                <a:rPr lang="el-GR" sz="1100" baseline="0">
                  <a:solidFill>
                    <a:schemeClr val="dk1"/>
                  </a:solidFill>
                  <a:effectLst/>
                  <a:latin typeface="+mn-lt"/>
                  <a:ea typeface="+mn-ea"/>
                  <a:cs typeface="+mn-cs"/>
                </a:rPr>
                <a:t>σ</a:t>
              </a:r>
              <a:r>
                <a:rPr lang="en-US" sz="1100" baseline="0">
                  <a:solidFill>
                    <a:schemeClr val="dk1"/>
                  </a:solidFill>
                  <a:effectLst/>
                  <a:latin typeface="+mn-lt"/>
                  <a:ea typeface="+mn-ea"/>
                  <a:cs typeface="+mn-cs"/>
                </a:rPr>
                <a:t>= 1.75</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D)  How many customers need to be sampled to have 90% confidence of estimating the population proportion of customers who say they "definitely will" to within +/-  .05?</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endParaRPr lang="en-US" sz="1100"/>
            </a:p>
          </xdr:txBody>
        </xdr:sp>
      </mc:Choice>
      <mc:Fallback xmlns="">
        <xdr:sp macro="" textlink="">
          <xdr:nvSpPr>
            <xdr:cNvPr id="2" name="TextBox 1">
              <a:extLst>
                <a:ext uri="{FF2B5EF4-FFF2-40B4-BE49-F238E27FC236}">
                  <a16:creationId xmlns:a16="http://schemas.microsoft.com/office/drawing/2014/main" id="{0164D791-600F-43E7-B90F-AD8BD690BFE0}"/>
                </a:ext>
              </a:extLst>
            </xdr:cNvPr>
            <xdr:cNvSpPr txBox="1"/>
          </xdr:nvSpPr>
          <xdr:spPr>
            <a:xfrm>
              <a:off x="3200400" y="101600"/>
              <a:ext cx="6407150" cy="21907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a:t>
              </a:r>
              <a:r>
                <a:rPr lang="en-US"/>
                <a:t>The owner of a specialty coffee shop wants to study coffee purchasing habits of customers at her shop. She selects a random sample of 60 customers during a certain week, with the following results: </a:t>
              </a:r>
            </a:p>
            <a:p>
              <a:r>
                <a:rPr lang="en-US"/>
                <a:t>• The amount spent was  </a:t>
              </a:r>
              <a:r>
                <a:rPr lang="en-US" b="0" i="0">
                  <a:latin typeface="Cambria Math" panose="02040503050406030204" pitchFamily="18" charset="0"/>
                </a:rPr>
                <a:t>𝑋 ̅</a:t>
              </a:r>
              <a:r>
                <a:rPr lang="en-US"/>
                <a:t>= $7.25, S = $2. </a:t>
              </a:r>
            </a:p>
            <a:p>
              <a:r>
                <a:rPr lang="en-US"/>
                <a:t>• Thirty-one customers say they "definitely will" recommend the specialty coffee shop to family and friends. </a:t>
              </a:r>
            </a:p>
            <a:p>
              <a:endParaRPr lang="en-US"/>
            </a:p>
            <a:p>
              <a:r>
                <a:rPr lang="en-US"/>
                <a:t>A) Construct</a:t>
              </a:r>
              <a:r>
                <a:rPr lang="en-US" baseline="0"/>
                <a:t> a 95% confidence interval estimate for the</a:t>
              </a:r>
              <a:r>
                <a:rPr lang="en-US"/>
                <a:t> population </a:t>
              </a:r>
              <a:r>
                <a:rPr lang="en-US" u="sng"/>
                <a:t>mean</a:t>
              </a:r>
              <a:r>
                <a:rPr lang="en-US"/>
                <a:t> amount spent.</a:t>
              </a:r>
            </a:p>
            <a:p>
              <a:pPr marL="0" marR="0" lvl="0" indent="0" defTabSz="914400" eaLnBrk="1" fontAlgn="auto" latinLnBrk="0" hangingPunct="1">
                <a:lnSpc>
                  <a:spcPct val="100000"/>
                </a:lnSpc>
                <a:spcBef>
                  <a:spcPts val="0"/>
                </a:spcBef>
                <a:spcAft>
                  <a:spcPts val="0"/>
                </a:spcAft>
                <a:buClrTx/>
                <a:buSzTx/>
                <a:buFontTx/>
                <a:buNone/>
                <a:tabLst/>
                <a:defRPr/>
              </a:pPr>
              <a:r>
                <a:rPr lang="en-US"/>
                <a:t>B) </a:t>
              </a:r>
              <a:r>
                <a:rPr lang="en-US" sz="1100">
                  <a:solidFill>
                    <a:schemeClr val="dk1"/>
                  </a:solidFill>
                  <a:effectLst/>
                  <a:latin typeface="+mn-lt"/>
                  <a:ea typeface="+mn-ea"/>
                  <a:cs typeface="+mn-cs"/>
                </a:rPr>
                <a:t>Construct</a:t>
              </a:r>
              <a:r>
                <a:rPr lang="en-US" sz="1100" baseline="0">
                  <a:solidFill>
                    <a:schemeClr val="dk1"/>
                  </a:solidFill>
                  <a:effectLst/>
                  <a:latin typeface="+mn-lt"/>
                  <a:ea typeface="+mn-ea"/>
                  <a:cs typeface="+mn-cs"/>
                </a:rPr>
                <a:t> a 95% confidence interval estimate for the</a:t>
              </a:r>
              <a:r>
                <a:rPr lang="en-US" sz="1100">
                  <a:solidFill>
                    <a:schemeClr val="dk1"/>
                  </a:solidFill>
                  <a:effectLst/>
                  <a:latin typeface="+mn-lt"/>
                  <a:ea typeface="+mn-ea"/>
                  <a:cs typeface="+mn-cs"/>
                </a:rPr>
                <a:t> population </a:t>
              </a:r>
              <a:r>
                <a:rPr lang="en-US" sz="1100" u="sng">
                  <a:solidFill>
                    <a:schemeClr val="dk1"/>
                  </a:solidFill>
                  <a:effectLst/>
                  <a:latin typeface="+mn-lt"/>
                  <a:ea typeface="+mn-ea"/>
                  <a:cs typeface="+mn-cs"/>
                </a:rPr>
                <a:t>proportion </a:t>
              </a:r>
              <a:r>
                <a:rPr lang="en-US" sz="1100">
                  <a:solidFill>
                    <a:schemeClr val="dk1"/>
                  </a:solidFill>
                  <a:effectLst/>
                  <a:latin typeface="+mn-lt"/>
                  <a:ea typeface="+mn-ea"/>
                  <a:cs typeface="+mn-cs"/>
                </a:rPr>
                <a:t>of customers</a:t>
              </a:r>
              <a:r>
                <a:rPr lang="en-US" sz="1100" baseline="0">
                  <a:solidFill>
                    <a:schemeClr val="dk1"/>
                  </a:solidFill>
                  <a:effectLst/>
                  <a:latin typeface="+mn-lt"/>
                  <a:ea typeface="+mn-ea"/>
                  <a:cs typeface="+mn-cs"/>
                </a:rPr>
                <a:t> who said they "definitely will"</a:t>
              </a:r>
              <a:br>
                <a:rPr lang="en-US" sz="1100" baseline="0">
                  <a:solidFill>
                    <a:schemeClr val="dk1"/>
                  </a:solidFill>
                  <a:effectLst/>
                  <a:latin typeface="+mn-lt"/>
                  <a:ea typeface="+mn-ea"/>
                  <a:cs typeface="+mn-cs"/>
                </a:rPr>
              </a:br>
              <a:r>
                <a:rPr lang="en-US" sz="1100" baseline="0">
                  <a:solidFill>
                    <a:schemeClr val="dk1"/>
                  </a:solidFill>
                  <a:effectLst/>
                  <a:latin typeface="+mn-lt"/>
                  <a:ea typeface="+mn-ea"/>
                  <a:cs typeface="+mn-cs"/>
                </a:rPr>
                <a:t>C)  What sample size is needed to have 99% confidence of estimating the population mean amount spent to within +/- $.5?  Assume the </a:t>
              </a:r>
              <a:r>
                <a:rPr lang="el-GR" sz="1100" baseline="0">
                  <a:solidFill>
                    <a:schemeClr val="dk1"/>
                  </a:solidFill>
                  <a:effectLst/>
                  <a:latin typeface="+mn-lt"/>
                  <a:ea typeface="+mn-ea"/>
                  <a:cs typeface="+mn-cs"/>
                </a:rPr>
                <a:t>σ</a:t>
              </a:r>
              <a:r>
                <a:rPr lang="en-US" sz="1100" baseline="0">
                  <a:solidFill>
                    <a:schemeClr val="dk1"/>
                  </a:solidFill>
                  <a:effectLst/>
                  <a:latin typeface="+mn-lt"/>
                  <a:ea typeface="+mn-ea"/>
                  <a:cs typeface="+mn-cs"/>
                </a:rPr>
                <a:t>= 1.75</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D)  How many customers need to be sampled to have 90% confidence of estimating the population proportion of customers who say they "definitely will" to within +/-  .05?</a:t>
              </a:r>
            </a:p>
            <a:p>
              <a:pPr marL="0" marR="0" lvl="0" indent="0" defTabSz="914400" eaLnBrk="1" fontAlgn="auto" latinLnBrk="0" hangingPunct="1">
                <a:lnSpc>
                  <a:spcPct val="100000"/>
                </a:lnSpc>
                <a:spcBef>
                  <a:spcPts val="0"/>
                </a:spcBef>
                <a:spcAft>
                  <a:spcPts val="0"/>
                </a:spcAft>
                <a:buClrTx/>
                <a:buSzTx/>
                <a:buFontTx/>
                <a:buNone/>
                <a:tabLst/>
                <a:defRPr/>
              </a:pPr>
              <a:endParaRPr lang="en-US" sz="1100" baseline="0">
                <a:solidFill>
                  <a:schemeClr val="dk1"/>
                </a:solidFill>
                <a:effectLst/>
                <a:latin typeface="+mn-lt"/>
                <a:ea typeface="+mn-ea"/>
                <a:cs typeface="+mn-cs"/>
              </a:endParaRPr>
            </a:p>
            <a:p>
              <a:endParaRPr lang="en-US" sz="1100"/>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25400</xdr:colOff>
      <xdr:row>0</xdr:row>
      <xdr:rowOff>19050</xdr:rowOff>
    </xdr:from>
    <xdr:to>
      <xdr:col>16</xdr:col>
      <xdr:colOff>476250</xdr:colOff>
      <xdr:row>14</xdr:row>
      <xdr:rowOff>158750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5D0D13E6-AB84-4516-BBBC-5F5EA06D81DA}"/>
                </a:ext>
              </a:extLst>
            </xdr:cNvPr>
            <xdr:cNvSpPr txBox="1"/>
          </xdr:nvSpPr>
          <xdr:spPr>
            <a:xfrm>
              <a:off x="3422650" y="19050"/>
              <a:ext cx="8375650" cy="2724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2.  The manager of PetSmart was studying the characteristics of her customers.  She surveyed 100 customers and found that:</a:t>
              </a:r>
            </a:p>
            <a:p>
              <a:r>
                <a:rPr lang="en-US" sz="1100">
                  <a:solidFill>
                    <a:schemeClr val="dk1"/>
                  </a:solidFill>
                  <a:effectLst/>
                  <a:latin typeface="+mn-lt"/>
                  <a:ea typeface="+mn-ea"/>
                  <a:cs typeface="+mn-cs"/>
                </a:rPr>
                <a:t>• The amount spent was </a:t>
              </a:r>
              <a14:m>
                <m:oMath xmlns:m="http://schemas.openxmlformats.org/officeDocument/2006/math">
                  <m:acc>
                    <m:accPr>
                      <m:chr m:val="̅"/>
                      <m:ctrlPr>
                        <a:rPr lang="en-US" sz="1100" i="1">
                          <a:solidFill>
                            <a:schemeClr val="dk1"/>
                          </a:solidFill>
                          <a:effectLst/>
                          <a:latin typeface="Cambria Math" panose="02040503050406030204" pitchFamily="18" charset="0"/>
                          <a:ea typeface="+mn-ea"/>
                          <a:cs typeface="+mn-cs"/>
                        </a:rPr>
                      </m:ctrlPr>
                    </m:accPr>
                    <m:e>
                      <m:r>
                        <a:rPr lang="en-US" sz="1100" b="0" i="1">
                          <a:solidFill>
                            <a:schemeClr val="dk1"/>
                          </a:solidFill>
                          <a:effectLst/>
                          <a:latin typeface="Cambria Math" panose="02040503050406030204" pitchFamily="18" charset="0"/>
                          <a:ea typeface="+mn-ea"/>
                          <a:cs typeface="+mn-cs"/>
                        </a:rPr>
                        <m:t>𝑋</m:t>
                      </m:r>
                    </m:e>
                  </m:acc>
                </m:oMath>
              </a14:m>
              <a:r>
                <a:rPr lang="en-US" sz="1100">
                  <a:solidFill>
                    <a:schemeClr val="dk1"/>
                  </a:solidFill>
                  <a:effectLst/>
                  <a:latin typeface="+mn-lt"/>
                  <a:ea typeface="+mn-ea"/>
                  <a:cs typeface="+mn-cs"/>
                </a:rPr>
                <a:t> = $30, S = $ 7</a:t>
              </a:r>
              <a:endParaRPr lang="en-US">
                <a:effectLst/>
              </a:endParaRPr>
            </a:p>
            <a:p>
              <a:r>
                <a:rPr lang="en-US" sz="1100">
                  <a:solidFill>
                    <a:schemeClr val="dk1"/>
                  </a:solidFill>
                  <a:effectLst/>
                  <a:latin typeface="+mn-lt"/>
                  <a:ea typeface="+mn-ea"/>
                  <a:cs typeface="+mn-cs"/>
                </a:rPr>
                <a:t>• 45 customers have more than one</a:t>
              </a:r>
              <a:r>
                <a:rPr lang="en-US" sz="1100" baseline="0">
                  <a:solidFill>
                    <a:schemeClr val="dk1"/>
                  </a:solidFill>
                  <a:effectLst/>
                  <a:latin typeface="+mn-lt"/>
                  <a:ea typeface="+mn-ea"/>
                  <a:cs typeface="+mn-cs"/>
                </a:rPr>
                <a:t> dog.  </a:t>
              </a:r>
            </a:p>
            <a:p>
              <a:br>
                <a:rPr lang="en-US" sz="1100" baseline="0">
                  <a:solidFill>
                    <a:schemeClr val="dk1"/>
                  </a:solidFill>
                  <a:effectLst/>
                  <a:latin typeface="+mn-lt"/>
                  <a:ea typeface="+mn-ea"/>
                  <a:cs typeface="+mn-cs"/>
                </a:rPr>
              </a:br>
              <a:r>
                <a:rPr lang="en-US" sz="1100">
                  <a:solidFill>
                    <a:schemeClr val="dk1"/>
                  </a:solidFill>
                  <a:effectLst/>
                  <a:latin typeface="+mn-lt"/>
                  <a:ea typeface="+mn-ea"/>
                  <a:cs typeface="+mn-cs"/>
                </a:rPr>
                <a:t>A) Construct</a:t>
              </a:r>
              <a:r>
                <a:rPr lang="en-US" sz="1100" baseline="0">
                  <a:solidFill>
                    <a:schemeClr val="dk1"/>
                  </a:solidFill>
                  <a:effectLst/>
                  <a:latin typeface="+mn-lt"/>
                  <a:ea typeface="+mn-ea"/>
                  <a:cs typeface="+mn-cs"/>
                </a:rPr>
                <a:t> a 95% confidence interval estimate for the</a:t>
              </a:r>
              <a:r>
                <a:rPr lang="en-US" sz="1100">
                  <a:solidFill>
                    <a:schemeClr val="dk1"/>
                  </a:solidFill>
                  <a:effectLst/>
                  <a:latin typeface="+mn-lt"/>
                  <a:ea typeface="+mn-ea"/>
                  <a:cs typeface="+mn-cs"/>
                </a:rPr>
                <a:t> population mean amount spent.</a:t>
              </a:r>
              <a:endParaRPr lang="en-US">
                <a:effectLst/>
              </a:endParaRPr>
            </a:p>
            <a:p>
              <a:r>
                <a:rPr lang="en-US" sz="1100">
                  <a:solidFill>
                    <a:schemeClr val="dk1"/>
                  </a:solidFill>
                  <a:effectLst/>
                  <a:latin typeface="+mn-lt"/>
                  <a:ea typeface="+mn-ea"/>
                  <a:cs typeface="+mn-cs"/>
                </a:rPr>
                <a:t>B) Construct</a:t>
              </a:r>
              <a:r>
                <a:rPr lang="en-US" sz="1100" baseline="0">
                  <a:solidFill>
                    <a:schemeClr val="dk1"/>
                  </a:solidFill>
                  <a:effectLst/>
                  <a:latin typeface="+mn-lt"/>
                  <a:ea typeface="+mn-ea"/>
                  <a:cs typeface="+mn-cs"/>
                </a:rPr>
                <a:t> a 95% confidence interval estimate for the</a:t>
              </a:r>
              <a:r>
                <a:rPr lang="en-US" sz="1100">
                  <a:solidFill>
                    <a:schemeClr val="dk1"/>
                  </a:solidFill>
                  <a:effectLst/>
                  <a:latin typeface="+mn-lt"/>
                  <a:ea typeface="+mn-ea"/>
                  <a:cs typeface="+mn-cs"/>
                </a:rPr>
                <a:t> population proportion of customers</a:t>
              </a:r>
              <a:r>
                <a:rPr lang="en-US" sz="1100" baseline="0">
                  <a:solidFill>
                    <a:schemeClr val="dk1"/>
                  </a:solidFill>
                  <a:effectLst/>
                  <a:latin typeface="+mn-lt"/>
                  <a:ea typeface="+mn-ea"/>
                  <a:cs typeface="+mn-cs"/>
                </a:rPr>
                <a:t> who have more than one dog</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br>
                <a:rPr lang="en-US">
                  <a:effectLst/>
                </a:rPr>
              </a:br>
              <a:r>
                <a:rPr lang="en-US">
                  <a:effectLst/>
                </a:rPr>
                <a:t>The branch manager of a different PetSmart wishes to conduct a similar study</a:t>
              </a:r>
              <a:r>
                <a:rPr lang="en-US" baseline="0">
                  <a:effectLst/>
                </a:rPr>
                <a:t> of his store.  The manager does not have access to the information generated by the manager of the other PetSmart.  Answer the following questions:</a:t>
              </a:r>
              <a:br>
                <a:rPr lang="en-US" baseline="0">
                  <a:effectLst/>
                </a:rPr>
              </a:br>
              <a:br>
                <a:rPr lang="en-US" baseline="0">
                  <a:effectLst/>
                </a:rPr>
              </a:br>
              <a:r>
                <a:rPr lang="en-US" baseline="0">
                  <a:effectLst/>
                </a:rPr>
                <a:t>C)  What sample size is needed to have 95% confidence of estimating the population mean amount spent in this store within +/- $2.00, if the standard deviation is estimated to be $12?</a:t>
              </a:r>
            </a:p>
            <a:p>
              <a:pPr marL="0" marR="0" lvl="0" indent="0" defTabSz="914400" eaLnBrk="1" fontAlgn="auto" latinLnBrk="0" hangingPunct="1">
                <a:lnSpc>
                  <a:spcPct val="100000"/>
                </a:lnSpc>
                <a:spcBef>
                  <a:spcPts val="0"/>
                </a:spcBef>
                <a:spcAft>
                  <a:spcPts val="0"/>
                </a:spcAft>
                <a:buClrTx/>
                <a:buSzTx/>
                <a:buFontTx/>
                <a:buNone/>
                <a:tabLst/>
                <a:defRPr/>
              </a:pPr>
              <a:br>
                <a:rPr lang="en-US" baseline="0">
                  <a:effectLst/>
                </a:rPr>
              </a:br>
              <a:r>
                <a:rPr lang="en-US" baseline="0">
                  <a:effectLst/>
                </a:rPr>
                <a:t>D) How many customers need to be selected to have 90% confidence of estimating the population proportion of customers who have more than one dog to within +/ .05?</a:t>
              </a:r>
              <a:endParaRPr lang="en-US">
                <a:effectLst/>
              </a:endParaRPr>
            </a:p>
            <a:p>
              <a:endParaRPr lang="en-US" sz="1100"/>
            </a:p>
          </xdr:txBody>
        </xdr:sp>
      </mc:Choice>
      <mc:Fallback xmlns="">
        <xdr:sp macro="" textlink="">
          <xdr:nvSpPr>
            <xdr:cNvPr id="2" name="TextBox 1">
              <a:extLst>
                <a:ext uri="{FF2B5EF4-FFF2-40B4-BE49-F238E27FC236}">
                  <a16:creationId xmlns:a16="http://schemas.microsoft.com/office/drawing/2014/main" id="{5D0D13E6-AB84-4516-BBBC-5F5EA06D81DA}"/>
                </a:ext>
              </a:extLst>
            </xdr:cNvPr>
            <xdr:cNvSpPr txBox="1"/>
          </xdr:nvSpPr>
          <xdr:spPr>
            <a:xfrm>
              <a:off x="3422650" y="19050"/>
              <a:ext cx="8375650" cy="2724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aseline="0">
                  <a:solidFill>
                    <a:schemeClr val="dk1"/>
                  </a:solidFill>
                  <a:effectLst/>
                  <a:latin typeface="+mn-lt"/>
                  <a:ea typeface="+mn-ea"/>
                  <a:cs typeface="+mn-cs"/>
                </a:rPr>
                <a:t>2.  The manager of PetSmart was studying the characteristics of her customers.  She surveyed 100 customers and found that:</a:t>
              </a:r>
            </a:p>
            <a:p>
              <a:r>
                <a:rPr lang="en-US" sz="1100">
                  <a:solidFill>
                    <a:schemeClr val="dk1"/>
                  </a:solidFill>
                  <a:effectLst/>
                  <a:latin typeface="+mn-lt"/>
                  <a:ea typeface="+mn-ea"/>
                  <a:cs typeface="+mn-cs"/>
                </a:rPr>
                <a:t>• The amount spent was </a:t>
              </a:r>
              <a:r>
                <a:rPr lang="en-US" sz="1100" b="0" i="0">
                  <a:solidFill>
                    <a:schemeClr val="dk1"/>
                  </a:solidFill>
                  <a:effectLst/>
                  <a:latin typeface="Cambria Math" panose="02040503050406030204" pitchFamily="18" charset="0"/>
                  <a:ea typeface="+mn-ea"/>
                  <a:cs typeface="+mn-cs"/>
                </a:rPr>
                <a:t>𝑋 ̅</a:t>
              </a:r>
              <a:r>
                <a:rPr lang="en-US" sz="1100">
                  <a:solidFill>
                    <a:schemeClr val="dk1"/>
                  </a:solidFill>
                  <a:effectLst/>
                  <a:latin typeface="+mn-lt"/>
                  <a:ea typeface="+mn-ea"/>
                  <a:cs typeface="+mn-cs"/>
                </a:rPr>
                <a:t> = $30, S = $ 7</a:t>
              </a:r>
              <a:endParaRPr lang="en-US">
                <a:effectLst/>
              </a:endParaRPr>
            </a:p>
            <a:p>
              <a:r>
                <a:rPr lang="en-US" sz="1100">
                  <a:solidFill>
                    <a:schemeClr val="dk1"/>
                  </a:solidFill>
                  <a:effectLst/>
                  <a:latin typeface="+mn-lt"/>
                  <a:ea typeface="+mn-ea"/>
                  <a:cs typeface="+mn-cs"/>
                </a:rPr>
                <a:t>• 45 customers have more than one</a:t>
              </a:r>
              <a:r>
                <a:rPr lang="en-US" sz="1100" baseline="0">
                  <a:solidFill>
                    <a:schemeClr val="dk1"/>
                  </a:solidFill>
                  <a:effectLst/>
                  <a:latin typeface="+mn-lt"/>
                  <a:ea typeface="+mn-ea"/>
                  <a:cs typeface="+mn-cs"/>
                </a:rPr>
                <a:t> dog.  </a:t>
              </a:r>
            </a:p>
            <a:p>
              <a:br>
                <a:rPr lang="en-US" sz="1100" baseline="0">
                  <a:solidFill>
                    <a:schemeClr val="dk1"/>
                  </a:solidFill>
                  <a:effectLst/>
                  <a:latin typeface="+mn-lt"/>
                  <a:ea typeface="+mn-ea"/>
                  <a:cs typeface="+mn-cs"/>
                </a:rPr>
              </a:br>
              <a:r>
                <a:rPr lang="en-US" sz="1100">
                  <a:solidFill>
                    <a:schemeClr val="dk1"/>
                  </a:solidFill>
                  <a:effectLst/>
                  <a:latin typeface="+mn-lt"/>
                  <a:ea typeface="+mn-ea"/>
                  <a:cs typeface="+mn-cs"/>
                </a:rPr>
                <a:t>A) Construct</a:t>
              </a:r>
              <a:r>
                <a:rPr lang="en-US" sz="1100" baseline="0">
                  <a:solidFill>
                    <a:schemeClr val="dk1"/>
                  </a:solidFill>
                  <a:effectLst/>
                  <a:latin typeface="+mn-lt"/>
                  <a:ea typeface="+mn-ea"/>
                  <a:cs typeface="+mn-cs"/>
                </a:rPr>
                <a:t> a 95% confidence interval estimate for the</a:t>
              </a:r>
              <a:r>
                <a:rPr lang="en-US" sz="1100">
                  <a:solidFill>
                    <a:schemeClr val="dk1"/>
                  </a:solidFill>
                  <a:effectLst/>
                  <a:latin typeface="+mn-lt"/>
                  <a:ea typeface="+mn-ea"/>
                  <a:cs typeface="+mn-cs"/>
                </a:rPr>
                <a:t> population mean amount spent.</a:t>
              </a:r>
              <a:endParaRPr lang="en-US">
                <a:effectLst/>
              </a:endParaRPr>
            </a:p>
            <a:p>
              <a:r>
                <a:rPr lang="en-US" sz="1100">
                  <a:solidFill>
                    <a:schemeClr val="dk1"/>
                  </a:solidFill>
                  <a:effectLst/>
                  <a:latin typeface="+mn-lt"/>
                  <a:ea typeface="+mn-ea"/>
                  <a:cs typeface="+mn-cs"/>
                </a:rPr>
                <a:t>B) Construct</a:t>
              </a:r>
              <a:r>
                <a:rPr lang="en-US" sz="1100" baseline="0">
                  <a:solidFill>
                    <a:schemeClr val="dk1"/>
                  </a:solidFill>
                  <a:effectLst/>
                  <a:latin typeface="+mn-lt"/>
                  <a:ea typeface="+mn-ea"/>
                  <a:cs typeface="+mn-cs"/>
                </a:rPr>
                <a:t> a 95% confidence interval estimate for the</a:t>
              </a:r>
              <a:r>
                <a:rPr lang="en-US" sz="1100">
                  <a:solidFill>
                    <a:schemeClr val="dk1"/>
                  </a:solidFill>
                  <a:effectLst/>
                  <a:latin typeface="+mn-lt"/>
                  <a:ea typeface="+mn-ea"/>
                  <a:cs typeface="+mn-cs"/>
                </a:rPr>
                <a:t> population proportion of customers</a:t>
              </a:r>
              <a:r>
                <a:rPr lang="en-US" sz="1100" baseline="0">
                  <a:solidFill>
                    <a:schemeClr val="dk1"/>
                  </a:solidFill>
                  <a:effectLst/>
                  <a:latin typeface="+mn-lt"/>
                  <a:ea typeface="+mn-ea"/>
                  <a:cs typeface="+mn-cs"/>
                </a:rPr>
                <a:t> who have more than one dog</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br>
                <a:rPr lang="en-US">
                  <a:effectLst/>
                </a:rPr>
              </a:br>
              <a:r>
                <a:rPr lang="en-US">
                  <a:effectLst/>
                </a:rPr>
                <a:t>The branch manager of a different PetSmart wishes to conduct a similar study</a:t>
              </a:r>
              <a:r>
                <a:rPr lang="en-US" baseline="0">
                  <a:effectLst/>
                </a:rPr>
                <a:t> of his store.  The manager does not have access to the information generated by the manager of the other PetSmart.  Answer the following questions:</a:t>
              </a:r>
              <a:br>
                <a:rPr lang="en-US" baseline="0">
                  <a:effectLst/>
                </a:rPr>
              </a:br>
              <a:br>
                <a:rPr lang="en-US" baseline="0">
                  <a:effectLst/>
                </a:rPr>
              </a:br>
              <a:r>
                <a:rPr lang="en-US" baseline="0">
                  <a:effectLst/>
                </a:rPr>
                <a:t>C)  What sample size is needed to have 95% confidence of estimating the population mean amount spent in this store within +/- $2.00, if the standard deviation is estimated to be $12?</a:t>
              </a:r>
            </a:p>
            <a:p>
              <a:pPr marL="0" marR="0" lvl="0" indent="0" defTabSz="914400" eaLnBrk="1" fontAlgn="auto" latinLnBrk="0" hangingPunct="1">
                <a:lnSpc>
                  <a:spcPct val="100000"/>
                </a:lnSpc>
                <a:spcBef>
                  <a:spcPts val="0"/>
                </a:spcBef>
                <a:spcAft>
                  <a:spcPts val="0"/>
                </a:spcAft>
                <a:buClrTx/>
                <a:buSzTx/>
                <a:buFontTx/>
                <a:buNone/>
                <a:tabLst/>
                <a:defRPr/>
              </a:pPr>
              <a:br>
                <a:rPr lang="en-US" baseline="0">
                  <a:effectLst/>
                </a:rPr>
              </a:br>
              <a:r>
                <a:rPr lang="en-US" baseline="0">
                  <a:effectLst/>
                </a:rPr>
                <a:t>D) How many customers need to be selected to have 90% confidence of estimating the population proportion of customers who have more than one dog to within +/ .05?</a:t>
              </a:r>
              <a:endParaRPr lang="en-US">
                <a:effectLst/>
              </a:endParaRPr>
            </a:p>
            <a:p>
              <a:endParaRPr lang="en-US" sz="1100"/>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25400</xdr:colOff>
      <xdr:row>0</xdr:row>
      <xdr:rowOff>19050</xdr:rowOff>
    </xdr:from>
    <xdr:to>
      <xdr:col>15</xdr:col>
      <xdr:colOff>368300</xdr:colOff>
      <xdr:row>6</xdr:row>
      <xdr:rowOff>171450</xdr:rowOff>
    </xdr:to>
    <xdr:sp macro="" textlink="">
      <xdr:nvSpPr>
        <xdr:cNvPr id="2" name="TextBox 1">
          <a:extLst>
            <a:ext uri="{FF2B5EF4-FFF2-40B4-BE49-F238E27FC236}">
              <a16:creationId xmlns:a16="http://schemas.microsoft.com/office/drawing/2014/main" id="{2FC9A5A8-7BE3-4CA8-9695-14AEEDC19A59}"/>
            </a:ext>
          </a:extLst>
        </xdr:cNvPr>
        <xdr:cNvSpPr txBox="1"/>
      </xdr:nvSpPr>
      <xdr:spPr>
        <a:xfrm>
          <a:off x="3321050" y="19050"/>
          <a:ext cx="7762875" cy="1304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eaLnBrk="1" fontAlgn="auto" latinLnBrk="0" hangingPunct="1"/>
          <a:r>
            <a:rPr lang="en-US" sz="1100" baseline="0">
              <a:solidFill>
                <a:schemeClr val="dk1"/>
              </a:solidFill>
              <a:effectLst/>
              <a:latin typeface="+mn-lt"/>
              <a:ea typeface="+mn-ea"/>
              <a:cs typeface="+mn-cs"/>
            </a:rPr>
            <a:t>3.  A)The manufacturer </a:t>
          </a:r>
          <a:r>
            <a:rPr lang="en-US" sz="1100" b="0" i="0">
              <a:solidFill>
                <a:schemeClr val="dk1"/>
              </a:solidFill>
              <a:effectLst/>
              <a:latin typeface="+mn-lt"/>
              <a:ea typeface="+mn-ea"/>
              <a:cs typeface="+mn-cs"/>
            </a:rPr>
            <a:t>o a liquid tests the boliling the boiling</a:t>
          </a:r>
          <a:r>
            <a:rPr lang="en-US" sz="1100" b="0" i="0" baseline="0">
              <a:solidFill>
                <a:schemeClr val="dk1"/>
              </a:solidFill>
              <a:effectLst/>
              <a:latin typeface="+mn-lt"/>
              <a:ea typeface="+mn-ea"/>
              <a:cs typeface="+mn-cs"/>
            </a:rPr>
            <a:t> point and finds the </a:t>
          </a:r>
          <a:r>
            <a:rPr lang="en-US" sz="1100" b="0" i="0">
              <a:solidFill>
                <a:schemeClr val="dk1"/>
              </a:solidFill>
              <a:effectLst/>
              <a:latin typeface="+mn-lt"/>
              <a:ea typeface="+mn-ea"/>
              <a:cs typeface="+mn-cs"/>
            </a:rPr>
            <a:t>sample mean of 6 tests</a:t>
          </a:r>
          <a:r>
            <a:rPr lang="en-US" sz="1100" b="0" i="0" baseline="0">
              <a:solidFill>
                <a:schemeClr val="dk1"/>
              </a:solidFill>
              <a:effectLst/>
              <a:latin typeface="+mn-lt"/>
              <a:ea typeface="+mn-ea"/>
              <a:cs typeface="+mn-cs"/>
            </a:rPr>
            <a:t> </a:t>
          </a:r>
          <a:r>
            <a:rPr lang="en-US" sz="1100" b="0" i="0">
              <a:solidFill>
                <a:schemeClr val="dk1"/>
              </a:solidFill>
              <a:effectLst/>
              <a:latin typeface="+mn-lt"/>
              <a:ea typeface="+mn-ea"/>
              <a:cs typeface="+mn-cs"/>
            </a:rPr>
            <a:t>to be 103. If the manufacturer knows knows that the population standard deviation for this procedure is 1.2 degrees, what is the confidence interval for the population mean at a 95% confidence level?</a:t>
          </a:r>
          <a:endParaRPr lang="en-US">
            <a:effectLst/>
          </a:endParaRPr>
        </a:p>
        <a:p>
          <a:pPr eaLnBrk="1" fontAlgn="auto" latinLnBrk="0" hangingPunct="1"/>
          <a:r>
            <a:rPr lang="en-US" sz="1100" baseline="0">
              <a:solidFill>
                <a:schemeClr val="dk1"/>
              </a:solidFill>
              <a:effectLst/>
              <a:latin typeface="+mn-lt"/>
              <a:ea typeface="+mn-ea"/>
              <a:cs typeface="+mn-cs"/>
            </a:rPr>
            <a:t>B)  What sample size is needed to have 95% confidence of estimating the population mean boiling temperature  within +/- .5.</a:t>
          </a:r>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101600</xdr:colOff>
      <xdr:row>0</xdr:row>
      <xdr:rowOff>25400</xdr:rowOff>
    </xdr:from>
    <xdr:to>
      <xdr:col>14</xdr:col>
      <xdr:colOff>342900</xdr:colOff>
      <xdr:row>16</xdr:row>
      <xdr:rowOff>0</xdr:rowOff>
    </xdr:to>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E4BFA2F-A655-436E-B96E-DDB345F17718}"/>
                </a:ext>
              </a:extLst>
            </xdr:cNvPr>
            <xdr:cNvSpPr txBox="1"/>
          </xdr:nvSpPr>
          <xdr:spPr>
            <a:xfrm>
              <a:off x="4930775" y="25400"/>
              <a:ext cx="7442200" cy="3232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An</a:t>
              </a:r>
              <a:r>
                <a:rPr lang="en-US" sz="1100" baseline="0"/>
                <a:t> auditor was assigned to evaluate reimbursements for office visits aid by Medicare.</a:t>
              </a:r>
              <a:br>
                <a:rPr lang="en-US" sz="1100" baseline="0"/>
              </a:br>
              <a:r>
                <a:rPr lang="en-US" sz="1100" baseline="0"/>
                <a:t>The audit was conducted on a sample of 100 reimbursements with the following results:</a:t>
              </a:r>
              <a:br>
                <a:rPr lang="en-US" sz="1100" baseline="0"/>
              </a:br>
              <a:br>
                <a:rPr lang="en-US" sz="1100" baseline="0"/>
              </a:br>
              <a:r>
                <a:rPr lang="en-US" sz="1100" baseline="0"/>
                <a:t>In 15 of the office visits, there was an incorrect amount of reimbursement.</a:t>
              </a:r>
            </a:p>
            <a:p>
              <a:r>
                <a:rPr lang="en-US" sz="1100" baseline="0"/>
                <a:t>The amount of reimbursement was </a:t>
              </a:r>
              <a:br>
                <a:rPr lang="en-US" sz="1100" baseline="0"/>
              </a:br>
              <a14:m>
                <m:oMath xmlns:m="http://schemas.openxmlformats.org/officeDocument/2006/math">
                  <m:acc>
                    <m:accPr>
                      <m:chr m:val="̅"/>
                      <m:ctrlPr>
                        <a:rPr lang="en-US" sz="1100" i="1">
                          <a:solidFill>
                            <a:schemeClr val="dk1"/>
                          </a:solidFill>
                          <a:effectLst/>
                          <a:latin typeface="Cambria Math" panose="02040503050406030204" pitchFamily="18" charset="0"/>
                          <a:ea typeface="+mn-ea"/>
                          <a:cs typeface="+mn-cs"/>
                        </a:rPr>
                      </m:ctrlPr>
                    </m:accPr>
                    <m:e>
                      <m:r>
                        <a:rPr lang="en-US" sz="1100" b="0" i="1">
                          <a:solidFill>
                            <a:schemeClr val="dk1"/>
                          </a:solidFill>
                          <a:effectLst/>
                          <a:latin typeface="Cambria Math" panose="02040503050406030204" pitchFamily="18" charset="0"/>
                          <a:ea typeface="+mn-ea"/>
                          <a:cs typeface="+mn-cs"/>
                        </a:rPr>
                        <m:t>𝑋</m:t>
                      </m:r>
                    </m:e>
                  </m:acc>
                </m:oMath>
              </a14:m>
              <a:r>
                <a:rPr lang="en-US" sz="1100" baseline="0"/>
                <a:t>= $97, S = $20</a:t>
              </a:r>
            </a:p>
            <a:p>
              <a:endParaRPr lang="en-US" sz="1100" baseline="0"/>
            </a:p>
            <a:p>
              <a:r>
                <a:rPr lang="en-US" sz="1100" baseline="0">
                  <a:solidFill>
                    <a:schemeClr val="dk1"/>
                  </a:solidFill>
                  <a:effectLst/>
                  <a:latin typeface="+mn-lt"/>
                  <a:ea typeface="+mn-ea"/>
                  <a:cs typeface="+mn-cs"/>
                </a:rPr>
                <a:t>Note:  I have created a pull down options in some of the cells in column C, for example cells C2 and C3 are pull downs - please select the correct hypothesis</a:t>
              </a:r>
              <a:endParaRPr lang="en-US" sz="1100" baseline="0"/>
            </a:p>
            <a:p>
              <a:endParaRPr lang="en-US" sz="1100" baseline="0"/>
            </a:p>
            <a:p>
              <a:r>
                <a:rPr lang="en-US" sz="1100" baseline="0"/>
                <a:t>A) At the .05 level of significance, is there evidence that the population mean for reibursement was less than $100?  Be sure to state all of the steps of hypothesis testing.  </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B)  </a:t>
              </a:r>
              <a:r>
                <a:rPr lang="en-US" sz="1100" baseline="0">
                  <a:solidFill>
                    <a:schemeClr val="dk1"/>
                  </a:solidFill>
                  <a:effectLst/>
                  <a:latin typeface="+mn-lt"/>
                  <a:ea typeface="+mn-ea"/>
                  <a:cs typeface="+mn-cs"/>
                </a:rPr>
                <a:t>At the .05 level of significance, is there evidence that the of incorrect reimbursements in the population was greater than .1?</a:t>
              </a:r>
            </a:p>
            <a:p>
              <a:r>
                <a:rPr lang="en-US" sz="1100"/>
                <a:t>C) What</a:t>
              </a:r>
              <a:r>
                <a:rPr lang="en-US" sz="1100" baseline="0"/>
                <a:t> is your answer to part a if the sample mean was $95?</a:t>
              </a:r>
              <a:br>
                <a:rPr lang="en-US" sz="1100" baseline="0"/>
              </a:br>
              <a:r>
                <a:rPr lang="en-US" sz="1100" baseline="0"/>
                <a:t>D) What is your answer to part b if 14 office visits had incorrect reimbursements.</a:t>
              </a:r>
              <a:endParaRPr lang="en-US" sz="1100"/>
            </a:p>
          </xdr:txBody>
        </xdr:sp>
      </mc:Choice>
      <mc:Fallback xmlns="">
        <xdr:sp macro="" textlink="">
          <xdr:nvSpPr>
            <xdr:cNvPr id="2" name="TextBox 1">
              <a:extLst>
                <a:ext uri="{FF2B5EF4-FFF2-40B4-BE49-F238E27FC236}">
                  <a16:creationId xmlns:a16="http://schemas.microsoft.com/office/drawing/2014/main" id="{0E4BFA2F-A655-436E-B96E-DDB345F17718}"/>
                </a:ext>
              </a:extLst>
            </xdr:cNvPr>
            <xdr:cNvSpPr txBox="1"/>
          </xdr:nvSpPr>
          <xdr:spPr>
            <a:xfrm>
              <a:off x="4930775" y="25400"/>
              <a:ext cx="7442200" cy="3232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1.  An</a:t>
              </a:r>
              <a:r>
                <a:rPr lang="en-US" sz="1100" baseline="0"/>
                <a:t> auditor was assigned to evaluate reimbursements for office visits aid by Medicare.</a:t>
              </a:r>
              <a:br>
                <a:rPr lang="en-US" sz="1100" baseline="0"/>
              </a:br>
              <a:r>
                <a:rPr lang="en-US" sz="1100" baseline="0"/>
                <a:t>The audit was conducted on a sample of 100 reimbursements with the following results:</a:t>
              </a:r>
              <a:br>
                <a:rPr lang="en-US" sz="1100" baseline="0"/>
              </a:br>
              <a:br>
                <a:rPr lang="en-US" sz="1100" baseline="0"/>
              </a:br>
              <a:r>
                <a:rPr lang="en-US" sz="1100" baseline="0"/>
                <a:t>In 15 of the office visits, there was an incorrect amount of reimbursement.</a:t>
              </a:r>
            </a:p>
            <a:p>
              <a:r>
                <a:rPr lang="en-US" sz="1100" baseline="0"/>
                <a:t>The amount of reimbursement was </a:t>
              </a:r>
              <a:br>
                <a:rPr lang="en-US" sz="1100" baseline="0"/>
              </a:br>
              <a:r>
                <a:rPr lang="en-US" sz="1100" b="0" i="0">
                  <a:solidFill>
                    <a:schemeClr val="dk1"/>
                  </a:solidFill>
                  <a:effectLst/>
                  <a:latin typeface="Cambria Math" panose="02040503050406030204" pitchFamily="18" charset="0"/>
                  <a:ea typeface="+mn-ea"/>
                  <a:cs typeface="+mn-cs"/>
                </a:rPr>
                <a:t>𝑋 ̅</a:t>
              </a:r>
              <a:r>
                <a:rPr lang="en-US" sz="1100" baseline="0"/>
                <a:t>= $97, S = $20</a:t>
              </a:r>
            </a:p>
            <a:p>
              <a:endParaRPr lang="en-US" sz="1100" baseline="0"/>
            </a:p>
            <a:p>
              <a:r>
                <a:rPr lang="en-US" sz="1100" baseline="0">
                  <a:solidFill>
                    <a:schemeClr val="dk1"/>
                  </a:solidFill>
                  <a:effectLst/>
                  <a:latin typeface="+mn-lt"/>
                  <a:ea typeface="+mn-ea"/>
                  <a:cs typeface="+mn-cs"/>
                </a:rPr>
                <a:t>Note:  I have created a pull down options in some of the cells in column C, for example cells C2 and C3 are pull downs - please select the correct hypothesis</a:t>
              </a:r>
              <a:endParaRPr lang="en-US" sz="1100" baseline="0"/>
            </a:p>
            <a:p>
              <a:endParaRPr lang="en-US" sz="1100" baseline="0"/>
            </a:p>
            <a:p>
              <a:r>
                <a:rPr lang="en-US" sz="1100" baseline="0"/>
                <a:t>A) At the .05 level of significance, is there evidence that the population mean for reibursement was less than $100?  Be sure to state all of the steps of hypothesis testing.  </a:t>
              </a:r>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B)  </a:t>
              </a:r>
              <a:r>
                <a:rPr lang="en-US" sz="1100" baseline="0">
                  <a:solidFill>
                    <a:schemeClr val="dk1"/>
                  </a:solidFill>
                  <a:effectLst/>
                  <a:latin typeface="+mn-lt"/>
                  <a:ea typeface="+mn-ea"/>
                  <a:cs typeface="+mn-cs"/>
                </a:rPr>
                <a:t>At the .05 level of significance, is there evidence that the of incorrect reimbursements in the population was greater than .1?</a:t>
              </a:r>
            </a:p>
            <a:p>
              <a:r>
                <a:rPr lang="en-US" sz="1100"/>
                <a:t>C) What</a:t>
              </a:r>
              <a:r>
                <a:rPr lang="en-US" sz="1100" baseline="0"/>
                <a:t> is your answer to part a if the sample mean was $95?</a:t>
              </a:r>
              <a:br>
                <a:rPr lang="en-US" sz="1100" baseline="0"/>
              </a:br>
              <a:r>
                <a:rPr lang="en-US" sz="1100" baseline="0"/>
                <a:t>D) What is your answer to part b if 14 office visits had incorrect reimbursements.</a:t>
              </a:r>
              <a:endParaRPr lang="en-US" sz="1100"/>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76200</xdr:colOff>
      <xdr:row>0</xdr:row>
      <xdr:rowOff>114300</xdr:rowOff>
    </xdr:from>
    <xdr:to>
      <xdr:col>11</xdr:col>
      <xdr:colOff>533400</xdr:colOff>
      <xdr:row>7</xdr:row>
      <xdr:rowOff>152400</xdr:rowOff>
    </xdr:to>
    <xdr:sp macro="" textlink="">
      <xdr:nvSpPr>
        <xdr:cNvPr id="2" name="TextBox 1">
          <a:extLst>
            <a:ext uri="{FF2B5EF4-FFF2-40B4-BE49-F238E27FC236}">
              <a16:creationId xmlns:a16="http://schemas.microsoft.com/office/drawing/2014/main" id="{37FFB18E-9B0B-48CE-9EC0-EC38E95944B7}"/>
            </a:ext>
          </a:extLst>
        </xdr:cNvPr>
        <xdr:cNvSpPr txBox="1"/>
      </xdr:nvSpPr>
      <xdr:spPr>
        <a:xfrm>
          <a:off x="4362450" y="114300"/>
          <a:ext cx="5648325" cy="1571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2.  A</a:t>
          </a:r>
          <a:r>
            <a:rPr lang="en-US" sz="1100" baseline="0"/>
            <a:t> study of 250 laptop users found that 115 of them use them while watching tv.  Can you report that half of all laptop users use their laptops while watching tv?</a:t>
          </a:r>
          <a:br>
            <a:rPr lang="en-US" sz="1100" baseline="0"/>
          </a:br>
          <a:endParaRPr lang="en-US" sz="1100" baseline="0"/>
        </a:p>
        <a:p>
          <a:r>
            <a:rPr lang="en-US" sz="1100" baseline="0"/>
            <a:t>A) At the .05 level of significance, is there evidence that half the users</a:t>
          </a:r>
          <a:r>
            <a:rPr lang="en-US" sz="1100" baseline="0">
              <a:solidFill>
                <a:schemeClr val="dk1"/>
              </a:solidFill>
              <a:effectLst/>
              <a:latin typeface="+mn-lt"/>
              <a:ea typeface="+mn-ea"/>
              <a:cs typeface="+mn-cs"/>
            </a:rPr>
            <a:t> use their laptops while watching tv?</a:t>
          </a:r>
          <a:r>
            <a:rPr lang="en-US" sz="1100" baseline="0"/>
            <a:t>?  Be sure to state all of the steps of hypothesis testing.  Hint:  Half is a proportion!</a:t>
          </a:r>
          <a:br>
            <a:rPr lang="en-US" sz="1100" baseline="0"/>
          </a:br>
          <a:endParaRPr lang="en-US" sz="1100" baseline="0"/>
        </a:p>
        <a:p>
          <a:pPr marL="0" marR="0" lvl="0" indent="0" defTabSz="914400" eaLnBrk="1" fontAlgn="auto" latinLnBrk="0" hangingPunct="1">
            <a:lnSpc>
              <a:spcPct val="100000"/>
            </a:lnSpc>
            <a:spcBef>
              <a:spcPts val="0"/>
            </a:spcBef>
            <a:spcAft>
              <a:spcPts val="0"/>
            </a:spcAft>
            <a:buClrTx/>
            <a:buSzTx/>
            <a:buFontTx/>
            <a:buNone/>
            <a:tabLst/>
            <a:defRPr/>
          </a:pPr>
          <a:r>
            <a:rPr lang="en-US" sz="1100" baseline="0"/>
            <a:t>B)  </a:t>
          </a:r>
          <a:r>
            <a:rPr lang="en-US" sz="1100" baseline="0">
              <a:solidFill>
                <a:schemeClr val="dk1"/>
              </a:solidFill>
              <a:effectLst/>
              <a:latin typeface="+mn-lt"/>
              <a:ea typeface="+mn-ea"/>
              <a:cs typeface="+mn-cs"/>
            </a:rPr>
            <a:t>Suppose that the study found 100 laptop users use their laptops while watching tv?  Does that change your answer?  Show your hypothesis results</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6</xdr:col>
      <xdr:colOff>50799</xdr:colOff>
      <xdr:row>0</xdr:row>
      <xdr:rowOff>152400</xdr:rowOff>
    </xdr:from>
    <xdr:to>
      <xdr:col>16</xdr:col>
      <xdr:colOff>485774</xdr:colOff>
      <xdr:row>9</xdr:row>
      <xdr:rowOff>76200</xdr:rowOff>
    </xdr:to>
    <xdr:sp macro="" textlink="">
      <xdr:nvSpPr>
        <xdr:cNvPr id="2" name="TextBox 1">
          <a:extLst>
            <a:ext uri="{FF2B5EF4-FFF2-40B4-BE49-F238E27FC236}">
              <a16:creationId xmlns:a16="http://schemas.microsoft.com/office/drawing/2014/main" id="{70E5DC03-4596-4C11-B285-CFDB766F5C00}"/>
            </a:ext>
          </a:extLst>
        </xdr:cNvPr>
        <xdr:cNvSpPr txBox="1"/>
      </xdr:nvSpPr>
      <xdr:spPr>
        <a:xfrm>
          <a:off x="4784724" y="152400"/>
          <a:ext cx="6530975" cy="1647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3.  A Manufacturing</a:t>
          </a:r>
          <a:r>
            <a:rPr lang="en-US" sz="1100" baseline="0"/>
            <a:t> company produces Electrical Insulators.  If the insulators break when in use, a short circuit is likely to occur.  To test the strength of the insulators, destructive testings is carried out to determine how much force is required to break the insulators.  The data on the left( column A) are the results of the tests.</a:t>
          </a:r>
        </a:p>
        <a:p>
          <a:r>
            <a:rPr lang="en-US" sz="1100" baseline="0"/>
            <a:t>A) At the .05 level of significance, is there evidence that the population mean force required to break the insulators is greater than 1,700 pounds?</a:t>
          </a:r>
        </a:p>
        <a:p>
          <a:r>
            <a:rPr lang="en-US" sz="1100" baseline="0"/>
            <a:t>B)  What assumptions about the population distribution is needed in order to conduct the test in part a?</a:t>
          </a:r>
          <a:br>
            <a:rPr lang="en-US" sz="1100" baseline="0"/>
          </a:br>
          <a:r>
            <a:rPr lang="en-US" sz="1100" baseline="0"/>
            <a:t>C) Construct a histogram, box plot or normal probability plot to evaluate your assumption</a:t>
          </a:r>
          <a:endParaRPr lang="en-US" sz="1100"/>
        </a:p>
      </xdr:txBody>
    </xdr:sp>
    <xdr:clientData/>
  </xdr:twoCellAnchor>
  <xdr:twoCellAnchor>
    <xdr:from>
      <xdr:col>1</xdr:col>
      <xdr:colOff>590550</xdr:colOff>
      <xdr:row>16</xdr:row>
      <xdr:rowOff>12700</xdr:rowOff>
    </xdr:from>
    <xdr:to>
      <xdr:col>5</xdr:col>
      <xdr:colOff>552450</xdr:colOff>
      <xdr:row>30</xdr:row>
      <xdr:rowOff>88900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ACCFF6A4-B42C-CE34-0895-9FA3DDB2769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63650" y="31115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D1471B4-F88F-5E47-87EB-F855FA877029}">
  <we:reference id="wa200005502" version="1.0.0.11" store="en-GB" storeType="OMEX"/>
  <we:alternateReferences>
    <we:reference id="wa200005502" version="1.0.0.11" store="" storeType="OMEX"/>
  </we:alternateReferences>
  <we:properties>
    <we:property name="docId" value="&quot;WMlMjH4jybgBksJZrlWH1&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799BC-D935-4F67-8C47-0DC7B44293F2}">
  <sheetPr>
    <tabColor rgb="FFFF0000"/>
  </sheetPr>
  <dimension ref="A1"/>
  <sheetViews>
    <sheetView showGridLines="0" workbookViewId="0">
      <selection activeCell="H28" sqref="H28:H29"/>
    </sheetView>
  </sheetViews>
  <sheetFormatPr baseColWidth="10" defaultColWidth="8.83203125"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D6AD-BEBB-4F8B-B03C-D00573397980}">
  <sheetPr>
    <tabColor rgb="FFFFC000"/>
  </sheetPr>
  <dimension ref="A1:O31"/>
  <sheetViews>
    <sheetView showGridLines="0" workbookViewId="0">
      <selection activeCell="B4" sqref="B4"/>
    </sheetView>
  </sheetViews>
  <sheetFormatPr baseColWidth="10" defaultColWidth="8.6640625" defaultRowHeight="15" x14ac:dyDescent="0.2"/>
  <cols>
    <col min="1" max="1" width="28.83203125" bestFit="1" customWidth="1"/>
    <col min="2" max="2" width="13.33203125" bestFit="1" customWidth="1"/>
    <col min="6" max="6" width="43.1640625" customWidth="1"/>
    <col min="10" max="10" width="22.83203125" customWidth="1"/>
    <col min="15" max="15" width="9.5" bestFit="1" customWidth="1"/>
  </cols>
  <sheetData>
    <row r="1" spans="1:15" ht="25" thickBot="1" x14ac:dyDescent="0.35">
      <c r="A1" s="56" t="s">
        <v>0</v>
      </c>
    </row>
    <row r="2" spans="1:15" x14ac:dyDescent="0.2">
      <c r="A2" s="1">
        <v>8.1</v>
      </c>
      <c r="B2" s="3"/>
      <c r="D2" s="1" t="s">
        <v>71</v>
      </c>
      <c r="E2" s="2"/>
      <c r="F2" s="3"/>
      <c r="H2" s="1" t="s">
        <v>78</v>
      </c>
      <c r="I2" s="2"/>
      <c r="J2" s="3"/>
      <c r="M2" s="1" t="s">
        <v>79</v>
      </c>
      <c r="N2" s="2"/>
      <c r="O2" s="3"/>
    </row>
    <row r="3" spans="1:15" x14ac:dyDescent="0.2">
      <c r="A3" s="4" t="s">
        <v>1</v>
      </c>
      <c r="B3" s="6"/>
      <c r="D3" s="4"/>
      <c r="E3" t="s">
        <v>12</v>
      </c>
      <c r="F3" s="63" t="str">
        <f>'9.1'!C2</f>
        <v>u &gt;= 100</v>
      </c>
      <c r="H3" s="4"/>
      <c r="I3" t="s">
        <v>12</v>
      </c>
      <c r="J3" s="63" t="str">
        <f>'9.2'!C2</f>
        <v>pi=0.5</v>
      </c>
      <c r="M3" s="4"/>
      <c r="N3" t="s">
        <v>12</v>
      </c>
      <c r="O3" s="63" t="str">
        <f>'9.3'!E3</f>
        <v>u&lt;=1700</v>
      </c>
    </row>
    <row r="4" spans="1:15" x14ac:dyDescent="0.2">
      <c r="A4" s="7" t="s">
        <v>2</v>
      </c>
      <c r="B4" s="57">
        <f>'8.1'!B4</f>
        <v>6.7333452149884083</v>
      </c>
      <c r="D4" s="4"/>
      <c r="E4" t="s">
        <v>13</v>
      </c>
      <c r="F4" s="63" t="str">
        <f>'9.1'!C3</f>
        <v>u &lt; 100</v>
      </c>
      <c r="H4" s="4"/>
      <c r="I4" t="s">
        <v>13</v>
      </c>
      <c r="J4" s="63" t="str">
        <f>'9.2'!C3</f>
        <v>pi&lt;&gt;0.5</v>
      </c>
      <c r="M4" s="4"/>
      <c r="N4" t="s">
        <v>13</v>
      </c>
      <c r="O4" s="63" t="str">
        <f>'9.3'!E4</f>
        <v>u&gt;1700</v>
      </c>
    </row>
    <row r="5" spans="1:15" x14ac:dyDescent="0.2">
      <c r="A5" s="7" t="s">
        <v>3</v>
      </c>
      <c r="B5" s="57">
        <f>'8.1'!B5</f>
        <v>7.7666547850115917</v>
      </c>
      <c r="D5" s="4"/>
      <c r="E5" t="s">
        <v>18</v>
      </c>
      <c r="F5" s="63" t="str">
        <f>'9.1'!C4</f>
        <v>t</v>
      </c>
      <c r="H5" s="4"/>
      <c r="I5" t="s">
        <v>56</v>
      </c>
      <c r="J5" s="67">
        <f>'9.2'!C4</f>
        <v>-1.2649110640673511</v>
      </c>
      <c r="M5" s="4"/>
      <c r="N5" t="s">
        <v>18</v>
      </c>
      <c r="O5" s="63" t="str">
        <f>'9.3'!E5</f>
        <v>t</v>
      </c>
    </row>
    <row r="6" spans="1:15" x14ac:dyDescent="0.2">
      <c r="A6" s="4" t="s">
        <v>4</v>
      </c>
      <c r="B6" s="52"/>
      <c r="D6" s="4"/>
      <c r="E6" t="s">
        <v>72</v>
      </c>
      <c r="F6" s="63">
        <f>'9.1'!C5</f>
        <v>0</v>
      </c>
      <c r="H6" s="4"/>
      <c r="I6" t="s">
        <v>14</v>
      </c>
      <c r="J6" s="64">
        <f>'9.2'!C5</f>
        <v>0.20590321073206841</v>
      </c>
      <c r="M6" s="4"/>
      <c r="N6" t="s">
        <v>72</v>
      </c>
      <c r="O6" s="67">
        <f>'9.3'!E6</f>
        <v>2.0294599872994818</v>
      </c>
    </row>
    <row r="7" spans="1:15" x14ac:dyDescent="0.2">
      <c r="A7" s="7" t="s">
        <v>2</v>
      </c>
      <c r="B7" s="57">
        <f>'8.1'!B7</f>
        <v>0.39022184119728831</v>
      </c>
      <c r="D7" s="4"/>
      <c r="E7" t="s">
        <v>14</v>
      </c>
      <c r="F7" s="64">
        <f>'9.1'!C6</f>
        <v>0</v>
      </c>
      <c r="H7" s="4"/>
      <c r="I7" t="s">
        <v>15</v>
      </c>
      <c r="J7" s="63" t="str">
        <f>'9.2'!C6</f>
        <v>Do Not reject the Null Hypothesis</v>
      </c>
      <c r="M7" s="4"/>
      <c r="N7" t="s">
        <v>14</v>
      </c>
      <c r="O7" s="66">
        <f>'9.3'!E7</f>
        <v>2.5838621937777931E-2</v>
      </c>
    </row>
    <row r="8" spans="1:15" x14ac:dyDescent="0.2">
      <c r="A8" s="7" t="s">
        <v>3</v>
      </c>
      <c r="B8" s="57">
        <f>'8.1'!B8</f>
        <v>0.64311149213604513</v>
      </c>
      <c r="D8" s="4"/>
      <c r="E8" t="s">
        <v>15</v>
      </c>
      <c r="F8" s="63" t="str">
        <f>'9.1'!C7</f>
        <v>Do Not reject the Null Hypothesis</v>
      </c>
      <c r="H8" s="4"/>
      <c r="J8" s="65"/>
      <c r="M8" s="4"/>
      <c r="N8" t="s">
        <v>15</v>
      </c>
      <c r="O8" s="63" t="str">
        <f>'9.3'!E8</f>
        <v>Reject the Null Hypothesis</v>
      </c>
    </row>
    <row r="9" spans="1:15" x14ac:dyDescent="0.2">
      <c r="A9" s="4" t="s">
        <v>5</v>
      </c>
      <c r="B9" s="6"/>
      <c r="D9" s="7"/>
      <c r="E9" s="88" t="s">
        <v>57</v>
      </c>
      <c r="F9" s="94" t="str">
        <f>'9.1'!C8</f>
        <v>There is evidence to show that the population mean for reibursement was less than $100</v>
      </c>
      <c r="H9" s="4"/>
      <c r="I9" s="88" t="s">
        <v>57</v>
      </c>
      <c r="J9" s="89" t="str">
        <f>'9.2'!C7</f>
        <v>We failed to show that the proportion of laptop users who use their laptops while watching TV is any different from 50%.</v>
      </c>
      <c r="M9" s="7"/>
      <c r="N9" s="88" t="s">
        <v>57</v>
      </c>
      <c r="O9" s="89" t="str">
        <f>'9.3'!E9</f>
        <v>We fail to prove evidence that the population mean force required to break the insulators is greater than 1,700 pounds</v>
      </c>
    </row>
    <row r="10" spans="1:15" x14ac:dyDescent="0.2">
      <c r="A10" s="7" t="s">
        <v>6</v>
      </c>
      <c r="B10" s="58">
        <f>'8.1'!B10</f>
        <v>48</v>
      </c>
      <c r="D10" s="7"/>
      <c r="E10" s="88"/>
      <c r="F10" s="94"/>
      <c r="H10" s="7"/>
      <c r="I10" s="88"/>
      <c r="J10" s="89"/>
      <c r="M10" s="7"/>
      <c r="N10" s="88"/>
      <c r="O10" s="89"/>
    </row>
    <row r="11" spans="1:15" x14ac:dyDescent="0.2">
      <c r="A11" s="10" t="s">
        <v>7</v>
      </c>
      <c r="B11" s="6"/>
      <c r="D11" s="7"/>
      <c r="F11" s="6"/>
      <c r="H11" s="7"/>
      <c r="J11" s="65"/>
      <c r="M11" s="7"/>
      <c r="O11" s="6"/>
    </row>
    <row r="12" spans="1:15" ht="16" thickBot="1" x14ac:dyDescent="0.25">
      <c r="A12" s="8" t="s">
        <v>8</v>
      </c>
      <c r="B12" s="59">
        <f>'8.1'!B12</f>
        <v>271</v>
      </c>
      <c r="D12" s="10" t="s">
        <v>75</v>
      </c>
      <c r="F12" s="6"/>
      <c r="H12" s="7" t="s">
        <v>76</v>
      </c>
      <c r="I12" t="s">
        <v>56</v>
      </c>
      <c r="J12" s="64">
        <f>'9.2'!C10</f>
        <v>-3.1622776601683786</v>
      </c>
      <c r="M12" s="7" t="s">
        <v>11</v>
      </c>
      <c r="N12" t="s">
        <v>16</v>
      </c>
      <c r="O12" s="6"/>
    </row>
    <row r="13" spans="1:15" x14ac:dyDescent="0.2">
      <c r="A13" s="1">
        <v>2</v>
      </c>
      <c r="B13" s="3"/>
      <c r="D13" s="4"/>
      <c r="E13" t="s">
        <v>12</v>
      </c>
      <c r="F13" s="63" t="str">
        <f>'9.1'!C12</f>
        <v>π &lt;= .1</v>
      </c>
      <c r="H13" s="7"/>
      <c r="I13" t="s">
        <v>14</v>
      </c>
      <c r="J13" s="64">
        <f>'9.2'!C11</f>
        <v>1.5654022580025018E-3</v>
      </c>
      <c r="M13" s="7"/>
      <c r="N13" s="90" t="str">
        <f>'9.3'!D13</f>
        <v>We need to assume that the data is noramlly distributed</v>
      </c>
      <c r="O13" s="89"/>
    </row>
    <row r="14" spans="1:15" ht="16" thickBot="1" x14ac:dyDescent="0.25">
      <c r="A14" s="4" t="s">
        <v>1</v>
      </c>
      <c r="B14" s="6"/>
      <c r="D14" s="4"/>
      <c r="E14" t="s">
        <v>13</v>
      </c>
      <c r="F14" s="63" t="str">
        <f>'9.1'!C13</f>
        <v>π &gt; .1</v>
      </c>
      <c r="H14" s="7"/>
      <c r="I14" t="s">
        <v>15</v>
      </c>
      <c r="J14" s="64" t="str">
        <f>'9.2'!C12</f>
        <v>Reject the Null Hypothesis</v>
      </c>
      <c r="M14" s="8"/>
      <c r="N14" s="91"/>
      <c r="O14" s="92"/>
    </row>
    <row r="15" spans="1:15" x14ac:dyDescent="0.2">
      <c r="A15" s="7" t="s">
        <v>2</v>
      </c>
      <c r="B15" s="57">
        <f>'8.2'!B4</f>
        <v>28.611048133889508</v>
      </c>
      <c r="D15" s="4"/>
      <c r="E15" t="s">
        <v>72</v>
      </c>
      <c r="F15" s="64">
        <f>'9.1'!C14</f>
        <v>1.6666666666666661</v>
      </c>
      <c r="H15" s="7"/>
      <c r="J15" s="65"/>
    </row>
    <row r="16" spans="1:15" x14ac:dyDescent="0.2">
      <c r="A16" s="7" t="s">
        <v>3</v>
      </c>
      <c r="B16" s="57">
        <f>'8.2'!B5</f>
        <v>31.388951866110492</v>
      </c>
      <c r="D16" s="4"/>
      <c r="F16" s="6"/>
      <c r="H16" s="7"/>
      <c r="I16" s="88" t="s">
        <v>57</v>
      </c>
      <c r="J16" s="89" t="str">
        <f>'9.2'!C14</f>
        <v>With 100 users, there is evidence to suggest that the proportion of laptop users who use their laptops while watching TV is different from 50%</v>
      </c>
    </row>
    <row r="17" spans="1:10" ht="16" thickBot="1" x14ac:dyDescent="0.25">
      <c r="A17" s="4" t="s">
        <v>4</v>
      </c>
      <c r="B17" s="52"/>
      <c r="D17" s="4"/>
      <c r="E17" t="s">
        <v>14</v>
      </c>
      <c r="F17" s="64">
        <f>'9.1'!C15</f>
        <v>9.5580704545629613E-2</v>
      </c>
      <c r="H17" s="8"/>
      <c r="I17" s="93"/>
      <c r="J17" s="92"/>
    </row>
    <row r="18" spans="1:10" x14ac:dyDescent="0.2">
      <c r="A18" s="7" t="s">
        <v>2</v>
      </c>
      <c r="B18" s="57">
        <f>'8.2'!B7</f>
        <v>0.35249302291006068</v>
      </c>
      <c r="D18" s="4"/>
      <c r="E18" t="s">
        <v>15</v>
      </c>
      <c r="F18" s="63" t="str">
        <f>'9.1'!C16</f>
        <v>Do Not reject the Null Hypothesis</v>
      </c>
    </row>
    <row r="19" spans="1:10" x14ac:dyDescent="0.2">
      <c r="A19" s="7" t="s">
        <v>3</v>
      </c>
      <c r="B19" s="57">
        <f>'8.2'!B8</f>
        <v>0.54750697708993934</v>
      </c>
      <c r="D19" s="7"/>
      <c r="E19" s="88" t="s">
        <v>57</v>
      </c>
      <c r="F19" s="89" t="str">
        <f>'9.1'!C17</f>
        <v>We failed to show that the proportion of incorrect reimbursements was any different from 0.1.</v>
      </c>
    </row>
    <row r="20" spans="1:10" x14ac:dyDescent="0.2">
      <c r="A20" s="4" t="s">
        <v>5</v>
      </c>
      <c r="B20" s="6"/>
      <c r="D20" s="7"/>
      <c r="E20" s="88"/>
      <c r="F20" s="89"/>
    </row>
    <row r="21" spans="1:10" x14ac:dyDescent="0.2">
      <c r="A21" s="7" t="s">
        <v>6</v>
      </c>
      <c r="B21" s="58">
        <f>'8.2'!B10</f>
        <v>139</v>
      </c>
      <c r="D21" s="7"/>
      <c r="F21" s="6"/>
    </row>
    <row r="22" spans="1:10" x14ac:dyDescent="0.2">
      <c r="A22" s="4" t="s">
        <v>7</v>
      </c>
      <c r="B22" s="6"/>
      <c r="D22" s="7" t="s">
        <v>73</v>
      </c>
      <c r="E22" t="s">
        <v>72</v>
      </c>
      <c r="F22" s="64">
        <f>'9.1'!C20</f>
        <v>-2.5</v>
      </c>
    </row>
    <row r="23" spans="1:10" ht="16" thickBot="1" x14ac:dyDescent="0.25">
      <c r="A23" s="8" t="s">
        <v>8</v>
      </c>
      <c r="B23" s="59">
        <f>'8.2'!B12</f>
        <v>271</v>
      </c>
      <c r="D23" s="7"/>
      <c r="E23" t="s">
        <v>14</v>
      </c>
      <c r="F23" s="64">
        <f>'9.1'!C21</f>
        <v>0</v>
      </c>
    </row>
    <row r="24" spans="1:10" x14ac:dyDescent="0.2">
      <c r="A24" s="1">
        <v>3</v>
      </c>
      <c r="B24" s="3"/>
      <c r="D24" s="7"/>
      <c r="E24" t="s">
        <v>15</v>
      </c>
      <c r="F24" s="64" t="str">
        <f>'9.1'!C22</f>
        <v>Reject the Null Hypothesis</v>
      </c>
    </row>
    <row r="25" spans="1:10" x14ac:dyDescent="0.2">
      <c r="A25" s="4" t="s">
        <v>10</v>
      </c>
      <c r="B25" s="6"/>
      <c r="D25" s="7"/>
      <c r="E25" s="88" t="s">
        <v>57</v>
      </c>
      <c r="F25" s="89" t="str">
        <f>'9.1'!C23</f>
        <v>we failed to show that the average reimbursement was any different from $100.</v>
      </c>
    </row>
    <row r="26" spans="1:10" x14ac:dyDescent="0.2">
      <c r="A26" s="7" t="s">
        <v>6</v>
      </c>
      <c r="B26" s="60">
        <f>'8.3'!B6</f>
        <v>23</v>
      </c>
      <c r="D26" s="7"/>
      <c r="E26" s="88"/>
      <c r="F26" s="89"/>
    </row>
    <row r="27" spans="1:10" x14ac:dyDescent="0.2">
      <c r="A27" s="7"/>
      <c r="B27" s="6"/>
      <c r="D27" s="7"/>
      <c r="F27" s="6"/>
    </row>
    <row r="28" spans="1:10" x14ac:dyDescent="0.2">
      <c r="A28" s="4" t="s">
        <v>9</v>
      </c>
      <c r="B28" s="6"/>
      <c r="D28" s="7" t="s">
        <v>74</v>
      </c>
      <c r="E28" t="s">
        <v>14</v>
      </c>
      <c r="F28" s="64">
        <f>'9.1'!C26</f>
        <v>0.18242243945173553</v>
      </c>
    </row>
    <row r="29" spans="1:10" x14ac:dyDescent="0.2">
      <c r="A29" s="7" t="s">
        <v>2</v>
      </c>
      <c r="B29" s="61">
        <f>'8.3'!B3</f>
        <v>102.03981766472894</v>
      </c>
      <c r="D29" s="7"/>
      <c r="E29" t="s">
        <v>15</v>
      </c>
      <c r="F29" s="64" t="str">
        <f>'9.1'!C27</f>
        <v>Do Not reject the Null Hypothesis</v>
      </c>
    </row>
    <row r="30" spans="1:10" ht="16" thickBot="1" x14ac:dyDescent="0.25">
      <c r="A30" s="8" t="s">
        <v>3</v>
      </c>
      <c r="B30" s="62">
        <f>'8.3'!B4</f>
        <v>103.96018233527106</v>
      </c>
      <c r="D30" s="7"/>
      <c r="E30" s="88" t="s">
        <v>57</v>
      </c>
      <c r="F30" s="89" t="str">
        <f>'9.1'!C28</f>
        <v>we failed to show that the proportion of incorrect reimbursements was any different from 0.1</v>
      </c>
    </row>
    <row r="31" spans="1:10" ht="16" thickBot="1" x14ac:dyDescent="0.25">
      <c r="D31" s="8"/>
      <c r="E31" s="93"/>
      <c r="F31" s="92"/>
    </row>
  </sheetData>
  <mergeCells count="15">
    <mergeCell ref="N9:N10"/>
    <mergeCell ref="O9:O10"/>
    <mergeCell ref="N13:O14"/>
    <mergeCell ref="E30:E31"/>
    <mergeCell ref="F30:F31"/>
    <mergeCell ref="I9:I10"/>
    <mergeCell ref="J9:J10"/>
    <mergeCell ref="I16:I17"/>
    <mergeCell ref="J16:J17"/>
    <mergeCell ref="E9:E10"/>
    <mergeCell ref="F9:F10"/>
    <mergeCell ref="E19:E20"/>
    <mergeCell ref="F19:F20"/>
    <mergeCell ref="E25:E26"/>
    <mergeCell ref="F25:F26"/>
  </mergeCells>
  <dataValidations count="2">
    <dataValidation type="list" allowBlank="1" showInputMessage="1" showErrorMessage="1" sqref="F13:F15 F17:F18" xr:uid="{68F68851-E4AE-47BD-9EF6-A057643BDDEB}">
      <formula1>"p &lt;= .1, p &gt; .1,  Pi &lt;= .1, Pi &gt; .1"</formula1>
    </dataValidation>
    <dataValidation type="list" allowBlank="1" showInputMessage="1" showErrorMessage="1" sqref="F3:F8" xr:uid="{426A545C-C72E-4664-800D-80BD6E279C85}">
      <formula1>"Xbar &lt; 100, Xbar &gt;= 100,  u &lt; 100, u &gt;= 100"</formula1>
    </dataValidation>
  </dataValidations>
  <pageMargins left="0.7" right="0.7" top="0.75" bottom="0.75" header="0.3" footer="0.3"/>
  <pageSetup orientation="portrait"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D1399-0647-4AA1-B5F0-A2693AE6607C}">
  <sheetPr>
    <tabColor rgb="FFFFFF00"/>
  </sheetPr>
  <dimension ref="A1:L37"/>
  <sheetViews>
    <sheetView topLeftCell="A3" workbookViewId="0">
      <selection activeCell="E42" sqref="E42"/>
    </sheetView>
  </sheetViews>
  <sheetFormatPr baseColWidth="10" defaultColWidth="8.83203125" defaultRowHeight="15" x14ac:dyDescent="0.2"/>
  <cols>
    <col min="1" max="1" width="31.1640625" customWidth="1"/>
    <col min="2" max="2" width="23.1640625" customWidth="1"/>
    <col min="5" max="5" width="26" bestFit="1" customWidth="1"/>
    <col min="6" max="6" width="9.33203125" customWidth="1"/>
    <col min="8" max="8" width="24.83203125" bestFit="1" customWidth="1"/>
    <col min="11" max="11" width="22.33203125" bestFit="1" customWidth="1"/>
  </cols>
  <sheetData>
    <row r="1" spans="1:2" ht="16" thickBot="1" x14ac:dyDescent="0.25"/>
    <row r="2" spans="1:2" x14ac:dyDescent="0.2">
      <c r="A2" s="1">
        <v>8.1</v>
      </c>
      <c r="B2" s="3"/>
    </row>
    <row r="3" spans="1:2" x14ac:dyDescent="0.2">
      <c r="A3" s="4" t="s">
        <v>1</v>
      </c>
      <c r="B3" s="6"/>
    </row>
    <row r="4" spans="1:2" x14ac:dyDescent="0.2">
      <c r="A4" s="7" t="s">
        <v>2</v>
      </c>
      <c r="B4" s="46">
        <f>B36</f>
        <v>6.7333452149884083</v>
      </c>
    </row>
    <row r="5" spans="1:2" x14ac:dyDescent="0.2">
      <c r="A5" s="7" t="s">
        <v>3</v>
      </c>
      <c r="B5" s="46">
        <f>B37</f>
        <v>7.7666547850115917</v>
      </c>
    </row>
    <row r="6" spans="1:2" x14ac:dyDescent="0.2">
      <c r="A6" s="4" t="s">
        <v>4</v>
      </c>
      <c r="B6" s="6"/>
    </row>
    <row r="7" spans="1:2" x14ac:dyDescent="0.2">
      <c r="A7" s="7" t="s">
        <v>2</v>
      </c>
      <c r="B7" s="47">
        <f>F35</f>
        <v>0.39022184119728831</v>
      </c>
    </row>
    <row r="8" spans="1:2" x14ac:dyDescent="0.2">
      <c r="A8" s="7" t="s">
        <v>3</v>
      </c>
      <c r="B8" s="47">
        <f>F36</f>
        <v>0.64311149213604513</v>
      </c>
    </row>
    <row r="9" spans="1:2" x14ac:dyDescent="0.2">
      <c r="A9" s="4" t="s">
        <v>5</v>
      </c>
      <c r="B9" s="6"/>
    </row>
    <row r="10" spans="1:2" x14ac:dyDescent="0.2">
      <c r="A10" s="7" t="s">
        <v>6</v>
      </c>
      <c r="B10" s="49">
        <f>I33</f>
        <v>48</v>
      </c>
    </row>
    <row r="11" spans="1:2" x14ac:dyDescent="0.2">
      <c r="A11" s="10" t="s">
        <v>7</v>
      </c>
      <c r="B11" s="6"/>
    </row>
    <row r="12" spans="1:2" ht="16" thickBot="1" x14ac:dyDescent="0.25">
      <c r="A12" s="8" t="s">
        <v>8</v>
      </c>
      <c r="B12" s="50">
        <f>L33</f>
        <v>271</v>
      </c>
    </row>
    <row r="20" spans="1:12" x14ac:dyDescent="0.2">
      <c r="A20" t="s">
        <v>81</v>
      </c>
      <c r="B20">
        <v>7.25</v>
      </c>
    </row>
    <row r="21" spans="1:12" x14ac:dyDescent="0.2">
      <c r="A21" t="s">
        <v>82</v>
      </c>
      <c r="B21">
        <v>2</v>
      </c>
    </row>
    <row r="22" spans="1:12" x14ac:dyDescent="0.2">
      <c r="A22" s="97" t="s">
        <v>83</v>
      </c>
      <c r="B22" s="97"/>
      <c r="E22" s="97" t="s">
        <v>84</v>
      </c>
      <c r="F22" s="97"/>
      <c r="H22" s="97" t="s">
        <v>85</v>
      </c>
      <c r="I22" s="97"/>
      <c r="K22" s="98" t="s">
        <v>86</v>
      </c>
      <c r="L22" s="98"/>
    </row>
    <row r="23" spans="1:12" x14ac:dyDescent="0.2">
      <c r="A23" s="38" t="s">
        <v>20</v>
      </c>
      <c r="B23" s="39"/>
      <c r="E23" s="101" t="s">
        <v>20</v>
      </c>
      <c r="F23" s="102"/>
      <c r="H23" s="34" t="s">
        <v>20</v>
      </c>
      <c r="I23" s="35"/>
      <c r="K23" s="34" t="s">
        <v>20</v>
      </c>
      <c r="L23" s="35"/>
    </row>
    <row r="24" spans="1:12" x14ac:dyDescent="0.2">
      <c r="A24" s="18" t="s">
        <v>49</v>
      </c>
      <c r="B24" s="30">
        <v>2</v>
      </c>
      <c r="E24" s="18" t="s">
        <v>6</v>
      </c>
      <c r="F24" s="30">
        <v>60</v>
      </c>
      <c r="H24" s="18" t="s">
        <v>23</v>
      </c>
      <c r="I24" s="30">
        <v>1.75</v>
      </c>
      <c r="K24" s="18" t="s">
        <v>70</v>
      </c>
      <c r="L24" s="75">
        <f>(31/60)</f>
        <v>0.51666666666666672</v>
      </c>
    </row>
    <row r="25" spans="1:12" x14ac:dyDescent="0.2">
      <c r="A25" s="18" t="s">
        <v>24</v>
      </c>
      <c r="B25" s="30">
        <v>7.25</v>
      </c>
      <c r="E25" s="18" t="s">
        <v>39</v>
      </c>
      <c r="F25" s="30">
        <v>31</v>
      </c>
      <c r="H25" s="18" t="s">
        <v>65</v>
      </c>
      <c r="I25" s="30">
        <v>0.5</v>
      </c>
      <c r="K25" s="18" t="s">
        <v>65</v>
      </c>
      <c r="L25" s="30">
        <v>0.05</v>
      </c>
    </row>
    <row r="26" spans="1:12" x14ac:dyDescent="0.2">
      <c r="A26" s="18" t="s">
        <v>6</v>
      </c>
      <c r="B26" s="30">
        <v>60</v>
      </c>
      <c r="E26" s="18" t="s">
        <v>40</v>
      </c>
      <c r="F26" s="31">
        <v>0.95</v>
      </c>
      <c r="H26" s="18" t="s">
        <v>40</v>
      </c>
      <c r="I26" s="36">
        <v>0.95</v>
      </c>
      <c r="K26" s="18" t="s">
        <v>40</v>
      </c>
      <c r="L26" s="36">
        <v>0.9</v>
      </c>
    </row>
    <row r="27" spans="1:12" x14ac:dyDescent="0.2">
      <c r="A27" s="18" t="s">
        <v>40</v>
      </c>
      <c r="B27" s="36">
        <v>0.95</v>
      </c>
      <c r="E27" s="25"/>
      <c r="F27" s="32"/>
      <c r="H27" s="25"/>
      <c r="I27" s="37"/>
      <c r="K27" s="25"/>
      <c r="L27" s="37"/>
    </row>
    <row r="28" spans="1:12" x14ac:dyDescent="0.2">
      <c r="A28" s="25"/>
      <c r="B28" s="37"/>
      <c r="E28" s="95" t="s">
        <v>25</v>
      </c>
      <c r="F28" s="95"/>
      <c r="H28" s="95" t="s">
        <v>66</v>
      </c>
      <c r="I28" s="95"/>
      <c r="K28" s="99" t="s">
        <v>25</v>
      </c>
      <c r="L28" s="100"/>
    </row>
    <row r="29" spans="1:12" x14ac:dyDescent="0.2">
      <c r="A29" s="103" t="s">
        <v>25</v>
      </c>
      <c r="B29" s="104"/>
      <c r="E29" s="19" t="s">
        <v>35</v>
      </c>
      <c r="F29" s="19">
        <f>F25/F24</f>
        <v>0.51666666666666672</v>
      </c>
      <c r="H29" s="19" t="s">
        <v>41</v>
      </c>
      <c r="I29" s="26">
        <f>_xlfn.NORM.S.INV((1 - I26)/2)</f>
        <v>-1.9599639845400536</v>
      </c>
      <c r="K29" s="19" t="s">
        <v>41</v>
      </c>
      <c r="L29" s="26">
        <f>_xlfn.NORM.S.INV((1 - L26)/2)</f>
        <v>-1.6448536269514726</v>
      </c>
    </row>
    <row r="30" spans="1:12" x14ac:dyDescent="0.2">
      <c r="A30" s="19" t="s">
        <v>26</v>
      </c>
      <c r="B30" s="26">
        <f>B24/SQRT(B26)</f>
        <v>0.2581988897471611</v>
      </c>
      <c r="E30" s="19" t="s">
        <v>41</v>
      </c>
      <c r="F30" s="26">
        <f>_xlfn.NORM.S.INV((1 - F26)/2)</f>
        <v>-1.9599639845400536</v>
      </c>
      <c r="H30" s="19" t="s">
        <v>67</v>
      </c>
      <c r="I30" s="26">
        <f>((I29 * I24)/I25)^2</f>
        <v>47.057870553503015</v>
      </c>
      <c r="K30" s="19" t="s">
        <v>67</v>
      </c>
      <c r="L30" s="26">
        <f>(L29^2 * L24 * (1 - L24))/L25^2</f>
        <v>270.25372947019741</v>
      </c>
    </row>
    <row r="31" spans="1:12" x14ac:dyDescent="0.2">
      <c r="A31" s="19" t="s">
        <v>50</v>
      </c>
      <c r="B31" s="19">
        <f>B26 - 1</f>
        <v>59</v>
      </c>
      <c r="E31" s="19" t="s">
        <v>42</v>
      </c>
      <c r="F31" s="19">
        <f>SQRT(F29 * (1 - F29)/F24)</f>
        <v>6.4513851512966083E-2</v>
      </c>
      <c r="H31" s="17"/>
      <c r="I31" s="17"/>
      <c r="K31" s="17"/>
      <c r="L31" s="17"/>
    </row>
    <row r="32" spans="1:12" x14ac:dyDescent="0.2">
      <c r="A32" s="40" t="s">
        <v>51</v>
      </c>
      <c r="B32" s="26">
        <f>_xlfn.T.INV.2T(1-B27, B31)</f>
        <v>2.0009953780882688</v>
      </c>
      <c r="E32" s="19" t="s">
        <v>43</v>
      </c>
      <c r="F32" s="26">
        <f>ABS(F30 * F31)</f>
        <v>0.12644482546937838</v>
      </c>
      <c r="H32" s="96" t="s">
        <v>68</v>
      </c>
      <c r="I32" s="96"/>
      <c r="K32" s="96" t="s">
        <v>68</v>
      </c>
      <c r="L32" s="96"/>
    </row>
    <row r="33" spans="1:12" x14ac:dyDescent="0.2">
      <c r="A33" s="19" t="s">
        <v>43</v>
      </c>
      <c r="B33" s="26">
        <f>B32 * B30</f>
        <v>0.5166547850115919</v>
      </c>
      <c r="E33" s="33"/>
      <c r="F33" s="33"/>
      <c r="H33" s="20" t="s">
        <v>69</v>
      </c>
      <c r="I33" s="48">
        <f>ROUNDUP(I30, 0)</f>
        <v>48</v>
      </c>
      <c r="K33" s="20" t="s">
        <v>69</v>
      </c>
      <c r="L33" s="48">
        <f>ROUNDUP(L30, 0)</f>
        <v>271</v>
      </c>
    </row>
    <row r="34" spans="1:12" x14ac:dyDescent="0.2">
      <c r="A34" s="33"/>
      <c r="B34" s="33"/>
      <c r="E34" s="96" t="s">
        <v>44</v>
      </c>
      <c r="F34" s="96"/>
    </row>
    <row r="35" spans="1:12" x14ac:dyDescent="0.2">
      <c r="A35" s="105" t="s">
        <v>44</v>
      </c>
      <c r="B35" s="106"/>
      <c r="E35" s="20" t="s">
        <v>45</v>
      </c>
      <c r="F35" s="22">
        <f>F29 - F32</f>
        <v>0.39022184119728831</v>
      </c>
    </row>
    <row r="36" spans="1:12" x14ac:dyDescent="0.2">
      <c r="A36" s="20" t="s">
        <v>45</v>
      </c>
      <c r="B36" s="41">
        <f>B25 - B33</f>
        <v>6.7333452149884083</v>
      </c>
      <c r="E36" s="20" t="s">
        <v>46</v>
      </c>
      <c r="F36" s="22">
        <f>F29 + F32</f>
        <v>0.64311149213604513</v>
      </c>
    </row>
    <row r="37" spans="1:12" x14ac:dyDescent="0.2">
      <c r="A37" s="20" t="s">
        <v>46</v>
      </c>
      <c r="B37" s="41">
        <f>B25 + B33</f>
        <v>7.7666547850115917</v>
      </c>
    </row>
  </sheetData>
  <mergeCells count="13">
    <mergeCell ref="A35:B35"/>
    <mergeCell ref="A22:B22"/>
    <mergeCell ref="E23:F23"/>
    <mergeCell ref="E28:F28"/>
    <mergeCell ref="E34:F34"/>
    <mergeCell ref="E22:F22"/>
    <mergeCell ref="A29:B29"/>
    <mergeCell ref="H28:I28"/>
    <mergeCell ref="H32:I32"/>
    <mergeCell ref="H22:I22"/>
    <mergeCell ref="K22:L22"/>
    <mergeCell ref="K28:L28"/>
    <mergeCell ref="K32:L32"/>
  </mergeCells>
  <pageMargins left="0.7" right="0.7" top="0.75" bottom="0.75" header="0.3" footer="0.3"/>
  <ignoredErrors>
    <ignoredError sqref="L24" unlockedFormula="1"/>
  </ignoredErrors>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2D226-9C19-4876-A4C1-7AD381656C93}">
  <sheetPr>
    <tabColor rgb="FFFFFF00"/>
  </sheetPr>
  <dimension ref="A1:K35"/>
  <sheetViews>
    <sheetView workbookViewId="0">
      <selection activeCell="K23" sqref="K23"/>
    </sheetView>
  </sheetViews>
  <sheetFormatPr baseColWidth="10" defaultColWidth="8.83203125" defaultRowHeight="15" x14ac:dyDescent="0.2"/>
  <cols>
    <col min="1" max="1" width="31.1640625" customWidth="1"/>
    <col min="4" max="4" width="26" bestFit="1" customWidth="1"/>
    <col min="5" max="5" width="12.1640625" bestFit="1" customWidth="1"/>
    <col min="7" max="7" width="24.83203125" bestFit="1" customWidth="1"/>
    <col min="10" max="10" width="22.33203125" bestFit="1" customWidth="1"/>
  </cols>
  <sheetData>
    <row r="1" spans="1:2" ht="16" thickBot="1" x14ac:dyDescent="0.25"/>
    <row r="2" spans="1:2" x14ac:dyDescent="0.2">
      <c r="A2" s="1">
        <v>2</v>
      </c>
      <c r="B2" s="3"/>
    </row>
    <row r="3" spans="1:2" x14ac:dyDescent="0.2">
      <c r="A3" s="4" t="s">
        <v>1</v>
      </c>
      <c r="B3" s="6"/>
    </row>
    <row r="4" spans="1:2" x14ac:dyDescent="0.2">
      <c r="A4" s="7" t="s">
        <v>2</v>
      </c>
      <c r="B4" s="46">
        <f>B34</f>
        <v>28.611048133889508</v>
      </c>
    </row>
    <row r="5" spans="1:2" x14ac:dyDescent="0.2">
      <c r="A5" s="7" t="s">
        <v>3</v>
      </c>
      <c r="B5" s="46">
        <f>B35</f>
        <v>31.388951866110492</v>
      </c>
    </row>
    <row r="6" spans="1:2" x14ac:dyDescent="0.2">
      <c r="A6" s="4" t="s">
        <v>4</v>
      </c>
      <c r="B6" s="6"/>
    </row>
    <row r="7" spans="1:2" x14ac:dyDescent="0.2">
      <c r="A7" s="7" t="s">
        <v>2</v>
      </c>
      <c r="B7" s="47">
        <f>E33</f>
        <v>0.35249302291006068</v>
      </c>
    </row>
    <row r="8" spans="1:2" x14ac:dyDescent="0.2">
      <c r="A8" s="7" t="s">
        <v>3</v>
      </c>
      <c r="B8" s="47">
        <f>E34</f>
        <v>0.54750697708993934</v>
      </c>
    </row>
    <row r="9" spans="1:2" x14ac:dyDescent="0.2">
      <c r="A9" s="4" t="s">
        <v>5</v>
      </c>
      <c r="B9" s="6"/>
    </row>
    <row r="10" spans="1:2" x14ac:dyDescent="0.2">
      <c r="A10" s="7" t="s">
        <v>6</v>
      </c>
      <c r="B10" s="49">
        <f>H31</f>
        <v>139</v>
      </c>
    </row>
    <row r="11" spans="1:2" x14ac:dyDescent="0.2">
      <c r="A11" s="4" t="s">
        <v>7</v>
      </c>
      <c r="B11" s="6"/>
    </row>
    <row r="12" spans="1:2" x14ac:dyDescent="0.2">
      <c r="A12" s="14" t="s">
        <v>8</v>
      </c>
      <c r="B12" s="51">
        <f>K31</f>
        <v>271</v>
      </c>
    </row>
    <row r="17" spans="1:11" x14ac:dyDescent="0.2">
      <c r="A17" t="s">
        <v>87</v>
      </c>
      <c r="B17">
        <v>30</v>
      </c>
    </row>
    <row r="18" spans="1:11" x14ac:dyDescent="0.2">
      <c r="A18" t="s">
        <v>82</v>
      </c>
      <c r="B18">
        <v>7</v>
      </c>
    </row>
    <row r="20" spans="1:11" x14ac:dyDescent="0.2">
      <c r="A20" s="98" t="s">
        <v>88</v>
      </c>
      <c r="B20" s="98"/>
      <c r="D20" s="97" t="s">
        <v>84</v>
      </c>
      <c r="E20" s="97"/>
      <c r="G20" s="98" t="s">
        <v>85</v>
      </c>
      <c r="H20" s="98"/>
      <c r="J20" s="97" t="s">
        <v>86</v>
      </c>
      <c r="K20" s="97"/>
    </row>
    <row r="21" spans="1:11" x14ac:dyDescent="0.2">
      <c r="A21" s="101" t="s">
        <v>20</v>
      </c>
      <c r="B21" s="102"/>
      <c r="D21" s="101" t="s">
        <v>20</v>
      </c>
      <c r="E21" s="102"/>
      <c r="G21" s="101" t="s">
        <v>20</v>
      </c>
      <c r="H21" s="102"/>
      <c r="J21" s="101" t="s">
        <v>20</v>
      </c>
      <c r="K21" s="102"/>
    </row>
    <row r="22" spans="1:11" x14ac:dyDescent="0.2">
      <c r="A22" s="18" t="s">
        <v>49</v>
      </c>
      <c r="B22" s="30">
        <v>7</v>
      </c>
      <c r="D22" s="18" t="s">
        <v>6</v>
      </c>
      <c r="E22" s="30">
        <v>100</v>
      </c>
      <c r="G22" s="18" t="s">
        <v>23</v>
      </c>
      <c r="H22" s="30">
        <v>12</v>
      </c>
      <c r="J22" s="18" t="s">
        <v>70</v>
      </c>
      <c r="K22" s="30">
        <f>0.5</f>
        <v>0.5</v>
      </c>
    </row>
    <row r="23" spans="1:11" x14ac:dyDescent="0.2">
      <c r="A23" s="18" t="s">
        <v>24</v>
      </c>
      <c r="B23" s="30">
        <v>30</v>
      </c>
      <c r="D23" s="18" t="s">
        <v>39</v>
      </c>
      <c r="E23" s="30">
        <v>45</v>
      </c>
      <c r="G23" s="18" t="s">
        <v>65</v>
      </c>
      <c r="H23" s="30">
        <v>2</v>
      </c>
      <c r="J23" s="18" t="s">
        <v>65</v>
      </c>
      <c r="K23" s="30">
        <v>0.05</v>
      </c>
    </row>
    <row r="24" spans="1:11" x14ac:dyDescent="0.2">
      <c r="A24" s="18" t="s">
        <v>6</v>
      </c>
      <c r="B24" s="30">
        <v>100</v>
      </c>
      <c r="D24" s="18" t="s">
        <v>40</v>
      </c>
      <c r="E24" s="31">
        <v>0.95</v>
      </c>
      <c r="G24" s="18" t="s">
        <v>40</v>
      </c>
      <c r="H24" s="36">
        <v>0.95</v>
      </c>
      <c r="J24" s="18" t="s">
        <v>40</v>
      </c>
      <c r="K24" s="36">
        <v>0.9</v>
      </c>
    </row>
    <row r="25" spans="1:11" x14ac:dyDescent="0.2">
      <c r="A25" s="18" t="s">
        <v>40</v>
      </c>
      <c r="B25" s="36">
        <v>0.95</v>
      </c>
      <c r="D25" s="25"/>
      <c r="E25" s="32"/>
      <c r="G25" s="25"/>
      <c r="H25" s="37"/>
      <c r="J25" s="25"/>
      <c r="K25" s="37"/>
    </row>
    <row r="26" spans="1:11" x14ac:dyDescent="0.2">
      <c r="A26" s="25"/>
      <c r="B26" s="37"/>
      <c r="D26" s="19" t="s">
        <v>25</v>
      </c>
      <c r="E26" s="19"/>
      <c r="G26" s="95" t="s">
        <v>66</v>
      </c>
      <c r="H26" s="95"/>
      <c r="J26" s="99" t="s">
        <v>25</v>
      </c>
      <c r="K26" s="100"/>
    </row>
    <row r="27" spans="1:11" x14ac:dyDescent="0.2">
      <c r="A27" s="103" t="s">
        <v>25</v>
      </c>
      <c r="B27" s="104"/>
      <c r="D27" s="19" t="s">
        <v>35</v>
      </c>
      <c r="E27" s="19">
        <f>E23/E22</f>
        <v>0.45</v>
      </c>
      <c r="G27" s="19" t="s">
        <v>41</v>
      </c>
      <c r="H27" s="26">
        <f>_xlfn.NORM.S.INV((1 - H24)/2)</f>
        <v>-1.9599639845400536</v>
      </c>
      <c r="J27" s="19" t="s">
        <v>41</v>
      </c>
      <c r="K27" s="26">
        <f>_xlfn.NORM.S.INV((1 - K24)/2)</f>
        <v>-1.6448536269514726</v>
      </c>
    </row>
    <row r="28" spans="1:11" x14ac:dyDescent="0.2">
      <c r="A28" s="19" t="s">
        <v>26</v>
      </c>
      <c r="B28" s="26">
        <f>B22/SQRT(B24)</f>
        <v>0.7</v>
      </c>
      <c r="D28" s="19" t="s">
        <v>41</v>
      </c>
      <c r="E28" s="26">
        <f>_xlfn.NORM.S.INV((1 - E24)/2)</f>
        <v>-1.9599639845400536</v>
      </c>
      <c r="G28" s="19" t="s">
        <v>67</v>
      </c>
      <c r="H28" s="26">
        <f>((H27 * H22)/H23)^2</f>
        <v>138.29251754498847</v>
      </c>
      <c r="J28" s="19" t="s">
        <v>67</v>
      </c>
      <c r="K28" s="26">
        <f>(K27^2 * K22 * (1 - K22))/K23^2</f>
        <v>270.55434540954138</v>
      </c>
    </row>
    <row r="29" spans="1:11" x14ac:dyDescent="0.2">
      <c r="A29" s="19" t="s">
        <v>50</v>
      </c>
      <c r="B29" s="19">
        <f>B24 - 1</f>
        <v>99</v>
      </c>
      <c r="D29" s="19" t="s">
        <v>42</v>
      </c>
      <c r="E29" s="19">
        <f>SQRT(E27 * (1 - E27)/E22)</f>
        <v>4.9749371855331001E-2</v>
      </c>
      <c r="G29" s="17"/>
      <c r="H29" s="17"/>
      <c r="J29" s="17"/>
      <c r="K29" s="17"/>
    </row>
    <row r="30" spans="1:11" x14ac:dyDescent="0.2">
      <c r="A30" s="40" t="s">
        <v>51</v>
      </c>
      <c r="B30" s="26">
        <f>_xlfn.T.INV.2T(1-B25, B29)</f>
        <v>1.9842169515864165</v>
      </c>
      <c r="D30" s="19" t="s">
        <v>43</v>
      </c>
      <c r="E30" s="26">
        <f>ABS(E28 * E29)</f>
        <v>9.7506977089939342E-2</v>
      </c>
      <c r="G30" s="96" t="s">
        <v>68</v>
      </c>
      <c r="H30" s="96"/>
      <c r="J30" s="96" t="s">
        <v>68</v>
      </c>
      <c r="K30" s="96"/>
    </row>
    <row r="31" spans="1:11" x14ac:dyDescent="0.2">
      <c r="A31" s="19" t="s">
        <v>43</v>
      </c>
      <c r="B31" s="26">
        <f>B30 * B28</f>
        <v>1.3889518661104916</v>
      </c>
      <c r="D31" s="33"/>
      <c r="E31" s="33"/>
      <c r="G31" s="20" t="s">
        <v>69</v>
      </c>
      <c r="H31" s="48">
        <f>ROUNDUP(H28, 0)</f>
        <v>139</v>
      </c>
      <c r="J31" s="20" t="s">
        <v>69</v>
      </c>
      <c r="K31" s="48">
        <f>ROUNDUP(K28, 0)</f>
        <v>271</v>
      </c>
    </row>
    <row r="32" spans="1:11" x14ac:dyDescent="0.2">
      <c r="A32" s="33"/>
      <c r="B32" s="33"/>
      <c r="D32" s="76" t="s">
        <v>44</v>
      </c>
      <c r="E32" s="76"/>
    </row>
    <row r="33" spans="1:5" x14ac:dyDescent="0.2">
      <c r="A33" s="105" t="s">
        <v>44</v>
      </c>
      <c r="B33" s="106"/>
      <c r="D33" s="20" t="s">
        <v>45</v>
      </c>
      <c r="E33" s="22">
        <f>E27 - E30</f>
        <v>0.35249302291006068</v>
      </c>
    </row>
    <row r="34" spans="1:5" x14ac:dyDescent="0.2">
      <c r="A34" s="20" t="s">
        <v>45</v>
      </c>
      <c r="B34" s="41">
        <f>B23 - B31</f>
        <v>28.611048133889508</v>
      </c>
      <c r="D34" s="20" t="s">
        <v>46</v>
      </c>
      <c r="E34" s="22">
        <f>E27 + E30</f>
        <v>0.54750697708993934</v>
      </c>
    </row>
    <row r="35" spans="1:5" x14ac:dyDescent="0.2">
      <c r="A35" s="20" t="s">
        <v>46</v>
      </c>
      <c r="B35" s="41">
        <f>B23 + B31</f>
        <v>31.388951866110492</v>
      </c>
    </row>
  </sheetData>
  <mergeCells count="14">
    <mergeCell ref="A20:B20"/>
    <mergeCell ref="A21:B21"/>
    <mergeCell ref="A27:B27"/>
    <mergeCell ref="A33:B33"/>
    <mergeCell ref="J26:K26"/>
    <mergeCell ref="J30:K30"/>
    <mergeCell ref="J20:K20"/>
    <mergeCell ref="D21:E21"/>
    <mergeCell ref="G21:H21"/>
    <mergeCell ref="J21:K21"/>
    <mergeCell ref="D20:E20"/>
    <mergeCell ref="G20:H20"/>
    <mergeCell ref="G26:H26"/>
    <mergeCell ref="G30:H3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060C5-228F-471D-8759-BCED25325875}">
  <sheetPr>
    <tabColor rgb="FFFFFF00"/>
  </sheetPr>
  <dimension ref="A1:E27"/>
  <sheetViews>
    <sheetView workbookViewId="0">
      <selection activeCell="B24" sqref="B24"/>
    </sheetView>
  </sheetViews>
  <sheetFormatPr baseColWidth="10" defaultColWidth="8.83203125" defaultRowHeight="15" x14ac:dyDescent="0.2"/>
  <cols>
    <col min="1" max="1" width="31.1640625" customWidth="1"/>
    <col min="4" max="4" width="24.83203125" bestFit="1" customWidth="1"/>
    <col min="11" max="11" width="10.6640625" customWidth="1"/>
  </cols>
  <sheetData>
    <row r="1" spans="1:5" ht="16" thickBot="1" x14ac:dyDescent="0.25"/>
    <row r="2" spans="1:5" x14ac:dyDescent="0.2">
      <c r="A2" s="1" t="s">
        <v>80</v>
      </c>
      <c r="B2" s="3"/>
    </row>
    <row r="3" spans="1:5" x14ac:dyDescent="0.2">
      <c r="A3" s="7" t="s">
        <v>2</v>
      </c>
      <c r="B3" s="47">
        <f>B26</f>
        <v>102.03981766472894</v>
      </c>
    </row>
    <row r="4" spans="1:5" x14ac:dyDescent="0.2">
      <c r="A4" s="14" t="s">
        <v>3</v>
      </c>
      <c r="B4" s="53">
        <f>B27</f>
        <v>103.96018233527106</v>
      </c>
    </row>
    <row r="5" spans="1:5" x14ac:dyDescent="0.2">
      <c r="A5" s="71" t="s">
        <v>10</v>
      </c>
      <c r="B5" s="72"/>
    </row>
    <row r="6" spans="1:5" x14ac:dyDescent="0.2">
      <c r="A6" s="14" t="s">
        <v>6</v>
      </c>
      <c r="B6" s="51">
        <f>E24</f>
        <v>23</v>
      </c>
    </row>
    <row r="10" spans="1:5" x14ac:dyDescent="0.2">
      <c r="A10" t="s">
        <v>81</v>
      </c>
      <c r="B10">
        <v>103</v>
      </c>
    </row>
    <row r="11" spans="1:5" x14ac:dyDescent="0.2">
      <c r="A11" t="s">
        <v>89</v>
      </c>
      <c r="B11">
        <v>1.2</v>
      </c>
    </row>
    <row r="13" spans="1:5" x14ac:dyDescent="0.2">
      <c r="A13" s="98" t="s">
        <v>88</v>
      </c>
      <c r="B13" s="98"/>
      <c r="D13" s="98" t="s">
        <v>84</v>
      </c>
      <c r="E13" s="98"/>
    </row>
    <row r="14" spans="1:5" x14ac:dyDescent="0.2">
      <c r="A14" s="34" t="s">
        <v>20</v>
      </c>
      <c r="B14" s="35"/>
      <c r="D14" s="34" t="s">
        <v>20</v>
      </c>
      <c r="E14" s="35"/>
    </row>
    <row r="15" spans="1:5" x14ac:dyDescent="0.2">
      <c r="A15" s="18" t="s">
        <v>23</v>
      </c>
      <c r="B15" s="30">
        <v>1.2</v>
      </c>
      <c r="D15" s="18" t="s">
        <v>23</v>
      </c>
      <c r="E15" s="30">
        <v>1.2</v>
      </c>
    </row>
    <row r="16" spans="1:5" x14ac:dyDescent="0.2">
      <c r="A16" s="18" t="s">
        <v>24</v>
      </c>
      <c r="B16" s="30">
        <v>103</v>
      </c>
      <c r="D16" s="18" t="s">
        <v>65</v>
      </c>
      <c r="E16" s="30">
        <v>0.5</v>
      </c>
    </row>
    <row r="17" spans="1:5" x14ac:dyDescent="0.2">
      <c r="A17" s="18" t="s">
        <v>6</v>
      </c>
      <c r="B17" s="30">
        <v>6</v>
      </c>
      <c r="D17" s="18" t="s">
        <v>40</v>
      </c>
      <c r="E17" s="36">
        <v>0.95</v>
      </c>
    </row>
    <row r="18" spans="1:5" x14ac:dyDescent="0.2">
      <c r="A18" s="18" t="s">
        <v>40</v>
      </c>
      <c r="B18" s="36">
        <v>0.95</v>
      </c>
      <c r="D18" s="25"/>
      <c r="E18" s="37"/>
    </row>
    <row r="19" spans="1:5" x14ac:dyDescent="0.2">
      <c r="A19" s="25"/>
      <c r="B19" s="37"/>
      <c r="D19" s="95" t="s">
        <v>66</v>
      </c>
      <c r="E19" s="95"/>
    </row>
    <row r="20" spans="1:5" x14ac:dyDescent="0.2">
      <c r="A20" s="95" t="s">
        <v>25</v>
      </c>
      <c r="B20" s="95"/>
      <c r="D20" s="19" t="s">
        <v>41</v>
      </c>
      <c r="E20" s="26">
        <f>_xlfn.NORM.S.INV((1 - E17)/2)</f>
        <v>-1.9599639845400536</v>
      </c>
    </row>
    <row r="21" spans="1:5" x14ac:dyDescent="0.2">
      <c r="A21" s="19" t="s">
        <v>26</v>
      </c>
      <c r="B21" s="19">
        <f>B15/SQRT(B17)</f>
        <v>0.48989794855663565</v>
      </c>
      <c r="D21" s="19" t="s">
        <v>67</v>
      </c>
      <c r="E21" s="26">
        <f>((E20 * E15)/E16)^2</f>
        <v>22.126802807198153</v>
      </c>
    </row>
    <row r="22" spans="1:5" x14ac:dyDescent="0.2">
      <c r="A22" s="19" t="s">
        <v>41</v>
      </c>
      <c r="B22" s="26">
        <f>_xlfn.NORM.S.INV((1 - B18)/2)</f>
        <v>-1.9599639845400536</v>
      </c>
      <c r="D22" s="17"/>
      <c r="E22" s="17"/>
    </row>
    <row r="23" spans="1:5" x14ac:dyDescent="0.2">
      <c r="A23" s="19" t="s">
        <v>43</v>
      </c>
      <c r="B23" s="26">
        <f>_xlfn.CONFIDENCE.NORM(1-B18, B15, B17)</f>
        <v>0.96018233527106178</v>
      </c>
      <c r="D23" s="96" t="s">
        <v>68</v>
      </c>
      <c r="E23" s="96"/>
    </row>
    <row r="24" spans="1:5" x14ac:dyDescent="0.2">
      <c r="A24" s="17"/>
      <c r="B24" s="17"/>
      <c r="D24" s="20" t="s">
        <v>69</v>
      </c>
      <c r="E24" s="48">
        <f>ROUNDUP(E21, 0)</f>
        <v>23</v>
      </c>
    </row>
    <row r="25" spans="1:5" x14ac:dyDescent="0.2">
      <c r="A25" s="96" t="s">
        <v>44</v>
      </c>
      <c r="B25" s="96"/>
    </row>
    <row r="26" spans="1:5" x14ac:dyDescent="0.2">
      <c r="A26" s="20" t="s">
        <v>45</v>
      </c>
      <c r="B26" s="22">
        <f>B16 - B23</f>
        <v>102.03981766472894</v>
      </c>
    </row>
    <row r="27" spans="1:5" x14ac:dyDescent="0.2">
      <c r="A27" s="20" t="s">
        <v>46</v>
      </c>
      <c r="B27" s="22">
        <f>B16 + B23</f>
        <v>103.96018233527106</v>
      </c>
    </row>
  </sheetData>
  <mergeCells count="6">
    <mergeCell ref="A13:B13"/>
    <mergeCell ref="A20:B20"/>
    <mergeCell ref="A25:B25"/>
    <mergeCell ref="D13:E13"/>
    <mergeCell ref="D19:E19"/>
    <mergeCell ref="D23:E2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C6651-9EF3-4570-8AC2-9FA30BBB99B3}">
  <sheetPr>
    <tabColor rgb="FFFFFF00"/>
  </sheetPr>
  <dimension ref="A1:L56"/>
  <sheetViews>
    <sheetView zoomScale="112" workbookViewId="0">
      <selection activeCell="E18" sqref="E18"/>
    </sheetView>
  </sheetViews>
  <sheetFormatPr baseColWidth="10" defaultColWidth="8.83203125" defaultRowHeight="15" x14ac:dyDescent="0.2"/>
  <cols>
    <col min="1" max="1" width="8.83203125" style="83"/>
    <col min="2" max="2" width="24.5" style="83" customWidth="1"/>
    <col min="3" max="3" width="38.83203125" style="83" customWidth="1"/>
    <col min="4" max="4" width="8.83203125" style="83"/>
    <col min="5" max="5" width="21.83203125" style="83" bestFit="1" customWidth="1"/>
    <col min="6" max="6" width="8.83203125" style="83"/>
    <col min="7" max="7" width="23" style="83" bestFit="1" customWidth="1"/>
    <col min="8" max="8" width="7.1640625" style="83" bestFit="1" customWidth="1"/>
    <col min="9" max="9" width="26" style="83" bestFit="1" customWidth="1"/>
    <col min="10" max="10" width="12.83203125" style="83" customWidth="1"/>
    <col min="11" max="11" width="22" style="83" bestFit="1" customWidth="1"/>
    <col min="12" max="16384" width="8.83203125" style="83"/>
  </cols>
  <sheetData>
    <row r="1" spans="1:3" x14ac:dyDescent="0.2">
      <c r="A1" s="77" t="s">
        <v>71</v>
      </c>
      <c r="B1" s="81"/>
      <c r="C1" s="82"/>
    </row>
    <row r="2" spans="1:3" x14ac:dyDescent="0.2">
      <c r="A2" s="84"/>
      <c r="B2" s="83" t="s">
        <v>12</v>
      </c>
      <c r="C2" s="78" t="s">
        <v>91</v>
      </c>
    </row>
    <row r="3" spans="1:3" x14ac:dyDescent="0.2">
      <c r="A3" s="84"/>
      <c r="B3" s="83" t="s">
        <v>13</v>
      </c>
      <c r="C3" s="78" t="s">
        <v>90</v>
      </c>
    </row>
    <row r="4" spans="1:3" x14ac:dyDescent="0.2">
      <c r="A4" s="84"/>
      <c r="B4" s="83" t="s">
        <v>18</v>
      </c>
      <c r="C4" s="78" t="s">
        <v>92</v>
      </c>
    </row>
    <row r="5" spans="1:3" x14ac:dyDescent="0.2">
      <c r="A5" s="84"/>
      <c r="B5" s="83" t="s">
        <v>72</v>
      </c>
      <c r="C5" s="79">
        <f>D44</f>
        <v>0</v>
      </c>
    </row>
    <row r="6" spans="1:3" x14ac:dyDescent="0.2">
      <c r="A6" s="84"/>
      <c r="B6" s="83" t="s">
        <v>14</v>
      </c>
      <c r="C6" s="79">
        <f>D49</f>
        <v>0</v>
      </c>
    </row>
    <row r="7" spans="1:3" x14ac:dyDescent="0.2">
      <c r="A7" s="84"/>
      <c r="B7" s="83" t="s">
        <v>15</v>
      </c>
      <c r="C7" s="78" t="s">
        <v>93</v>
      </c>
    </row>
    <row r="8" spans="1:3" x14ac:dyDescent="0.2">
      <c r="A8" s="85"/>
      <c r="B8" s="110" t="s">
        <v>57</v>
      </c>
      <c r="C8" s="112" t="s">
        <v>107</v>
      </c>
    </row>
    <row r="9" spans="1:3" ht="16" thickBot="1" x14ac:dyDescent="0.25">
      <c r="A9" s="86"/>
      <c r="B9" s="111"/>
      <c r="C9" s="113"/>
    </row>
    <row r="10" spans="1:3" ht="16" thickBot="1" x14ac:dyDescent="0.25"/>
    <row r="11" spans="1:3" x14ac:dyDescent="0.2">
      <c r="A11" s="77" t="s">
        <v>75</v>
      </c>
      <c r="B11" s="81"/>
      <c r="C11" s="82"/>
    </row>
    <row r="12" spans="1:3" x14ac:dyDescent="0.2">
      <c r="A12" s="84"/>
      <c r="B12" s="83" t="s">
        <v>12</v>
      </c>
      <c r="C12" s="78" t="s">
        <v>109</v>
      </c>
    </row>
    <row r="13" spans="1:3" x14ac:dyDescent="0.2">
      <c r="A13" s="84"/>
      <c r="B13" s="83" t="s">
        <v>13</v>
      </c>
      <c r="C13" s="78" t="s">
        <v>110</v>
      </c>
    </row>
    <row r="14" spans="1:3" x14ac:dyDescent="0.2">
      <c r="A14" s="84"/>
      <c r="B14" s="83" t="s">
        <v>72</v>
      </c>
      <c r="C14" s="79">
        <f>H29</f>
        <v>1.6666666666666661</v>
      </c>
    </row>
    <row r="15" spans="1:3" x14ac:dyDescent="0.2">
      <c r="A15" s="84"/>
      <c r="B15" s="83" t="s">
        <v>14</v>
      </c>
      <c r="C15" s="79">
        <f>H34</f>
        <v>9.5580704545629613E-2</v>
      </c>
    </row>
    <row r="16" spans="1:3" x14ac:dyDescent="0.2">
      <c r="A16" s="84"/>
      <c r="B16" s="83" t="s">
        <v>15</v>
      </c>
      <c r="C16" s="78" t="s">
        <v>93</v>
      </c>
    </row>
    <row r="17" spans="1:12" x14ac:dyDescent="0.2">
      <c r="A17" s="85"/>
      <c r="B17" s="110" t="s">
        <v>57</v>
      </c>
      <c r="C17" s="112" t="s">
        <v>96</v>
      </c>
    </row>
    <row r="18" spans="1:12" ht="16" thickBot="1" x14ac:dyDescent="0.25">
      <c r="A18" s="86"/>
      <c r="B18" s="111"/>
      <c r="C18" s="113"/>
    </row>
    <row r="19" spans="1:12" ht="16" thickBot="1" x14ac:dyDescent="0.25">
      <c r="E19" s="109" t="s">
        <v>88</v>
      </c>
      <c r="F19" s="109"/>
      <c r="G19" s="109" t="s">
        <v>84</v>
      </c>
      <c r="H19" s="109"/>
      <c r="I19" s="109" t="s">
        <v>85</v>
      </c>
      <c r="J19" s="109"/>
      <c r="K19" s="109" t="s">
        <v>86</v>
      </c>
      <c r="L19" s="109"/>
    </row>
    <row r="20" spans="1:12" x14ac:dyDescent="0.2">
      <c r="A20" s="87" t="s">
        <v>73</v>
      </c>
      <c r="B20" s="81" t="s">
        <v>72</v>
      </c>
      <c r="C20" s="80">
        <f>J30</f>
        <v>-2.5</v>
      </c>
      <c r="E20" s="107" t="s">
        <v>20</v>
      </c>
      <c r="F20" s="107"/>
      <c r="G20" s="107" t="s">
        <v>20</v>
      </c>
      <c r="H20" s="107"/>
      <c r="I20" s="107" t="s">
        <v>20</v>
      </c>
      <c r="J20" s="107"/>
      <c r="K20" s="107" t="s">
        <v>20</v>
      </c>
      <c r="L20" s="107"/>
    </row>
    <row r="21" spans="1:12" x14ac:dyDescent="0.2">
      <c r="A21" s="85"/>
      <c r="B21" s="83" t="s">
        <v>14</v>
      </c>
      <c r="C21" s="79">
        <f>J35</f>
        <v>0</v>
      </c>
      <c r="E21" s="18" t="s">
        <v>59</v>
      </c>
      <c r="F21" s="18">
        <v>100</v>
      </c>
      <c r="G21" s="18" t="s">
        <v>33</v>
      </c>
      <c r="H21" s="18">
        <v>0.1</v>
      </c>
      <c r="I21" s="18" t="s">
        <v>59</v>
      </c>
      <c r="J21" s="18">
        <v>100</v>
      </c>
      <c r="K21" s="18" t="s">
        <v>33</v>
      </c>
      <c r="L21" s="18">
        <v>0.1</v>
      </c>
    </row>
    <row r="22" spans="1:12" x14ac:dyDescent="0.2">
      <c r="A22" s="85"/>
      <c r="B22" s="83" t="s">
        <v>15</v>
      </c>
      <c r="C22" s="78" t="s">
        <v>94</v>
      </c>
      <c r="E22" s="18" t="s">
        <v>22</v>
      </c>
      <c r="F22" s="18">
        <v>0.05</v>
      </c>
      <c r="G22" s="18" t="s">
        <v>22</v>
      </c>
      <c r="H22" s="18">
        <v>0.05</v>
      </c>
      <c r="I22" s="18" t="s">
        <v>22</v>
      </c>
      <c r="J22" s="18">
        <v>0.05</v>
      </c>
      <c r="K22" s="18" t="s">
        <v>22</v>
      </c>
      <c r="L22" s="18">
        <v>0.05</v>
      </c>
    </row>
    <row r="23" spans="1:12" x14ac:dyDescent="0.2">
      <c r="A23" s="85"/>
      <c r="B23" s="110" t="s">
        <v>57</v>
      </c>
      <c r="C23" s="112" t="s">
        <v>95</v>
      </c>
      <c r="E23" s="18" t="s">
        <v>6</v>
      </c>
      <c r="F23" s="18">
        <v>100</v>
      </c>
      <c r="G23" s="18" t="s">
        <v>34</v>
      </c>
      <c r="H23" s="18">
        <v>15</v>
      </c>
      <c r="I23" s="18" t="s">
        <v>6</v>
      </c>
      <c r="J23" s="18">
        <v>100</v>
      </c>
      <c r="K23" s="18" t="s">
        <v>34</v>
      </c>
      <c r="L23" s="18">
        <v>14</v>
      </c>
    </row>
    <row r="24" spans="1:12" ht="16" thickBot="1" x14ac:dyDescent="0.25">
      <c r="A24" s="86"/>
      <c r="B24" s="111"/>
      <c r="C24" s="113"/>
      <c r="E24" s="18" t="s">
        <v>24</v>
      </c>
      <c r="F24" s="18">
        <v>97</v>
      </c>
      <c r="G24" s="18" t="s">
        <v>6</v>
      </c>
      <c r="H24" s="18">
        <v>100</v>
      </c>
      <c r="I24" s="18" t="s">
        <v>24</v>
      </c>
      <c r="J24" s="18">
        <v>95</v>
      </c>
      <c r="K24" s="18" t="s">
        <v>6</v>
      </c>
      <c r="L24" s="18">
        <v>100</v>
      </c>
    </row>
    <row r="25" spans="1:12" ht="16" thickBot="1" x14ac:dyDescent="0.25">
      <c r="E25" s="18" t="s">
        <v>49</v>
      </c>
      <c r="F25" s="18">
        <v>20</v>
      </c>
      <c r="G25" s="25"/>
      <c r="H25" s="25"/>
      <c r="I25" s="18" t="s">
        <v>49</v>
      </c>
      <c r="J25" s="18">
        <v>20</v>
      </c>
      <c r="K25" s="25"/>
      <c r="L25" s="25"/>
    </row>
    <row r="26" spans="1:12" x14ac:dyDescent="0.2">
      <c r="A26" s="87" t="s">
        <v>74</v>
      </c>
      <c r="B26" s="81" t="s">
        <v>14</v>
      </c>
      <c r="C26" s="80">
        <f>L34</f>
        <v>0.18242243945173553</v>
      </c>
      <c r="E26" s="25"/>
      <c r="F26" s="25"/>
      <c r="G26" s="95" t="s">
        <v>25</v>
      </c>
      <c r="H26" s="95"/>
      <c r="I26" s="25"/>
      <c r="J26" s="25"/>
      <c r="K26" s="95" t="s">
        <v>25</v>
      </c>
      <c r="L26" s="95"/>
    </row>
    <row r="27" spans="1:12" x14ac:dyDescent="0.2">
      <c r="A27" s="85"/>
      <c r="B27" s="83" t="s">
        <v>15</v>
      </c>
      <c r="C27" s="78" t="s">
        <v>93</v>
      </c>
      <c r="E27" s="95" t="s">
        <v>25</v>
      </c>
      <c r="F27" s="95"/>
      <c r="G27" s="19" t="s">
        <v>35</v>
      </c>
      <c r="H27" s="26">
        <f>H23/H24</f>
        <v>0.15</v>
      </c>
      <c r="I27" s="95" t="s">
        <v>25</v>
      </c>
      <c r="J27" s="95"/>
      <c r="K27" s="19" t="s">
        <v>35</v>
      </c>
      <c r="L27" s="26">
        <f>L23/L24</f>
        <v>0.14000000000000001</v>
      </c>
    </row>
    <row r="28" spans="1:12" x14ac:dyDescent="0.2">
      <c r="A28" s="85"/>
      <c r="B28" s="110" t="s">
        <v>57</v>
      </c>
      <c r="C28" s="112" t="s">
        <v>97</v>
      </c>
      <c r="E28" s="19" t="s">
        <v>26</v>
      </c>
      <c r="F28" s="26">
        <f>F25/SQRT(F23)</f>
        <v>2</v>
      </c>
      <c r="G28" s="19" t="s">
        <v>36</v>
      </c>
      <c r="H28" s="26">
        <f>SQRT(H21 * (1 - H21)/H24)</f>
        <v>3.0000000000000002E-2</v>
      </c>
      <c r="I28" s="19" t="s">
        <v>26</v>
      </c>
      <c r="J28" s="26">
        <f>J25/SQRT(J23)</f>
        <v>2</v>
      </c>
      <c r="K28" s="19" t="s">
        <v>36</v>
      </c>
      <c r="L28" s="26">
        <f>SQRT(L21 * (1 - L21)/L24)</f>
        <v>3.0000000000000002E-2</v>
      </c>
    </row>
    <row r="29" spans="1:12" ht="16" thickBot="1" x14ac:dyDescent="0.25">
      <c r="A29" s="86"/>
      <c r="B29" s="111"/>
      <c r="C29" s="113"/>
      <c r="E29" s="19" t="s">
        <v>50</v>
      </c>
      <c r="F29" s="19">
        <f>F23 - 1</f>
        <v>99</v>
      </c>
      <c r="G29" s="20" t="s">
        <v>27</v>
      </c>
      <c r="H29" s="22">
        <f>(H27 - H21)/H28</f>
        <v>1.6666666666666661</v>
      </c>
      <c r="I29" s="19" t="s">
        <v>50</v>
      </c>
      <c r="J29" s="19">
        <f>J23 - 1</f>
        <v>99</v>
      </c>
      <c r="K29" s="20" t="s">
        <v>27</v>
      </c>
      <c r="L29" s="22">
        <f>(L27 - L21)/L28</f>
        <v>1.3333333333333335</v>
      </c>
    </row>
    <row r="30" spans="1:12" x14ac:dyDescent="0.2">
      <c r="E30" s="23" t="s">
        <v>60</v>
      </c>
      <c r="F30" s="22">
        <f>(F24 - F21)/F28</f>
        <v>-1.5</v>
      </c>
      <c r="G30" s="25"/>
      <c r="H30" s="25"/>
      <c r="I30" s="23" t="s">
        <v>60</v>
      </c>
      <c r="J30" s="22">
        <f>(J24 - J21)/J28</f>
        <v>-2.5</v>
      </c>
      <c r="K30" s="25"/>
      <c r="L30" s="25"/>
    </row>
    <row r="31" spans="1:12" x14ac:dyDescent="0.2">
      <c r="E31" s="42"/>
      <c r="F31" s="42"/>
      <c r="G31" s="108" t="s">
        <v>28</v>
      </c>
      <c r="H31" s="108"/>
      <c r="I31" s="42"/>
      <c r="J31" s="42"/>
      <c r="K31" s="108" t="s">
        <v>28</v>
      </c>
      <c r="L31" s="108"/>
    </row>
    <row r="32" spans="1:12" x14ac:dyDescent="0.2">
      <c r="E32" s="21" t="s">
        <v>53</v>
      </c>
      <c r="F32" s="21"/>
      <c r="G32" s="20" t="s">
        <v>29</v>
      </c>
      <c r="H32" s="22">
        <f>_xlfn.NORM.S.INV(H22/2)</f>
        <v>-1.9599639845400538</v>
      </c>
      <c r="I32" s="21" t="s">
        <v>53</v>
      </c>
      <c r="J32" s="21"/>
      <c r="K32" s="20" t="s">
        <v>29</v>
      </c>
      <c r="L32" s="22">
        <f>_xlfn.NORM.S.INV(L22/2)</f>
        <v>-1.9599639845400538</v>
      </c>
    </row>
    <row r="33" spans="3:12" x14ac:dyDescent="0.2">
      <c r="E33" s="20" t="s">
        <v>29</v>
      </c>
      <c r="F33" s="22">
        <f>-_xlfn.T.INV.2T(2*F22, F29)</f>
        <v>-1.6603911560169928</v>
      </c>
      <c r="G33" s="20" t="s">
        <v>37</v>
      </c>
      <c r="H33" s="22">
        <f>_xlfn.NORM.S.INV(1 - H22/2)</f>
        <v>1.9599639845400536</v>
      </c>
      <c r="I33" s="20" t="s">
        <v>29</v>
      </c>
      <c r="J33" s="22">
        <f>-_xlfn.T.INV.2T(2*J22, J29)</f>
        <v>-1.6603911560169928</v>
      </c>
      <c r="K33" s="20" t="s">
        <v>37</v>
      </c>
      <c r="L33" s="22">
        <f>_xlfn.NORM.S.INV(1 - L22/2)</f>
        <v>1.9599639845400536</v>
      </c>
    </row>
    <row r="34" spans="3:12" x14ac:dyDescent="0.2">
      <c r="C34" s="129"/>
      <c r="D34" s="129"/>
      <c r="E34" s="125" t="s">
        <v>31</v>
      </c>
      <c r="F34" s="22">
        <f>IF(F30 &lt; 0, F37, F38)</f>
        <v>6.8398408857986481E-2</v>
      </c>
      <c r="G34" s="23" t="s">
        <v>31</v>
      </c>
      <c r="H34" s="22">
        <f>2 * (1 - _xlfn.NORM.S.DIST(ABS(H29), TRUE))</f>
        <v>9.5580704545629613E-2</v>
      </c>
      <c r="I34" s="125" t="s">
        <v>31</v>
      </c>
      <c r="J34" s="22">
        <f>IF(J30 &lt; 0, J37, J38)</f>
        <v>7.031298460574536E-3</v>
      </c>
      <c r="K34" s="23" t="s">
        <v>31</v>
      </c>
      <c r="L34" s="22">
        <f>2 * (1 - _xlfn.NORM.S.DIST(ABS(L29), TRUE))</f>
        <v>0.18242243945173553</v>
      </c>
    </row>
    <row r="35" spans="3:12" x14ac:dyDescent="0.2">
      <c r="C35" s="130"/>
      <c r="D35" s="130"/>
      <c r="E35" s="126" t="str">
        <f>IF(F34 &lt; F22,"Reject the null hypothesis", "Do not reject the null hypothesis")</f>
        <v>Do not reject the null hypothesis</v>
      </c>
      <c r="F35" s="24"/>
      <c r="G35" s="24" t="str">
        <f>IF(H34 &lt; H22,"Reject the null hypothesis", "Do not reject the null hypothesis")</f>
        <v>Do not reject the null hypothesis</v>
      </c>
      <c r="H35" s="24"/>
      <c r="I35" s="126" t="str">
        <f>IF(J34 &lt; J22,"Reject the null hypothesis", "Do not reject the null hypothesis")</f>
        <v>Reject the null hypothesis</v>
      </c>
      <c r="J35" s="24"/>
      <c r="K35" s="24" t="str">
        <f>IF(L34 &lt; L22,"Reject the null hypothesis", "Do not reject the null hypothesis")</f>
        <v>Do not reject the null hypothesis</v>
      </c>
      <c r="L35" s="24"/>
    </row>
    <row r="36" spans="3:12" x14ac:dyDescent="0.2">
      <c r="C36" s="130"/>
      <c r="D36" s="130"/>
      <c r="E36" s="127" t="s">
        <v>61</v>
      </c>
      <c r="F36" s="44"/>
      <c r="I36" s="127" t="s">
        <v>61</v>
      </c>
      <c r="J36" s="44"/>
    </row>
    <row r="37" spans="3:12" x14ac:dyDescent="0.2">
      <c r="C37" s="130"/>
      <c r="D37" s="130"/>
      <c r="E37" s="128" t="s">
        <v>62</v>
      </c>
      <c r="F37" s="26">
        <f>_xlfn.T.DIST.RT(ABS(F30), F29)</f>
        <v>6.8398408857986481E-2</v>
      </c>
      <c r="I37" s="128" t="s">
        <v>62</v>
      </c>
      <c r="J37" s="26">
        <f>_xlfn.T.DIST.RT(ABS(J30), J29)</f>
        <v>7.031298460574536E-3</v>
      </c>
    </row>
    <row r="38" spans="3:12" x14ac:dyDescent="0.2">
      <c r="C38" s="130"/>
      <c r="D38" s="130"/>
      <c r="E38" s="128" t="s">
        <v>63</v>
      </c>
      <c r="F38" s="26">
        <f>1 - F37</f>
        <v>0.93160159114201346</v>
      </c>
      <c r="I38" s="128" t="s">
        <v>63</v>
      </c>
      <c r="J38" s="26">
        <f>1 - J37</f>
        <v>0.99296870153942551</v>
      </c>
    </row>
    <row r="39" spans="3:12" x14ac:dyDescent="0.2">
      <c r="C39" s="130"/>
      <c r="D39" s="130"/>
    </row>
    <row r="40" spans="3:12" x14ac:dyDescent="0.2">
      <c r="C40" s="131"/>
      <c r="D40" s="131"/>
    </row>
    <row r="41" spans="3:12" x14ac:dyDescent="0.2">
      <c r="C41" s="134"/>
      <c r="D41" s="134"/>
      <c r="I41" s="17"/>
      <c r="J41" s="17"/>
      <c r="K41" s="17"/>
    </row>
    <row r="42" spans="3:12" x14ac:dyDescent="0.2">
      <c r="C42" s="130"/>
      <c r="D42" s="132"/>
      <c r="I42" s="25"/>
      <c r="J42" s="17"/>
      <c r="K42" s="17"/>
    </row>
    <row r="43" spans="3:12" x14ac:dyDescent="0.2">
      <c r="C43" s="130"/>
      <c r="D43" s="130"/>
      <c r="I43" s="25"/>
      <c r="J43" s="17"/>
      <c r="K43" s="17"/>
    </row>
    <row r="44" spans="3:12" x14ac:dyDescent="0.2">
      <c r="C44" s="133"/>
      <c r="D44" s="132"/>
      <c r="I44" s="25"/>
      <c r="J44" s="17"/>
      <c r="K44" s="17"/>
    </row>
    <row r="45" spans="3:12" x14ac:dyDescent="0.2">
      <c r="C45" s="130"/>
      <c r="D45" s="130"/>
      <c r="I45" s="25"/>
      <c r="J45" s="17"/>
      <c r="K45" s="17"/>
    </row>
    <row r="46" spans="3:12" x14ac:dyDescent="0.2">
      <c r="C46" s="131"/>
      <c r="D46" s="131"/>
      <c r="I46" s="25"/>
      <c r="J46" s="17"/>
      <c r="K46" s="17"/>
    </row>
    <row r="47" spans="3:12" x14ac:dyDescent="0.2">
      <c r="C47" s="130"/>
      <c r="D47" s="132"/>
      <c r="I47" s="25"/>
      <c r="J47" s="17"/>
      <c r="K47" s="17"/>
    </row>
    <row r="48" spans="3:12" x14ac:dyDescent="0.2">
      <c r="C48" s="130"/>
      <c r="D48" s="132"/>
    </row>
    <row r="49" spans="3:11" x14ac:dyDescent="0.2">
      <c r="C49" s="133"/>
      <c r="D49" s="132"/>
    </row>
    <row r="50" spans="3:11" x14ac:dyDescent="0.2">
      <c r="C50" s="130"/>
      <c r="D50" s="130"/>
    </row>
    <row r="51" spans="3:11" x14ac:dyDescent="0.2">
      <c r="I51" s="43"/>
      <c r="J51" s="17"/>
    </row>
    <row r="52" spans="3:11" x14ac:dyDescent="0.2">
      <c r="I52" s="17"/>
      <c r="J52" s="17"/>
      <c r="K52" s="17"/>
    </row>
    <row r="53" spans="3:11" x14ac:dyDescent="0.2">
      <c r="I53" s="42"/>
      <c r="J53" s="17"/>
      <c r="K53" s="17"/>
    </row>
    <row r="54" spans="3:11" x14ac:dyDescent="0.2">
      <c r="I54" s="25"/>
      <c r="J54" s="17"/>
      <c r="K54" s="17"/>
    </row>
    <row r="55" spans="3:11" x14ac:dyDescent="0.2">
      <c r="I55" s="25"/>
      <c r="J55" s="17"/>
      <c r="K55" s="17"/>
    </row>
    <row r="56" spans="3:11" x14ac:dyDescent="0.2">
      <c r="I56" s="25"/>
      <c r="J56" s="17"/>
      <c r="K56" s="17"/>
    </row>
  </sheetData>
  <mergeCells count="23">
    <mergeCell ref="E27:F27"/>
    <mergeCell ref="B28:B29"/>
    <mergeCell ref="C28:C29"/>
    <mergeCell ref="B23:B24"/>
    <mergeCell ref="C23:C24"/>
    <mergeCell ref="B8:B9"/>
    <mergeCell ref="C8:C9"/>
    <mergeCell ref="B17:B18"/>
    <mergeCell ref="C17:C18"/>
    <mergeCell ref="E19:F19"/>
    <mergeCell ref="G19:H19"/>
    <mergeCell ref="I19:J19"/>
    <mergeCell ref="K19:L19"/>
    <mergeCell ref="C34:D34"/>
    <mergeCell ref="K20:L20"/>
    <mergeCell ref="K26:L26"/>
    <mergeCell ref="K31:L31"/>
    <mergeCell ref="G20:H20"/>
    <mergeCell ref="G26:H26"/>
    <mergeCell ref="G31:H31"/>
    <mergeCell ref="I20:J20"/>
    <mergeCell ref="I27:J27"/>
    <mergeCell ref="E20:F20"/>
  </mergeCells>
  <dataValidations count="4">
    <dataValidation type="list" allowBlank="1" showInputMessage="1" showErrorMessage="1" sqref="C2:C3" xr:uid="{671975F0-5915-42C5-BC20-4044A9C8E7EC}">
      <formula1>"Xbar &lt; 100, Xbar &gt;= 100,  u &lt; 100, u &gt;= 100"</formula1>
    </dataValidation>
    <dataValidation type="list" allowBlank="1" showInputMessage="1" showErrorMessage="1" sqref="C7 C16 C22 C27" xr:uid="{78B1D764-3FB4-4731-BDAA-EB091673DBCD}">
      <formula1>"Do Not reject the Null Hypothesis, Reject the Null Hypothesis"</formula1>
    </dataValidation>
    <dataValidation type="list" allowBlank="1" showInputMessage="1" showErrorMessage="1" sqref="C4" xr:uid="{023B8DD2-7010-4EE9-B8B6-4F4A0443CC4F}">
      <formula1>"Z, t"</formula1>
    </dataValidation>
    <dataValidation type="list" allowBlank="1" showInputMessage="1" showErrorMessage="1" sqref="C12:C13" xr:uid="{C5017869-8953-44A5-B60B-F2717CEBBA04}">
      <formula1>"p &lt;= .1, p &gt; .1,  π &lt;= .1, π &gt; .1"</formula1>
    </dataValidation>
  </dataValidation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5E488-B4C6-4DB8-875C-9409F89A5660}">
  <sheetPr>
    <tabColor rgb="FFFFFF00"/>
  </sheetPr>
  <dimension ref="A1:I30"/>
  <sheetViews>
    <sheetView tabSelected="1" topLeftCell="C1" workbookViewId="0">
      <selection activeCell="L32" sqref="L32"/>
    </sheetView>
  </sheetViews>
  <sheetFormatPr baseColWidth="10" defaultColWidth="8.83203125" defaultRowHeight="15" x14ac:dyDescent="0.2"/>
  <cols>
    <col min="2" max="2" width="24.5" customWidth="1"/>
    <col min="3" max="3" width="30.6640625" customWidth="1"/>
    <col min="5" max="5" width="22" bestFit="1" customWidth="1"/>
    <col min="6" max="6" width="7.6640625" bestFit="1" customWidth="1"/>
    <col min="7" max="8" width="14" bestFit="1" customWidth="1"/>
    <col min="9" max="9" width="6.6640625" bestFit="1" customWidth="1"/>
  </cols>
  <sheetData>
    <row r="1" spans="1:9" ht="16" thickBot="1" x14ac:dyDescent="0.25">
      <c r="A1" s="1"/>
      <c r="B1" s="2"/>
      <c r="C1" s="3"/>
    </row>
    <row r="2" spans="1:9" x14ac:dyDescent="0.2">
      <c r="A2" s="9" t="s">
        <v>78</v>
      </c>
      <c r="B2" s="2" t="s">
        <v>12</v>
      </c>
      <c r="C2" s="70" t="s">
        <v>98</v>
      </c>
    </row>
    <row r="3" spans="1:9" x14ac:dyDescent="0.2">
      <c r="A3" s="4"/>
      <c r="B3" t="s">
        <v>13</v>
      </c>
      <c r="C3" s="5" t="s">
        <v>99</v>
      </c>
    </row>
    <row r="4" spans="1:9" x14ac:dyDescent="0.2">
      <c r="A4" s="4"/>
      <c r="B4" t="s">
        <v>56</v>
      </c>
      <c r="C4" s="47">
        <f>F23</f>
        <v>-1.2649110640673511</v>
      </c>
    </row>
    <row r="5" spans="1:9" x14ac:dyDescent="0.2">
      <c r="A5" s="4"/>
      <c r="B5" t="s">
        <v>14</v>
      </c>
      <c r="C5" s="47">
        <f>F28</f>
        <v>0.20590321073206841</v>
      </c>
    </row>
    <row r="6" spans="1:9" x14ac:dyDescent="0.2">
      <c r="A6" s="4"/>
      <c r="B6" t="s">
        <v>15</v>
      </c>
      <c r="C6" s="5" t="s">
        <v>93</v>
      </c>
    </row>
    <row r="7" spans="1:9" ht="15" customHeight="1" x14ac:dyDescent="0.2">
      <c r="B7" s="119" t="s">
        <v>57</v>
      </c>
      <c r="C7" s="116" t="s">
        <v>100</v>
      </c>
    </row>
    <row r="8" spans="1:9" ht="16" thickBot="1" x14ac:dyDescent="0.25">
      <c r="A8" s="8"/>
      <c r="B8" s="119"/>
      <c r="C8" s="117"/>
    </row>
    <row r="9" spans="1:9" ht="16" thickBot="1" x14ac:dyDescent="0.25">
      <c r="B9" s="120"/>
      <c r="C9" s="118"/>
    </row>
    <row r="10" spans="1:9" x14ac:dyDescent="0.2">
      <c r="A10" s="68" t="s">
        <v>76</v>
      </c>
      <c r="B10" s="2" t="s">
        <v>56</v>
      </c>
      <c r="C10" s="69">
        <f>H23</f>
        <v>-3.1622776601683786</v>
      </c>
    </row>
    <row r="11" spans="1:9" x14ac:dyDescent="0.2">
      <c r="A11" s="7"/>
      <c r="B11" t="s">
        <v>14</v>
      </c>
      <c r="C11" s="47">
        <f>H28</f>
        <v>1.5654022580025018E-3</v>
      </c>
    </row>
    <row r="12" spans="1:9" x14ac:dyDescent="0.2">
      <c r="A12" s="7"/>
      <c r="B12" t="s">
        <v>15</v>
      </c>
      <c r="C12" s="5" t="s">
        <v>94</v>
      </c>
    </row>
    <row r="13" spans="1:9" x14ac:dyDescent="0.2">
      <c r="A13" s="7"/>
      <c r="C13" s="6"/>
      <c r="E13" s="98" t="s">
        <v>88</v>
      </c>
      <c r="F13" s="98"/>
      <c r="G13" s="97" t="s">
        <v>84</v>
      </c>
      <c r="H13" s="97"/>
    </row>
    <row r="14" spans="1:9" x14ac:dyDescent="0.2">
      <c r="A14" s="7"/>
      <c r="B14" s="88" t="s">
        <v>57</v>
      </c>
      <c r="C14" s="114" t="s">
        <v>101</v>
      </c>
      <c r="E14" s="107" t="s">
        <v>20</v>
      </c>
      <c r="F14" s="107"/>
      <c r="G14" s="107" t="s">
        <v>20</v>
      </c>
      <c r="H14" s="107"/>
      <c r="I14" s="74"/>
    </row>
    <row r="15" spans="1:9" ht="16" thickBot="1" x14ac:dyDescent="0.25">
      <c r="A15" s="8"/>
      <c r="B15" s="93"/>
      <c r="C15" s="115"/>
      <c r="E15" s="18" t="s">
        <v>33</v>
      </c>
      <c r="F15" s="18">
        <v>0.5</v>
      </c>
      <c r="G15" s="18" t="s">
        <v>33</v>
      </c>
      <c r="H15" s="18">
        <v>0.5</v>
      </c>
      <c r="I15" s="74"/>
    </row>
    <row r="16" spans="1:9" x14ac:dyDescent="0.2">
      <c r="E16" s="18" t="s">
        <v>22</v>
      </c>
      <c r="F16" s="18">
        <v>0.05</v>
      </c>
      <c r="G16" s="18" t="s">
        <v>22</v>
      </c>
      <c r="H16" s="18">
        <v>0.05</v>
      </c>
      <c r="I16" s="74"/>
    </row>
    <row r="17" spans="5:9" x14ac:dyDescent="0.2">
      <c r="E17" s="18" t="s">
        <v>34</v>
      </c>
      <c r="F17" s="18">
        <v>115</v>
      </c>
      <c r="G17" s="18" t="s">
        <v>34</v>
      </c>
      <c r="H17" s="18">
        <v>100</v>
      </c>
      <c r="I17" s="74"/>
    </row>
    <row r="18" spans="5:9" x14ac:dyDescent="0.2">
      <c r="E18" s="18" t="s">
        <v>6</v>
      </c>
      <c r="F18" s="18">
        <v>250</v>
      </c>
      <c r="G18" s="18" t="s">
        <v>6</v>
      </c>
      <c r="H18" s="18">
        <v>250</v>
      </c>
      <c r="I18" s="74"/>
    </row>
    <row r="19" spans="5:9" x14ac:dyDescent="0.2">
      <c r="E19" s="25"/>
      <c r="F19" s="25"/>
      <c r="G19" s="25"/>
      <c r="H19" s="25"/>
      <c r="I19" s="74"/>
    </row>
    <row r="20" spans="5:9" x14ac:dyDescent="0.2">
      <c r="E20" s="95" t="s">
        <v>25</v>
      </c>
      <c r="F20" s="95"/>
      <c r="G20" s="95" t="s">
        <v>25</v>
      </c>
      <c r="H20" s="95"/>
      <c r="I20" s="74"/>
    </row>
    <row r="21" spans="5:9" x14ac:dyDescent="0.2">
      <c r="E21" s="19" t="s">
        <v>35</v>
      </c>
      <c r="F21" s="26">
        <f>F17/F18</f>
        <v>0.46</v>
      </c>
      <c r="G21" s="19" t="s">
        <v>35</v>
      </c>
      <c r="H21" s="26">
        <f>H17/H18</f>
        <v>0.4</v>
      </c>
    </row>
    <row r="22" spans="5:9" x14ac:dyDescent="0.2">
      <c r="E22" s="19" t="s">
        <v>36</v>
      </c>
      <c r="F22" s="26">
        <f>SQRT(F15 * (1 - F15)/F18)</f>
        <v>3.1622776601683791E-2</v>
      </c>
      <c r="G22" s="19" t="s">
        <v>36</v>
      </c>
      <c r="H22" s="26">
        <f>SQRT(H15 * (1 - H15)/H18)</f>
        <v>3.1622776601683791E-2</v>
      </c>
    </row>
    <row r="23" spans="5:9" x14ac:dyDescent="0.2">
      <c r="E23" s="20" t="s">
        <v>27</v>
      </c>
      <c r="F23" s="22">
        <f>(F21 - F15)/F22</f>
        <v>-1.2649110640673511</v>
      </c>
      <c r="G23" s="20" t="s">
        <v>27</v>
      </c>
      <c r="H23" s="22">
        <f>(H21 - H15)/H22</f>
        <v>-3.1622776601683786</v>
      </c>
    </row>
    <row r="24" spans="5:9" x14ac:dyDescent="0.2">
      <c r="E24" s="25"/>
      <c r="F24" s="25"/>
      <c r="G24" s="25"/>
      <c r="H24" s="25"/>
      <c r="I24" s="74"/>
    </row>
    <row r="25" spans="5:9" x14ac:dyDescent="0.2">
      <c r="E25" s="108" t="s">
        <v>28</v>
      </c>
      <c r="F25" s="108"/>
      <c r="G25" s="108" t="s">
        <v>28</v>
      </c>
      <c r="H25" s="108"/>
      <c r="I25" s="74"/>
    </row>
    <row r="26" spans="5:9" x14ac:dyDescent="0.2">
      <c r="E26" s="20" t="s">
        <v>29</v>
      </c>
      <c r="F26" s="22">
        <f>_xlfn.NORM.S.INV(F16/2)</f>
        <v>-1.9599639845400538</v>
      </c>
      <c r="G26" s="20" t="s">
        <v>29</v>
      </c>
      <c r="H26" s="22">
        <f>_xlfn.NORM.S.INV(H16/2)</f>
        <v>-1.9599639845400538</v>
      </c>
      <c r="I26" s="74"/>
    </row>
    <row r="27" spans="5:9" x14ac:dyDescent="0.2">
      <c r="E27" s="20" t="s">
        <v>37</v>
      </c>
      <c r="F27" s="22">
        <f>_xlfn.NORM.S.INV(1 - F16/2)</f>
        <v>1.9599639845400536</v>
      </c>
      <c r="G27" s="20" t="s">
        <v>37</v>
      </c>
      <c r="H27" s="22">
        <f>_xlfn.NORM.S.INV(1 - H16/2)</f>
        <v>1.9599639845400536</v>
      </c>
      <c r="I27" s="74"/>
    </row>
    <row r="28" spans="5:9" x14ac:dyDescent="0.2">
      <c r="E28" s="23" t="s">
        <v>31</v>
      </c>
      <c r="F28" s="22">
        <f>2 * (1 - _xlfn.NORM.S.DIST(ABS(F23), TRUE))</f>
        <v>0.20590321073206841</v>
      </c>
      <c r="G28" s="23" t="s">
        <v>31</v>
      </c>
      <c r="H28" s="22">
        <f>2 * (1 - _xlfn.NORM.S.DIST(ABS(H23), TRUE))</f>
        <v>1.5654022580025018E-3</v>
      </c>
      <c r="I28" s="74"/>
    </row>
    <row r="29" spans="5:9" x14ac:dyDescent="0.2">
      <c r="E29" s="24" t="str">
        <f>IF(F28 &lt; F16,"Reject the null hypothesis", "Do not reject the null hypothesis")</f>
        <v>Do not reject the null hypothesis</v>
      </c>
      <c r="F29" s="24"/>
      <c r="G29" s="24" t="str">
        <f>IF(H28 &lt; H16,"Reject the null hypothesis", "Do not reject the null hypothesis")</f>
        <v>Reject the null hypothesis</v>
      </c>
      <c r="H29" s="24"/>
      <c r="I29" s="74"/>
    </row>
    <row r="30" spans="5:9" x14ac:dyDescent="0.2">
      <c r="E30" s="73"/>
      <c r="F30" s="73"/>
      <c r="G30" s="73"/>
      <c r="H30" s="73"/>
    </row>
  </sheetData>
  <mergeCells count="12">
    <mergeCell ref="B14:B15"/>
    <mergeCell ref="C14:C15"/>
    <mergeCell ref="E13:F13"/>
    <mergeCell ref="E14:F14"/>
    <mergeCell ref="C7:C9"/>
    <mergeCell ref="B7:B9"/>
    <mergeCell ref="G14:H14"/>
    <mergeCell ref="G20:H20"/>
    <mergeCell ref="G25:H25"/>
    <mergeCell ref="G13:H13"/>
    <mergeCell ref="E20:F20"/>
    <mergeCell ref="E25:F25"/>
  </mergeCells>
  <dataValidations count="1">
    <dataValidation type="list" allowBlank="1" showInputMessage="1" showErrorMessage="1" sqref="C6 C12" xr:uid="{9B52A7D1-497F-48C9-8C16-B529A477721F}">
      <formula1>"Do Not reject the Null Hypothesis, Reject the Null Hypothesis"</formula1>
    </dataValidation>
  </dataValidation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9D199-D5F3-4329-A232-C09D3C868483}">
  <sheetPr>
    <tabColor rgb="FFFFFF00"/>
  </sheetPr>
  <dimension ref="A1:K38"/>
  <sheetViews>
    <sheetView workbookViewId="0">
      <selection activeCell="G14" sqref="G14"/>
    </sheetView>
  </sheetViews>
  <sheetFormatPr baseColWidth="10" defaultColWidth="8.83203125" defaultRowHeight="15" x14ac:dyDescent="0.2"/>
  <cols>
    <col min="4" max="4" width="16.1640625" customWidth="1"/>
    <col min="5" max="5" width="26.6640625" bestFit="1" customWidth="1"/>
    <col min="7" max="7" width="21.83203125" bestFit="1" customWidth="1"/>
    <col min="8" max="8" width="12.1640625" bestFit="1" customWidth="1"/>
  </cols>
  <sheetData>
    <row r="1" spans="1:10" ht="16" thickBot="1" x14ac:dyDescent="0.25">
      <c r="A1" s="11" t="s">
        <v>17</v>
      </c>
    </row>
    <row r="2" spans="1:10" x14ac:dyDescent="0.2">
      <c r="A2" s="12">
        <v>1870</v>
      </c>
      <c r="C2" s="1" t="s">
        <v>79</v>
      </c>
      <c r="D2" s="2"/>
      <c r="E2" s="3"/>
    </row>
    <row r="3" spans="1:10" x14ac:dyDescent="0.2">
      <c r="A3" s="12">
        <v>1728</v>
      </c>
      <c r="C3" s="4"/>
      <c r="D3" t="s">
        <v>12</v>
      </c>
      <c r="E3" s="54" t="s">
        <v>104</v>
      </c>
    </row>
    <row r="4" spans="1:10" x14ac:dyDescent="0.2">
      <c r="A4" s="12">
        <v>1656</v>
      </c>
      <c r="C4" s="4"/>
      <c r="D4" t="s">
        <v>13</v>
      </c>
      <c r="E4" s="54" t="s">
        <v>105</v>
      </c>
    </row>
    <row r="5" spans="1:10" x14ac:dyDescent="0.2">
      <c r="A5" s="12">
        <v>1610</v>
      </c>
      <c r="C5" s="4"/>
      <c r="D5" t="s">
        <v>18</v>
      </c>
      <c r="E5" s="54" t="s">
        <v>92</v>
      </c>
    </row>
    <row r="6" spans="1:10" x14ac:dyDescent="0.2">
      <c r="A6" s="12">
        <v>1634</v>
      </c>
      <c r="C6" s="4"/>
      <c r="D6" t="s">
        <v>72</v>
      </c>
      <c r="E6" s="55">
        <f>H32</f>
        <v>2.0294599872994818</v>
      </c>
    </row>
    <row r="7" spans="1:10" x14ac:dyDescent="0.2">
      <c r="A7" s="12">
        <v>1784</v>
      </c>
      <c r="C7" s="4"/>
      <c r="D7" t="s">
        <v>14</v>
      </c>
      <c r="E7" s="55">
        <f>H36</f>
        <v>2.5838621937777931E-2</v>
      </c>
    </row>
    <row r="8" spans="1:10" x14ac:dyDescent="0.2">
      <c r="A8" s="12">
        <v>1522</v>
      </c>
      <c r="C8" s="4"/>
      <c r="D8" t="s">
        <v>15</v>
      </c>
      <c r="E8" s="54" t="s">
        <v>94</v>
      </c>
    </row>
    <row r="9" spans="1:10" x14ac:dyDescent="0.2">
      <c r="A9" s="12">
        <v>1696</v>
      </c>
      <c r="C9" s="7"/>
      <c r="D9" s="88" t="s">
        <v>57</v>
      </c>
      <c r="E9" s="135" t="s">
        <v>108</v>
      </c>
    </row>
    <row r="10" spans="1:10" ht="34" customHeight="1" thickBot="1" x14ac:dyDescent="0.25">
      <c r="A10" s="12">
        <v>1595</v>
      </c>
      <c r="C10" s="8"/>
      <c r="D10" s="93"/>
      <c r="E10" s="136"/>
    </row>
    <row r="11" spans="1:10" ht="16" thickBot="1" x14ac:dyDescent="0.25">
      <c r="A11" s="12">
        <v>1662</v>
      </c>
    </row>
    <row r="12" spans="1:10" x14ac:dyDescent="0.2">
      <c r="A12" s="12">
        <v>1866</v>
      </c>
      <c r="C12" s="68" t="s">
        <v>11</v>
      </c>
      <c r="D12" s="2" t="s">
        <v>16</v>
      </c>
      <c r="E12" s="3"/>
      <c r="I12" t="s">
        <v>102</v>
      </c>
      <c r="J12">
        <f>AVERAGE(A2:A31)</f>
        <v>1730.9666666666667</v>
      </c>
    </row>
    <row r="13" spans="1:10" x14ac:dyDescent="0.2">
      <c r="A13" s="12">
        <v>1764</v>
      </c>
      <c r="C13" s="7"/>
      <c r="D13" s="121" t="s">
        <v>106</v>
      </c>
      <c r="E13" s="122"/>
      <c r="I13" t="s">
        <v>103</v>
      </c>
      <c r="J13">
        <f>_xlfn.STDEV.S(A2:A31)</f>
        <v>83.574655180298222</v>
      </c>
    </row>
    <row r="14" spans="1:10" ht="16" thickBot="1" x14ac:dyDescent="0.25">
      <c r="A14" s="12">
        <v>1734</v>
      </c>
      <c r="C14" s="8"/>
      <c r="D14" s="123"/>
      <c r="E14" s="124"/>
    </row>
    <row r="15" spans="1:10" x14ac:dyDescent="0.2">
      <c r="A15" s="12">
        <v>1662</v>
      </c>
    </row>
    <row r="16" spans="1:10" x14ac:dyDescent="0.2">
      <c r="A16" s="12">
        <v>1734</v>
      </c>
      <c r="C16" t="s">
        <v>5</v>
      </c>
    </row>
    <row r="17" spans="1:11" x14ac:dyDescent="0.2">
      <c r="A17" s="12">
        <v>1774</v>
      </c>
    </row>
    <row r="18" spans="1:11" x14ac:dyDescent="0.2">
      <c r="A18" s="12">
        <v>1774</v>
      </c>
    </row>
    <row r="19" spans="1:11" x14ac:dyDescent="0.2">
      <c r="A19" s="12">
        <v>1756</v>
      </c>
    </row>
    <row r="20" spans="1:11" x14ac:dyDescent="0.2">
      <c r="A20" s="12">
        <v>1762</v>
      </c>
      <c r="G20" s="98" t="s">
        <v>88</v>
      </c>
      <c r="H20" s="98"/>
    </row>
    <row r="21" spans="1:11" x14ac:dyDescent="0.2">
      <c r="A21" s="12">
        <v>1866</v>
      </c>
      <c r="G21" s="137"/>
      <c r="H21" s="137"/>
    </row>
    <row r="22" spans="1:11" x14ac:dyDescent="0.2">
      <c r="A22" s="12">
        <v>1820</v>
      </c>
      <c r="G22" s="107" t="s">
        <v>20</v>
      </c>
      <c r="H22" s="107"/>
      <c r="I22" s="17"/>
      <c r="J22" s="17"/>
      <c r="K22" s="17"/>
    </row>
    <row r="23" spans="1:11" x14ac:dyDescent="0.2">
      <c r="A23" s="12">
        <v>1744</v>
      </c>
      <c r="G23" s="18" t="s">
        <v>59</v>
      </c>
      <c r="H23" s="18">
        <v>1700</v>
      </c>
      <c r="I23" s="25"/>
      <c r="J23" s="17"/>
      <c r="K23" s="17"/>
    </row>
    <row r="24" spans="1:11" x14ac:dyDescent="0.2">
      <c r="A24" s="12">
        <v>1788</v>
      </c>
      <c r="G24" s="18" t="s">
        <v>22</v>
      </c>
      <c r="H24" s="18">
        <v>0.05</v>
      </c>
      <c r="I24" s="25"/>
      <c r="J24" s="17"/>
      <c r="K24" s="17"/>
    </row>
    <row r="25" spans="1:11" x14ac:dyDescent="0.2">
      <c r="A25" s="12">
        <v>1688</v>
      </c>
      <c r="G25" s="18" t="s">
        <v>6</v>
      </c>
      <c r="H25" s="18">
        <v>30</v>
      </c>
      <c r="I25" s="25"/>
      <c r="J25" s="17"/>
      <c r="K25" s="17"/>
    </row>
    <row r="26" spans="1:11" x14ac:dyDescent="0.2">
      <c r="A26" s="12">
        <v>1810</v>
      </c>
      <c r="G26" s="18" t="s">
        <v>24</v>
      </c>
      <c r="H26" s="18">
        <f>J12</f>
        <v>1730.9666666666667</v>
      </c>
      <c r="I26" s="25"/>
      <c r="J26" s="17"/>
      <c r="K26" s="17"/>
    </row>
    <row r="27" spans="1:11" x14ac:dyDescent="0.2">
      <c r="A27" s="12">
        <v>1752</v>
      </c>
      <c r="G27" s="18" t="s">
        <v>49</v>
      </c>
      <c r="H27" s="18">
        <f>_xlfn.STDEV.S(A2:A31)</f>
        <v>83.574655180298222</v>
      </c>
      <c r="I27" s="25"/>
      <c r="J27" s="17"/>
      <c r="K27" s="17"/>
    </row>
    <row r="28" spans="1:11" x14ac:dyDescent="0.2">
      <c r="A28" s="12">
        <v>1680</v>
      </c>
      <c r="G28" s="25"/>
      <c r="H28" s="25"/>
      <c r="I28" s="25"/>
      <c r="J28" s="17"/>
      <c r="K28" s="17"/>
    </row>
    <row r="29" spans="1:11" x14ac:dyDescent="0.2">
      <c r="A29" s="12">
        <v>1810</v>
      </c>
      <c r="G29" s="95" t="s">
        <v>25</v>
      </c>
      <c r="H29" s="95"/>
      <c r="I29" s="25"/>
      <c r="J29" s="95" t="s">
        <v>61</v>
      </c>
      <c r="K29" s="95"/>
    </row>
    <row r="30" spans="1:11" x14ac:dyDescent="0.2">
      <c r="A30" s="12">
        <v>1652</v>
      </c>
      <c r="G30" s="19" t="s">
        <v>26</v>
      </c>
      <c r="H30" s="26">
        <f>H27/SQRT(H25)</f>
        <v>15.258574625988441</v>
      </c>
      <c r="I30" s="17"/>
      <c r="J30" s="45" t="s">
        <v>62</v>
      </c>
      <c r="K30" s="26">
        <f>_xlfn.T.DIST.RT(ABS(H32), H31)</f>
        <v>2.5838621937777931E-2</v>
      </c>
    </row>
    <row r="31" spans="1:11" x14ac:dyDescent="0.2">
      <c r="A31" s="13">
        <v>1736</v>
      </c>
      <c r="G31" s="19" t="s">
        <v>50</v>
      </c>
      <c r="H31" s="19">
        <f>H25 - 1</f>
        <v>29</v>
      </c>
      <c r="I31" s="17"/>
      <c r="J31" s="45" t="s">
        <v>63</v>
      </c>
      <c r="K31" s="26">
        <f>1 - K30</f>
        <v>0.97416137806222203</v>
      </c>
    </row>
    <row r="32" spans="1:11" x14ac:dyDescent="0.2">
      <c r="G32" s="23" t="s">
        <v>60</v>
      </c>
      <c r="H32" s="22">
        <f>(H26 - H23)/H30</f>
        <v>2.0294599872994818</v>
      </c>
      <c r="I32" s="17"/>
      <c r="J32" s="43"/>
      <c r="K32" s="17"/>
    </row>
    <row r="33" spans="7:11" x14ac:dyDescent="0.2">
      <c r="G33" s="25"/>
      <c r="H33" s="25"/>
      <c r="I33" s="17"/>
      <c r="J33" s="17"/>
      <c r="K33" s="17"/>
    </row>
    <row r="34" spans="7:11" x14ac:dyDescent="0.2">
      <c r="G34" s="21" t="s">
        <v>55</v>
      </c>
      <c r="H34" s="21"/>
      <c r="I34" s="42"/>
      <c r="J34" s="17"/>
      <c r="K34" s="17"/>
    </row>
    <row r="35" spans="7:11" x14ac:dyDescent="0.2">
      <c r="G35" s="20" t="s">
        <v>30</v>
      </c>
      <c r="H35" s="22">
        <f>_xlfn.T.INV.2T(2 * H24,H31)</f>
        <v>1.6991270265334986</v>
      </c>
      <c r="I35" s="25"/>
      <c r="J35" s="17"/>
      <c r="K35" s="17"/>
    </row>
    <row r="36" spans="7:11" x14ac:dyDescent="0.2">
      <c r="G36" s="23" t="s">
        <v>31</v>
      </c>
      <c r="H36" s="22">
        <f>IF(H32 &lt; 0, K31, K30)</f>
        <v>2.5838621937777931E-2</v>
      </c>
      <c r="I36" s="25"/>
      <c r="J36" s="17"/>
      <c r="K36" s="17"/>
    </row>
    <row r="37" spans="7:11" x14ac:dyDescent="0.2">
      <c r="G37" s="24" t="str">
        <f>IF(H36 &lt; H24,"Reject the null hypothesis", "Do not reject the null hypothesis")</f>
        <v>Reject the null hypothesis</v>
      </c>
      <c r="H37" s="24"/>
      <c r="I37" s="25"/>
      <c r="J37" s="17"/>
      <c r="K37" s="17"/>
    </row>
    <row r="38" spans="7:11" x14ac:dyDescent="0.2">
      <c r="G38" s="138"/>
      <c r="H38" s="138"/>
    </row>
  </sheetData>
  <mergeCells count="8">
    <mergeCell ref="G22:H22"/>
    <mergeCell ref="G29:H29"/>
    <mergeCell ref="J29:K29"/>
    <mergeCell ref="D9:D10"/>
    <mergeCell ref="E9:E10"/>
    <mergeCell ref="D13:E14"/>
    <mergeCell ref="G20:H20"/>
    <mergeCell ref="G21:H21"/>
  </mergeCells>
  <dataValidations count="2">
    <dataValidation type="list" allowBlank="1" showInputMessage="1" showErrorMessage="1" sqref="E5" xr:uid="{E8156050-6BFA-47A2-B385-F91EBCD3EA85}">
      <formula1>"Z, t"</formula1>
    </dataValidation>
    <dataValidation type="list" allowBlank="1" showInputMessage="1" showErrorMessage="1" sqref="E8" xr:uid="{8D3AE65E-B944-48B8-B517-9B6329521B54}">
      <formula1>"Do Not reject the Null Hypothesis, Reject the Null Hypothesis"</formula1>
    </dataValidation>
  </dataValidation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4B701-612D-4234-862C-28834015E821}">
  <sheetPr>
    <tabColor rgb="FF00B050"/>
  </sheetPr>
  <dimension ref="A1:B18"/>
  <sheetViews>
    <sheetView workbookViewId="0">
      <selection activeCell="A3" sqref="A3:B16"/>
    </sheetView>
  </sheetViews>
  <sheetFormatPr baseColWidth="10" defaultColWidth="9.1640625" defaultRowHeight="15" x14ac:dyDescent="0.2"/>
  <cols>
    <col min="1" max="1" width="28.83203125" style="17" customWidth="1"/>
    <col min="2" max="2" width="9.5" style="17" customWidth="1"/>
    <col min="3" max="3" width="11" style="17" customWidth="1"/>
    <col min="4" max="16384" width="9.1640625" style="17"/>
  </cols>
  <sheetData>
    <row r="1" spans="1:2" x14ac:dyDescent="0.2">
      <c r="A1" s="15" t="s">
        <v>47</v>
      </c>
      <c r="B1" s="16"/>
    </row>
    <row r="2" spans="1:2" x14ac:dyDescent="0.2">
      <c r="A2" s="28"/>
      <c r="B2" s="16"/>
    </row>
    <row r="3" spans="1:2" x14ac:dyDescent="0.2">
      <c r="A3" s="34" t="s">
        <v>20</v>
      </c>
      <c r="B3" s="35"/>
    </row>
    <row r="4" spans="1:2" x14ac:dyDescent="0.2">
      <c r="A4" s="18" t="s">
        <v>23</v>
      </c>
      <c r="B4" s="30">
        <v>0.02</v>
      </c>
    </row>
    <row r="5" spans="1:2" x14ac:dyDescent="0.2">
      <c r="A5" s="18" t="s">
        <v>24</v>
      </c>
      <c r="B5" s="30">
        <v>10.997999999999999</v>
      </c>
    </row>
    <row r="6" spans="1:2" x14ac:dyDescent="0.2">
      <c r="A6" s="18" t="s">
        <v>6</v>
      </c>
      <c r="B6" s="30">
        <v>100</v>
      </c>
    </row>
    <row r="7" spans="1:2" x14ac:dyDescent="0.2">
      <c r="A7" s="18" t="s">
        <v>40</v>
      </c>
      <c r="B7" s="36">
        <v>0.95</v>
      </c>
    </row>
    <row r="8" spans="1:2" x14ac:dyDescent="0.2">
      <c r="A8" s="25"/>
      <c r="B8" s="37"/>
    </row>
    <row r="9" spans="1:2" x14ac:dyDescent="0.2">
      <c r="A9" s="95" t="s">
        <v>25</v>
      </c>
      <c r="B9" s="95"/>
    </row>
    <row r="10" spans="1:2" x14ac:dyDescent="0.2">
      <c r="A10" s="19" t="s">
        <v>26</v>
      </c>
      <c r="B10" s="19">
        <f>B4/SQRT(B6)</f>
        <v>2E-3</v>
      </c>
    </row>
    <row r="11" spans="1:2" x14ac:dyDescent="0.2">
      <c r="A11" s="19" t="s">
        <v>41</v>
      </c>
      <c r="B11" s="26">
        <f>_xlfn.NORM.S.INV((1 - B7)/2)</f>
        <v>-1.9599639845400536</v>
      </c>
    </row>
    <row r="12" spans="1:2" x14ac:dyDescent="0.2">
      <c r="A12" s="19" t="s">
        <v>43</v>
      </c>
      <c r="B12" s="26">
        <f>_xlfn.CONFIDENCE.NORM(1-B7, B4, B6)</f>
        <v>3.9199279690801071E-3</v>
      </c>
    </row>
    <row r="14" spans="1:2" x14ac:dyDescent="0.2">
      <c r="A14" s="96" t="s">
        <v>44</v>
      </c>
      <c r="B14" s="96"/>
    </row>
    <row r="15" spans="1:2" x14ac:dyDescent="0.2">
      <c r="A15" s="20" t="s">
        <v>45</v>
      </c>
      <c r="B15" s="22">
        <f>B5 - B12</f>
        <v>10.994080072030918</v>
      </c>
    </row>
    <row r="16" spans="1:2" x14ac:dyDescent="0.2">
      <c r="A16" s="20" t="s">
        <v>46</v>
      </c>
      <c r="B16" s="22">
        <f>B5 + B12</f>
        <v>11.00191992796908</v>
      </c>
    </row>
    <row r="17" spans="1:2" x14ac:dyDescent="0.2">
      <c r="A17" s="25"/>
      <c r="B17" s="25"/>
    </row>
    <row r="18" spans="1:2" x14ac:dyDescent="0.2">
      <c r="A18" s="25"/>
      <c r="B18" s="25"/>
    </row>
  </sheetData>
  <mergeCells count="2">
    <mergeCell ref="A9:B9"/>
    <mergeCell ref="A14:B14"/>
  </mergeCells>
  <pageMargins left="0.75" right="0.75" top="1" bottom="1" header="0.5" footer="0.5"/>
  <pageSetup orientation="portrait" horizontalDpi="1200" vertic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6D72C-FF4C-47C2-AB45-1B384AA19287}">
  <sheetPr>
    <tabColor rgb="FF00B050"/>
  </sheetPr>
  <dimension ref="A1:B19"/>
  <sheetViews>
    <sheetView workbookViewId="0">
      <selection activeCell="A3" sqref="A3:B17"/>
    </sheetView>
  </sheetViews>
  <sheetFormatPr baseColWidth="10" defaultColWidth="9.1640625" defaultRowHeight="15" x14ac:dyDescent="0.2"/>
  <cols>
    <col min="1" max="1" width="27.83203125" style="17" customWidth="1"/>
    <col min="2" max="2" width="13.5" style="17" customWidth="1"/>
    <col min="3" max="16384" width="9.1640625" style="17"/>
  </cols>
  <sheetData>
    <row r="1" spans="1:2" x14ac:dyDescent="0.2">
      <c r="A1" s="15" t="s">
        <v>48</v>
      </c>
      <c r="B1" s="16"/>
    </row>
    <row r="2" spans="1:2" x14ac:dyDescent="0.2">
      <c r="A2" s="28"/>
      <c r="B2" s="16"/>
    </row>
    <row r="3" spans="1:2" x14ac:dyDescent="0.2">
      <c r="A3" s="38" t="s">
        <v>20</v>
      </c>
      <c r="B3" s="39"/>
    </row>
    <row r="4" spans="1:2" x14ac:dyDescent="0.2">
      <c r="A4" s="18" t="s">
        <v>49</v>
      </c>
      <c r="B4" s="30">
        <v>28.95</v>
      </c>
    </row>
    <row r="5" spans="1:2" x14ac:dyDescent="0.2">
      <c r="A5" s="18" t="s">
        <v>24</v>
      </c>
      <c r="B5" s="30">
        <v>110.27</v>
      </c>
    </row>
    <row r="6" spans="1:2" x14ac:dyDescent="0.2">
      <c r="A6" s="18" t="s">
        <v>6</v>
      </c>
      <c r="B6" s="30">
        <v>100</v>
      </c>
    </row>
    <row r="7" spans="1:2" x14ac:dyDescent="0.2">
      <c r="A7" s="18" t="s">
        <v>40</v>
      </c>
      <c r="B7" s="36">
        <v>0.95</v>
      </c>
    </row>
    <row r="8" spans="1:2" x14ac:dyDescent="0.2">
      <c r="A8" s="25"/>
      <c r="B8" s="37"/>
    </row>
    <row r="9" spans="1:2" x14ac:dyDescent="0.2">
      <c r="A9" s="103" t="s">
        <v>25</v>
      </c>
      <c r="B9" s="104"/>
    </row>
    <row r="10" spans="1:2" x14ac:dyDescent="0.2">
      <c r="A10" s="19" t="s">
        <v>26</v>
      </c>
      <c r="B10" s="26">
        <f>B4/SQRT(B6)</f>
        <v>2.895</v>
      </c>
    </row>
    <row r="11" spans="1:2" x14ac:dyDescent="0.2">
      <c r="A11" s="19" t="s">
        <v>50</v>
      </c>
      <c r="B11" s="19">
        <f>B6 - 1</f>
        <v>99</v>
      </c>
    </row>
    <row r="12" spans="1:2" x14ac:dyDescent="0.2">
      <c r="A12" s="40" t="s">
        <v>51</v>
      </c>
      <c r="B12" s="26">
        <f>_xlfn.T.INV.2T(1-B7, B11)</f>
        <v>1.9842169515864165</v>
      </c>
    </row>
    <row r="13" spans="1:2" x14ac:dyDescent="0.2">
      <c r="A13" s="19" t="s">
        <v>43</v>
      </c>
      <c r="B13" s="26">
        <f>B12 * B10</f>
        <v>5.7443080748426762</v>
      </c>
    </row>
    <row r="14" spans="1:2" x14ac:dyDescent="0.2">
      <c r="A14" s="33"/>
      <c r="B14" s="33"/>
    </row>
    <row r="15" spans="1:2" x14ac:dyDescent="0.2">
      <c r="A15" s="105" t="s">
        <v>44</v>
      </c>
      <c r="B15" s="106"/>
    </row>
    <row r="16" spans="1:2" x14ac:dyDescent="0.2">
      <c r="A16" s="20" t="s">
        <v>45</v>
      </c>
      <c r="B16" s="41">
        <f>B5 - B13</f>
        <v>104.52569192515732</v>
      </c>
    </row>
    <row r="17" spans="1:2" x14ac:dyDescent="0.2">
      <c r="A17" s="20" t="s">
        <v>46</v>
      </c>
      <c r="B17" s="41">
        <f>B5 + B13</f>
        <v>116.01430807484267</v>
      </c>
    </row>
    <row r="18" spans="1:2" x14ac:dyDescent="0.2">
      <c r="A18" s="25"/>
      <c r="B18" s="25"/>
    </row>
    <row r="19" spans="1:2" x14ac:dyDescent="0.2">
      <c r="A19" s="25"/>
      <c r="B19" s="25"/>
    </row>
  </sheetData>
  <mergeCells count="2">
    <mergeCell ref="A9:B9"/>
    <mergeCell ref="A15:B15"/>
  </mergeCells>
  <pageMargins left="0.75" right="0.75" top="1" bottom="1" header="0.5" footer="0.5"/>
  <pageSetup orientation="portrait"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04143-2801-49B4-8D54-713748E20960}">
  <sheetPr>
    <tabColor rgb="FF00B050"/>
  </sheetPr>
  <dimension ref="A1:B28"/>
  <sheetViews>
    <sheetView workbookViewId="0">
      <selection activeCell="A3" sqref="A3:B16"/>
    </sheetView>
  </sheetViews>
  <sheetFormatPr baseColWidth="10" defaultColWidth="9.1640625" defaultRowHeight="15" x14ac:dyDescent="0.2"/>
  <cols>
    <col min="1" max="1" width="30.5" style="17" customWidth="1"/>
    <col min="2" max="2" width="9.33203125" style="17" customWidth="1"/>
    <col min="3" max="16384" width="9.1640625" style="17"/>
  </cols>
  <sheetData>
    <row r="1" spans="1:2" x14ac:dyDescent="0.2">
      <c r="A1" s="15" t="s">
        <v>38</v>
      </c>
      <c r="B1" s="16"/>
    </row>
    <row r="2" spans="1:2" x14ac:dyDescent="0.2">
      <c r="A2" s="28"/>
      <c r="B2" s="16"/>
    </row>
    <row r="3" spans="1:2" x14ac:dyDescent="0.2">
      <c r="A3" s="101" t="s">
        <v>20</v>
      </c>
      <c r="B3" s="102"/>
    </row>
    <row r="4" spans="1:2" x14ac:dyDescent="0.2">
      <c r="A4" s="18" t="s">
        <v>6</v>
      </c>
      <c r="B4" s="30">
        <v>100</v>
      </c>
    </row>
    <row r="5" spans="1:2" x14ac:dyDescent="0.2">
      <c r="A5" s="18" t="s">
        <v>39</v>
      </c>
      <c r="B5" s="30">
        <v>10</v>
      </c>
    </row>
    <row r="6" spans="1:2" x14ac:dyDescent="0.2">
      <c r="A6" s="18" t="s">
        <v>40</v>
      </c>
      <c r="B6" s="31">
        <v>0.95</v>
      </c>
    </row>
    <row r="7" spans="1:2" x14ac:dyDescent="0.2">
      <c r="A7" s="25"/>
      <c r="B7" s="32"/>
    </row>
    <row r="8" spans="1:2" x14ac:dyDescent="0.2">
      <c r="A8" s="95" t="s">
        <v>25</v>
      </c>
      <c r="B8" s="95"/>
    </row>
    <row r="9" spans="1:2" x14ac:dyDescent="0.2">
      <c r="A9" s="19" t="s">
        <v>35</v>
      </c>
      <c r="B9" s="19">
        <f>B5/B4</f>
        <v>0.1</v>
      </c>
    </row>
    <row r="10" spans="1:2" x14ac:dyDescent="0.2">
      <c r="A10" s="19" t="s">
        <v>41</v>
      </c>
      <c r="B10" s="26">
        <f>_xlfn.NORM.S.INV((1 - B6)/2)</f>
        <v>-1.9599639845400536</v>
      </c>
    </row>
    <row r="11" spans="1:2" x14ac:dyDescent="0.2">
      <c r="A11" s="19" t="s">
        <v>42</v>
      </c>
      <c r="B11" s="19">
        <f>SQRT(B9 * (1 - B9)/B4)</f>
        <v>3.0000000000000002E-2</v>
      </c>
    </row>
    <row r="12" spans="1:2" x14ac:dyDescent="0.2">
      <c r="A12" s="19" t="s">
        <v>43</v>
      </c>
      <c r="B12" s="26">
        <f>ABS(B10 * B11)</f>
        <v>5.8798919536201616E-2</v>
      </c>
    </row>
    <row r="13" spans="1:2" x14ac:dyDescent="0.2">
      <c r="A13" s="33"/>
      <c r="B13" s="33"/>
    </row>
    <row r="14" spans="1:2" x14ac:dyDescent="0.2">
      <c r="A14" s="96" t="s">
        <v>44</v>
      </c>
      <c r="B14" s="96"/>
    </row>
    <row r="15" spans="1:2" x14ac:dyDescent="0.2">
      <c r="A15" s="20" t="s">
        <v>45</v>
      </c>
      <c r="B15" s="22">
        <f>B9 - B12</f>
        <v>4.120108046379839E-2</v>
      </c>
    </row>
    <row r="16" spans="1:2" x14ac:dyDescent="0.2">
      <c r="A16" s="20" t="s">
        <v>46</v>
      </c>
      <c r="B16" s="22">
        <f>B9 + B12</f>
        <v>0.15879891953620162</v>
      </c>
    </row>
    <row r="17" spans="1:2" x14ac:dyDescent="0.2">
      <c r="A17" s="25"/>
      <c r="B17" s="25"/>
    </row>
    <row r="18" spans="1:2" x14ac:dyDescent="0.2">
      <c r="A18" s="25"/>
      <c r="B18" s="25"/>
    </row>
    <row r="25" spans="1:2" x14ac:dyDescent="0.2">
      <c r="B25" s="25"/>
    </row>
    <row r="26" spans="1:2" x14ac:dyDescent="0.2">
      <c r="B26" s="25"/>
    </row>
    <row r="27" spans="1:2" x14ac:dyDescent="0.2">
      <c r="A27" s="25"/>
      <c r="B27" s="25"/>
    </row>
    <row r="28" spans="1:2" x14ac:dyDescent="0.2">
      <c r="A28" s="25"/>
      <c r="B28" s="25"/>
    </row>
  </sheetData>
  <mergeCells count="3">
    <mergeCell ref="A3:B3"/>
    <mergeCell ref="A8:B8"/>
    <mergeCell ref="A14:B14"/>
  </mergeCells>
  <pageMargins left="0.75" right="0.75" top="1" bottom="1" header="0.5" footer="0.5"/>
  <pageSetup orientation="portrait" horizontalDpi="1200" vertic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7FB58-75E7-46FD-B29F-18E3D1F91C3F}">
  <sheetPr>
    <tabColor rgb="FF7030A0"/>
  </sheetPr>
  <dimension ref="A1:B15"/>
  <sheetViews>
    <sheetView workbookViewId="0">
      <selection activeCell="M26" sqref="M26"/>
    </sheetView>
  </sheetViews>
  <sheetFormatPr baseColWidth="10" defaultColWidth="9.1640625" defaultRowHeight="15" x14ac:dyDescent="0.2"/>
  <cols>
    <col min="1" max="1" width="28.83203125" style="17" customWidth="1"/>
    <col min="2" max="2" width="9.33203125" style="17" customWidth="1"/>
    <col min="3" max="16384" width="9.1640625" style="17"/>
  </cols>
  <sheetData>
    <row r="1" spans="1:2" x14ac:dyDescent="0.2">
      <c r="A1" s="15" t="s">
        <v>64</v>
      </c>
      <c r="B1" s="16"/>
    </row>
    <row r="2" spans="1:2" x14ac:dyDescent="0.2">
      <c r="A2" s="28"/>
      <c r="B2" s="16"/>
    </row>
    <row r="3" spans="1:2" x14ac:dyDescent="0.2">
      <c r="A3" s="34" t="s">
        <v>20</v>
      </c>
      <c r="B3" s="35"/>
    </row>
    <row r="4" spans="1:2" x14ac:dyDescent="0.2">
      <c r="A4" s="18" t="s">
        <v>23</v>
      </c>
      <c r="B4" s="30">
        <v>25</v>
      </c>
    </row>
    <row r="5" spans="1:2" x14ac:dyDescent="0.2">
      <c r="A5" s="18" t="s">
        <v>65</v>
      </c>
      <c r="B5" s="30">
        <v>5</v>
      </c>
    </row>
    <row r="6" spans="1:2" x14ac:dyDescent="0.2">
      <c r="A6" s="18" t="s">
        <v>40</v>
      </c>
      <c r="B6" s="36">
        <v>0.95</v>
      </c>
    </row>
    <row r="7" spans="1:2" x14ac:dyDescent="0.2">
      <c r="A7" s="25"/>
      <c r="B7" s="37"/>
    </row>
    <row r="8" spans="1:2" x14ac:dyDescent="0.2">
      <c r="A8" s="95" t="s">
        <v>66</v>
      </c>
      <c r="B8" s="95"/>
    </row>
    <row r="9" spans="1:2" x14ac:dyDescent="0.2">
      <c r="A9" s="19" t="s">
        <v>41</v>
      </c>
      <c r="B9" s="26">
        <f>_xlfn.NORM.S.INV((1 - B6)/2)</f>
        <v>-1.9599639845400536</v>
      </c>
    </row>
    <row r="10" spans="1:2" x14ac:dyDescent="0.2">
      <c r="A10" s="19" t="s">
        <v>67</v>
      </c>
      <c r="B10" s="26">
        <f>((B9 * B4)/B5)^2</f>
        <v>96.036470517353109</v>
      </c>
    </row>
    <row r="12" spans="1:2" x14ac:dyDescent="0.2">
      <c r="A12" s="96" t="s">
        <v>68</v>
      </c>
      <c r="B12" s="96"/>
    </row>
    <row r="13" spans="1:2" x14ac:dyDescent="0.2">
      <c r="A13" s="20" t="s">
        <v>69</v>
      </c>
      <c r="B13" s="48">
        <f>ROUNDUP(B10, 0)</f>
        <v>97</v>
      </c>
    </row>
    <row r="14" spans="1:2" x14ac:dyDescent="0.2">
      <c r="A14" s="25"/>
      <c r="B14" s="25"/>
    </row>
    <row r="15" spans="1:2" x14ac:dyDescent="0.2">
      <c r="A15" s="25"/>
      <c r="B15" s="25"/>
    </row>
  </sheetData>
  <mergeCells count="2">
    <mergeCell ref="A8:B8"/>
    <mergeCell ref="A12:B12"/>
  </mergeCells>
  <pageMargins left="0.75" right="0.75" top="1" bottom="1" header="0.5" footer="0.5"/>
  <pageSetup orientation="portrait" horizontalDpi="1200" verticalDpi="12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62FC9C-8913-4462-A878-5E05CD119138}">
  <sheetPr>
    <tabColor rgb="FF7030A0"/>
  </sheetPr>
  <dimension ref="A1:B15"/>
  <sheetViews>
    <sheetView workbookViewId="0">
      <selection activeCell="B4" sqref="B4"/>
    </sheetView>
  </sheetViews>
  <sheetFormatPr baseColWidth="10" defaultColWidth="9.1640625" defaultRowHeight="15" x14ac:dyDescent="0.2"/>
  <cols>
    <col min="1" max="1" width="27.83203125" style="17" customWidth="1"/>
    <col min="2" max="2" width="12.6640625" style="17" customWidth="1"/>
    <col min="3" max="16384" width="9.1640625" style="17"/>
  </cols>
  <sheetData>
    <row r="1" spans="1:2" x14ac:dyDescent="0.2">
      <c r="A1" s="15" t="s">
        <v>77</v>
      </c>
      <c r="B1" s="16"/>
    </row>
    <row r="2" spans="1:2" x14ac:dyDescent="0.2">
      <c r="A2" s="28"/>
      <c r="B2" s="16"/>
    </row>
    <row r="3" spans="1:2" x14ac:dyDescent="0.2">
      <c r="A3" s="34" t="s">
        <v>20</v>
      </c>
      <c r="B3" s="35"/>
    </row>
    <row r="4" spans="1:2" x14ac:dyDescent="0.2">
      <c r="A4" s="18" t="s">
        <v>70</v>
      </c>
      <c r="B4" s="30">
        <v>0.15</v>
      </c>
    </row>
    <row r="5" spans="1:2" x14ac:dyDescent="0.2">
      <c r="A5" s="18" t="s">
        <v>65</v>
      </c>
      <c r="B5" s="30">
        <v>7.0000000000000007E-2</v>
      </c>
    </row>
    <row r="6" spans="1:2" x14ac:dyDescent="0.2">
      <c r="A6" s="18" t="s">
        <v>40</v>
      </c>
      <c r="B6" s="36">
        <v>0.95</v>
      </c>
    </row>
    <row r="7" spans="1:2" x14ac:dyDescent="0.2">
      <c r="A7" s="25"/>
      <c r="B7" s="37"/>
    </row>
    <row r="8" spans="1:2" x14ac:dyDescent="0.2">
      <c r="A8" s="99" t="s">
        <v>25</v>
      </c>
      <c r="B8" s="100"/>
    </row>
    <row r="9" spans="1:2" x14ac:dyDescent="0.2">
      <c r="A9" s="19" t="s">
        <v>41</v>
      </c>
      <c r="B9" s="26">
        <f>_xlfn.NORM.S.INV((1 - B6)/2)</f>
        <v>-1.9599639845400536</v>
      </c>
    </row>
    <row r="10" spans="1:2" x14ac:dyDescent="0.2">
      <c r="A10" s="19" t="s">
        <v>67</v>
      </c>
      <c r="B10" s="26">
        <f>(B9^2 * B4 * (1 - B4))/B5^2</f>
        <v>99.956326456836862</v>
      </c>
    </row>
    <row r="12" spans="1:2" x14ac:dyDescent="0.2">
      <c r="A12" s="96" t="s">
        <v>68</v>
      </c>
      <c r="B12" s="96"/>
    </row>
    <row r="13" spans="1:2" x14ac:dyDescent="0.2">
      <c r="A13" s="20" t="s">
        <v>69</v>
      </c>
      <c r="B13" s="48">
        <f>ROUNDUP(B10, 0)</f>
        <v>100</v>
      </c>
    </row>
    <row r="14" spans="1:2" x14ac:dyDescent="0.2">
      <c r="A14" s="25"/>
      <c r="B14" s="25"/>
    </row>
    <row r="15" spans="1:2" x14ac:dyDescent="0.2">
      <c r="A15" s="25"/>
      <c r="B15" s="25"/>
    </row>
  </sheetData>
  <mergeCells count="2">
    <mergeCell ref="A8:B8"/>
    <mergeCell ref="A12:B12"/>
  </mergeCells>
  <pageMargins left="0.75" right="0.75" top="1" bottom="1" header="0.5" footer="0.5"/>
  <pageSetup orientation="portrait" horizontalDpi="1200" verticalDpi="1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2A782-4AD5-47FF-8A15-51B0C8C0EC0A}">
  <sheetPr>
    <tabColor rgb="FFFF0000"/>
  </sheetPr>
  <dimension ref="A1:B18"/>
  <sheetViews>
    <sheetView workbookViewId="0">
      <selection activeCell="A3" sqref="A3:B3"/>
    </sheetView>
  </sheetViews>
  <sheetFormatPr baseColWidth="10" defaultColWidth="8.83203125" defaultRowHeight="15" x14ac:dyDescent="0.2"/>
  <cols>
    <col min="1" max="1" width="28.83203125" customWidth="1"/>
  </cols>
  <sheetData>
    <row r="1" spans="1:2" x14ac:dyDescent="0.2">
      <c r="A1" s="15" t="s">
        <v>19</v>
      </c>
      <c r="B1" s="16"/>
    </row>
    <row r="2" spans="1:2" x14ac:dyDescent="0.2">
      <c r="A2" s="17"/>
      <c r="B2" s="17"/>
    </row>
    <row r="3" spans="1:2" x14ac:dyDescent="0.2">
      <c r="A3" s="107" t="s">
        <v>20</v>
      </c>
      <c r="B3" s="107"/>
    </row>
    <row r="4" spans="1:2" x14ac:dyDescent="0.2">
      <c r="A4" s="18" t="s">
        <v>21</v>
      </c>
      <c r="B4" s="18">
        <v>368</v>
      </c>
    </row>
    <row r="5" spans="1:2" x14ac:dyDescent="0.2">
      <c r="A5" s="18" t="s">
        <v>22</v>
      </c>
      <c r="B5" s="18">
        <v>0.05</v>
      </c>
    </row>
    <row r="6" spans="1:2" x14ac:dyDescent="0.2">
      <c r="A6" s="18" t="s">
        <v>23</v>
      </c>
      <c r="B6" s="18">
        <v>15</v>
      </c>
    </row>
    <row r="7" spans="1:2" x14ac:dyDescent="0.2">
      <c r="A7" s="18" t="s">
        <v>6</v>
      </c>
      <c r="B7" s="18">
        <v>25</v>
      </c>
    </row>
    <row r="8" spans="1:2" x14ac:dyDescent="0.2">
      <c r="A8" s="18" t="s">
        <v>24</v>
      </c>
      <c r="B8" s="18">
        <v>372.5</v>
      </c>
    </row>
    <row r="10" spans="1:2" x14ac:dyDescent="0.2">
      <c r="A10" s="95" t="s">
        <v>25</v>
      </c>
      <c r="B10" s="95"/>
    </row>
    <row r="11" spans="1:2" x14ac:dyDescent="0.2">
      <c r="A11" s="19" t="s">
        <v>26</v>
      </c>
      <c r="B11" s="19">
        <f>B6/SQRT(B7)</f>
        <v>3</v>
      </c>
    </row>
    <row r="12" spans="1:2" x14ac:dyDescent="0.2">
      <c r="A12" s="20" t="s">
        <v>27</v>
      </c>
      <c r="B12" s="20">
        <f>(B8 - B4)/B11</f>
        <v>1.5</v>
      </c>
    </row>
    <row r="13" spans="1:2" x14ac:dyDescent="0.2">
      <c r="A13" s="17"/>
      <c r="B13" s="17"/>
    </row>
    <row r="14" spans="1:2" x14ac:dyDescent="0.2">
      <c r="A14" s="21" t="s">
        <v>28</v>
      </c>
      <c r="B14" s="21"/>
    </row>
    <row r="15" spans="1:2" x14ac:dyDescent="0.2">
      <c r="A15" s="20" t="s">
        <v>29</v>
      </c>
      <c r="B15" s="22">
        <f>_xlfn.NORM.S.INV(B5/2)</f>
        <v>-1.9599639845400538</v>
      </c>
    </row>
    <row r="16" spans="1:2" x14ac:dyDescent="0.2">
      <c r="A16" s="20" t="s">
        <v>30</v>
      </c>
      <c r="B16" s="22">
        <f>_xlfn.NORM.S.INV(1-B5/2)</f>
        <v>1.9599639845400536</v>
      </c>
    </row>
    <row r="17" spans="1:2" x14ac:dyDescent="0.2">
      <c r="A17" s="23" t="s">
        <v>31</v>
      </c>
      <c r="B17" s="22">
        <f>2 * (1 - _xlfn.NORM.S.DIST(ABS(B12),TRUE))</f>
        <v>0.13361440253771617</v>
      </c>
    </row>
    <row r="18" spans="1:2" x14ac:dyDescent="0.2">
      <c r="A18" s="24" t="str">
        <f>IF(B17&lt;$B$5,"Reject the null hypothesis","Do not reject the null hypothesis")</f>
        <v>Do not reject the null hypothesis</v>
      </c>
      <c r="B18" s="24"/>
    </row>
  </sheetData>
  <mergeCells count="2">
    <mergeCell ref="A3:B3"/>
    <mergeCell ref="A10:B10"/>
  </mergeCells>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3C08E-2885-42F4-8D44-B10122670646}">
  <sheetPr>
    <tabColor rgb="FFFF0000"/>
  </sheetPr>
  <dimension ref="A1:B17"/>
  <sheetViews>
    <sheetView workbookViewId="0">
      <selection activeCell="H12" sqref="H12"/>
    </sheetView>
  </sheetViews>
  <sheetFormatPr baseColWidth="10" defaultColWidth="9.1640625" defaultRowHeight="15" x14ac:dyDescent="0.2"/>
  <cols>
    <col min="1" max="1" width="28.83203125" style="17" customWidth="1"/>
    <col min="2" max="2" width="12.33203125" style="17" customWidth="1"/>
    <col min="3" max="16384" width="9.1640625" style="17"/>
  </cols>
  <sheetData>
    <row r="1" spans="1:2" x14ac:dyDescent="0.2">
      <c r="A1" s="15" t="s">
        <v>19</v>
      </c>
      <c r="B1" s="16"/>
    </row>
    <row r="3" spans="1:2" x14ac:dyDescent="0.2">
      <c r="A3" s="107" t="s">
        <v>20</v>
      </c>
      <c r="B3" s="107"/>
    </row>
    <row r="4" spans="1:2" x14ac:dyDescent="0.2">
      <c r="A4" s="18" t="s">
        <v>54</v>
      </c>
      <c r="B4" s="18">
        <v>368</v>
      </c>
    </row>
    <row r="5" spans="1:2" x14ac:dyDescent="0.2">
      <c r="A5" s="18" t="s">
        <v>22</v>
      </c>
      <c r="B5" s="18">
        <v>0.05</v>
      </c>
    </row>
    <row r="6" spans="1:2" x14ac:dyDescent="0.2">
      <c r="A6" s="18" t="s">
        <v>23</v>
      </c>
      <c r="B6" s="18">
        <v>15</v>
      </c>
    </row>
    <row r="7" spans="1:2" x14ac:dyDescent="0.2">
      <c r="A7" s="18" t="s">
        <v>6</v>
      </c>
      <c r="B7" s="18">
        <v>25</v>
      </c>
    </row>
    <row r="8" spans="1:2" x14ac:dyDescent="0.2">
      <c r="A8" s="18" t="s">
        <v>24</v>
      </c>
      <c r="B8" s="18">
        <v>372.5</v>
      </c>
    </row>
    <row r="9" spans="1:2" x14ac:dyDescent="0.2">
      <c r="A9" s="25"/>
      <c r="B9" s="25"/>
    </row>
    <row r="10" spans="1:2" x14ac:dyDescent="0.2">
      <c r="A10" s="95" t="s">
        <v>25</v>
      </c>
      <c r="B10" s="95"/>
    </row>
    <row r="11" spans="1:2" x14ac:dyDescent="0.2">
      <c r="A11" s="19" t="s">
        <v>26</v>
      </c>
      <c r="B11" s="19">
        <f>B6/SQRT(B7)</f>
        <v>3</v>
      </c>
    </row>
    <row r="12" spans="1:2" x14ac:dyDescent="0.2">
      <c r="A12" s="20" t="s">
        <v>27</v>
      </c>
      <c r="B12" s="20">
        <f>(B8 - B4)/B11</f>
        <v>1.5</v>
      </c>
    </row>
    <row r="13" spans="1:2" x14ac:dyDescent="0.2">
      <c r="A13" s="25"/>
      <c r="B13" s="25"/>
    </row>
    <row r="14" spans="1:2" x14ac:dyDescent="0.2">
      <c r="A14" s="21" t="s">
        <v>55</v>
      </c>
      <c r="B14" s="21"/>
    </row>
    <row r="15" spans="1:2" x14ac:dyDescent="0.2">
      <c r="A15" s="20" t="s">
        <v>30</v>
      </c>
      <c r="B15" s="22">
        <f>_xlfn.NORM.S.INV(1-B5)</f>
        <v>1.6448536269514715</v>
      </c>
    </row>
    <row r="16" spans="1:2" x14ac:dyDescent="0.2">
      <c r="A16" s="23" t="s">
        <v>31</v>
      </c>
      <c r="B16" s="22">
        <f>1-_xlfn.NORM.S.DIST(B12, TRUE)</f>
        <v>6.6807201268858085E-2</v>
      </c>
    </row>
    <row r="17" spans="1:2" x14ac:dyDescent="0.2">
      <c r="A17" s="24" t="str">
        <f>IF(B16&lt;$B$5,"Reject the null hypothesis","Do not reject the null hypothesis")</f>
        <v>Do not reject the null hypothesis</v>
      </c>
      <c r="B17" s="24"/>
    </row>
  </sheetData>
  <mergeCells count="2">
    <mergeCell ref="A3:B3"/>
    <mergeCell ref="A10:B10"/>
  </mergeCells>
  <printOptions gridLines="1" gridLinesSet="0"/>
  <pageMargins left="0.75" right="0.75" top="1" bottom="1" header="0.5" footer="0.5"/>
  <pageSetup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73F8D-094B-49F2-9D8F-0A2903E1AD42}">
  <sheetPr>
    <tabColor rgb="FFFF0000"/>
  </sheetPr>
  <dimension ref="A1:B18"/>
  <sheetViews>
    <sheetView workbookViewId="0">
      <selection activeCell="F15" sqref="F15"/>
    </sheetView>
  </sheetViews>
  <sheetFormatPr baseColWidth="10" defaultColWidth="9.1640625" defaultRowHeight="15" x14ac:dyDescent="0.2"/>
  <cols>
    <col min="1" max="1" width="28.83203125" style="17" customWidth="1"/>
    <col min="2" max="2" width="12.33203125" style="17" customWidth="1"/>
    <col min="3" max="16384" width="9.1640625" style="17"/>
  </cols>
  <sheetData>
    <row r="1" spans="1:2" x14ac:dyDescent="0.2">
      <c r="A1" s="15" t="s">
        <v>19</v>
      </c>
      <c r="B1" s="16"/>
    </row>
    <row r="3" spans="1:2" x14ac:dyDescent="0.2">
      <c r="A3" s="107" t="s">
        <v>20</v>
      </c>
      <c r="B3" s="107"/>
    </row>
    <row r="4" spans="1:2" x14ac:dyDescent="0.2">
      <c r="A4" s="18" t="s">
        <v>52</v>
      </c>
      <c r="B4" s="18">
        <v>368</v>
      </c>
    </row>
    <row r="5" spans="1:2" x14ac:dyDescent="0.2">
      <c r="A5" s="18" t="s">
        <v>22</v>
      </c>
      <c r="B5" s="18">
        <v>0.05</v>
      </c>
    </row>
    <row r="6" spans="1:2" x14ac:dyDescent="0.2">
      <c r="A6" s="18" t="s">
        <v>23</v>
      </c>
      <c r="B6" s="18">
        <v>15</v>
      </c>
    </row>
    <row r="7" spans="1:2" x14ac:dyDescent="0.2">
      <c r="A7" s="18" t="s">
        <v>6</v>
      </c>
      <c r="B7" s="18">
        <v>25</v>
      </c>
    </row>
    <row r="8" spans="1:2" x14ac:dyDescent="0.2">
      <c r="A8" s="18" t="s">
        <v>24</v>
      </c>
      <c r="B8" s="18">
        <v>372.5</v>
      </c>
    </row>
    <row r="9" spans="1:2" x14ac:dyDescent="0.2">
      <c r="A9" s="25"/>
      <c r="B9" s="25"/>
    </row>
    <row r="10" spans="1:2" x14ac:dyDescent="0.2">
      <c r="A10" s="95" t="s">
        <v>25</v>
      </c>
      <c r="B10" s="95"/>
    </row>
    <row r="11" spans="1:2" x14ac:dyDescent="0.2">
      <c r="A11" s="19" t="s">
        <v>26</v>
      </c>
      <c r="B11" s="19">
        <f>B6/SQRT(B7)</f>
        <v>3</v>
      </c>
    </row>
    <row r="12" spans="1:2" x14ac:dyDescent="0.2">
      <c r="A12" s="20" t="s">
        <v>27</v>
      </c>
      <c r="B12" s="20">
        <f>(B8 - B4)/B11</f>
        <v>1.5</v>
      </c>
    </row>
    <row r="13" spans="1:2" x14ac:dyDescent="0.2">
      <c r="A13" s="25"/>
      <c r="B13" s="25"/>
    </row>
    <row r="14" spans="1:2" x14ac:dyDescent="0.2">
      <c r="A14" s="21" t="s">
        <v>53</v>
      </c>
      <c r="B14" s="21"/>
    </row>
    <row r="15" spans="1:2" x14ac:dyDescent="0.2">
      <c r="A15" s="20" t="s">
        <v>29</v>
      </c>
      <c r="B15" s="22">
        <f>_xlfn.NORM.S.INV(B5)</f>
        <v>-1.6448536269514726</v>
      </c>
    </row>
    <row r="16" spans="1:2" x14ac:dyDescent="0.2">
      <c r="A16" s="23" t="s">
        <v>31</v>
      </c>
      <c r="B16" s="22">
        <f>_xlfn.NORM.S.DIST(B12, TRUE)</f>
        <v>0.93319279873114191</v>
      </c>
    </row>
    <row r="17" spans="1:2" x14ac:dyDescent="0.2">
      <c r="A17" s="24" t="str">
        <f>IF(B16&lt;$B$5,"Reject the null hypothesis","Do not reject the null hypothesis")</f>
        <v>Do not reject the null hypothesis</v>
      </c>
      <c r="B17" s="24"/>
    </row>
    <row r="18" spans="1:2" x14ac:dyDescent="0.2">
      <c r="A18" s="25"/>
      <c r="B18" s="25"/>
    </row>
  </sheetData>
  <mergeCells count="2">
    <mergeCell ref="A3:B3"/>
    <mergeCell ref="A10:B10"/>
  </mergeCells>
  <printOptions gridLines="1" gridLinesSet="0"/>
  <pageMargins left="0.75" right="0.75" top="1" bottom="1" header="0.5" footer="0.5"/>
  <pageSetup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F229F-56E6-493A-81D6-01ACC3807EDB}">
  <sheetPr>
    <tabColor rgb="FF00B0F0"/>
  </sheetPr>
  <dimension ref="A1:E29"/>
  <sheetViews>
    <sheetView workbookViewId="0">
      <selection activeCell="E24" sqref="E24"/>
    </sheetView>
  </sheetViews>
  <sheetFormatPr baseColWidth="10" defaultColWidth="9.1640625" defaultRowHeight="15" x14ac:dyDescent="0.2"/>
  <cols>
    <col min="1" max="1" width="26" style="17" customWidth="1"/>
    <col min="2" max="3" width="12.5" style="17" customWidth="1"/>
    <col min="4" max="4" width="16.83203125" style="17" customWidth="1"/>
    <col min="5" max="16384" width="9.1640625" style="17"/>
  </cols>
  <sheetData>
    <row r="1" spans="1:3" x14ac:dyDescent="0.2">
      <c r="A1" s="15" t="s">
        <v>58</v>
      </c>
      <c r="B1" s="16"/>
      <c r="C1" s="16"/>
    </row>
    <row r="2" spans="1:3" ht="15" customHeight="1" x14ac:dyDescent="0.2"/>
    <row r="3" spans="1:3" ht="15" customHeight="1" x14ac:dyDescent="0.2">
      <c r="A3" s="107" t="s">
        <v>20</v>
      </c>
      <c r="B3" s="107"/>
    </row>
    <row r="4" spans="1:3" x14ac:dyDescent="0.2">
      <c r="A4" s="18" t="s">
        <v>59</v>
      </c>
      <c r="B4" s="18">
        <v>120</v>
      </c>
      <c r="C4" s="25"/>
    </row>
    <row r="5" spans="1:3" x14ac:dyDescent="0.2">
      <c r="A5" s="18" t="s">
        <v>22</v>
      </c>
      <c r="B5" s="18">
        <v>0.05</v>
      </c>
      <c r="C5" s="25"/>
    </row>
    <row r="6" spans="1:3" x14ac:dyDescent="0.2">
      <c r="A6" s="18" t="s">
        <v>6</v>
      </c>
      <c r="B6" s="18">
        <v>12</v>
      </c>
      <c r="C6" s="25"/>
    </row>
    <row r="7" spans="1:3" x14ac:dyDescent="0.2">
      <c r="A7" s="18" t="s">
        <v>24</v>
      </c>
      <c r="B7" s="18">
        <v>112.85</v>
      </c>
      <c r="C7" s="25"/>
    </row>
    <row r="8" spans="1:3" x14ac:dyDescent="0.2">
      <c r="A8" s="18" t="s">
        <v>49</v>
      </c>
      <c r="B8" s="18">
        <v>20.8</v>
      </c>
      <c r="C8" s="25"/>
    </row>
    <row r="9" spans="1:3" x14ac:dyDescent="0.2">
      <c r="A9" s="25"/>
      <c r="B9" s="25"/>
      <c r="C9" s="25"/>
    </row>
    <row r="10" spans="1:3" x14ac:dyDescent="0.2">
      <c r="A10" s="95" t="s">
        <v>25</v>
      </c>
      <c r="B10" s="95"/>
      <c r="C10" s="25"/>
    </row>
    <row r="11" spans="1:3" x14ac:dyDescent="0.2">
      <c r="A11" s="19" t="s">
        <v>26</v>
      </c>
      <c r="B11" s="26">
        <f>B8/SQRT(B6)</f>
        <v>6.0044427995721081</v>
      </c>
    </row>
    <row r="12" spans="1:3" x14ac:dyDescent="0.2">
      <c r="A12" s="19" t="s">
        <v>50</v>
      </c>
      <c r="B12" s="19">
        <f>B6 - 1</f>
        <v>11</v>
      </c>
    </row>
    <row r="13" spans="1:3" x14ac:dyDescent="0.2">
      <c r="A13" s="23" t="s">
        <v>60</v>
      </c>
      <c r="B13" s="22">
        <f>(B7 - B4)/B11</f>
        <v>-1.190784930203604</v>
      </c>
    </row>
    <row r="15" spans="1:3" x14ac:dyDescent="0.2">
      <c r="A15" s="21" t="s">
        <v>28</v>
      </c>
      <c r="B15" s="21"/>
      <c r="C15" s="42"/>
    </row>
    <row r="16" spans="1:3" x14ac:dyDescent="0.2">
      <c r="A16" s="20" t="s">
        <v>29</v>
      </c>
      <c r="B16" s="22">
        <f>-_xlfn.T.INV.2T(B5, B12)</f>
        <v>-2.2009851600916384</v>
      </c>
      <c r="C16" s="25"/>
    </row>
    <row r="17" spans="1:5" x14ac:dyDescent="0.2">
      <c r="A17" s="20" t="s">
        <v>30</v>
      </c>
      <c r="B17" s="22">
        <f>_xlfn.T.INV.2T(B5, B12)</f>
        <v>2.2009851600916384</v>
      </c>
      <c r="C17" s="25"/>
      <c r="D17" s="25"/>
      <c r="E17" s="25"/>
    </row>
    <row r="18" spans="1:5" x14ac:dyDescent="0.2">
      <c r="A18" s="23" t="s">
        <v>31</v>
      </c>
      <c r="B18" s="22">
        <f>_xlfn.T.DIST.2T(ABS(B13), B12)</f>
        <v>0.25880033907045252</v>
      </c>
      <c r="C18" s="25"/>
    </row>
    <row r="19" spans="1:5" x14ac:dyDescent="0.2">
      <c r="A19" s="24" t="str">
        <f>IF(B18 &lt; B5,"Reject the null hypothesis","Do not reject the null hypothesis")</f>
        <v>Do not reject the null hypothesis</v>
      </c>
      <c r="B19" s="24"/>
      <c r="C19" s="42"/>
    </row>
    <row r="20" spans="1:5" x14ac:dyDescent="0.2">
      <c r="A20" s="42"/>
      <c r="B20" s="42"/>
      <c r="C20" s="42"/>
      <c r="D20" s="43"/>
    </row>
    <row r="21" spans="1:5" x14ac:dyDescent="0.2">
      <c r="C21" s="42"/>
    </row>
    <row r="22" spans="1:5" x14ac:dyDescent="0.2">
      <c r="C22" s="25"/>
    </row>
    <row r="23" spans="1:5" x14ac:dyDescent="0.2">
      <c r="C23" s="25"/>
    </row>
    <row r="24" spans="1:5" x14ac:dyDescent="0.2">
      <c r="C24" s="42"/>
    </row>
    <row r="25" spans="1:5" x14ac:dyDescent="0.2">
      <c r="C25" s="25"/>
    </row>
    <row r="26" spans="1:5" x14ac:dyDescent="0.2">
      <c r="C26" s="42"/>
    </row>
    <row r="27" spans="1:5" x14ac:dyDescent="0.2">
      <c r="C27" s="25"/>
    </row>
    <row r="28" spans="1:5" x14ac:dyDescent="0.2">
      <c r="C28" s="25"/>
    </row>
    <row r="29" spans="1:5" x14ac:dyDescent="0.2">
      <c r="C29" s="42"/>
    </row>
  </sheetData>
  <mergeCells count="2">
    <mergeCell ref="A3:B3"/>
    <mergeCell ref="A10:B10"/>
  </mergeCells>
  <printOptions gridLines="1" gridLinesSet="0"/>
  <pageMargins left="0.75" right="0.75" top="1" bottom="1" header="0.5" footer="0.5"/>
  <pageSetup orientation="portrait"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74543-857C-49AA-B5F8-9188EF16656C}">
  <sheetPr>
    <tabColor rgb="FF00B0F0"/>
  </sheetPr>
  <dimension ref="A1:E29"/>
  <sheetViews>
    <sheetView workbookViewId="0">
      <selection activeCell="A3" sqref="A3:E18"/>
    </sheetView>
  </sheetViews>
  <sheetFormatPr baseColWidth="10" defaultColWidth="9.1640625" defaultRowHeight="15" x14ac:dyDescent="0.2"/>
  <cols>
    <col min="1" max="1" width="26" style="17" customWidth="1"/>
    <col min="2" max="2" width="12.5" style="17" customWidth="1"/>
    <col min="3" max="3" width="2.5" style="17" customWidth="1"/>
    <col min="4" max="4" width="16.83203125" style="17" customWidth="1"/>
    <col min="5" max="16384" width="9.1640625" style="17"/>
  </cols>
  <sheetData>
    <row r="1" spans="1:5" x14ac:dyDescent="0.2">
      <c r="A1" s="15" t="s">
        <v>58</v>
      </c>
      <c r="B1" s="16"/>
      <c r="C1" s="16"/>
    </row>
    <row r="2" spans="1:5" ht="15" customHeight="1" x14ac:dyDescent="0.2"/>
    <row r="3" spans="1:5" ht="15" customHeight="1" x14ac:dyDescent="0.2">
      <c r="A3" s="107" t="s">
        <v>20</v>
      </c>
      <c r="B3" s="107"/>
    </row>
    <row r="4" spans="1:5" x14ac:dyDescent="0.2">
      <c r="A4" s="18" t="s">
        <v>59</v>
      </c>
      <c r="B4" s="18">
        <v>158.77000000000001</v>
      </c>
      <c r="C4" s="25"/>
    </row>
    <row r="5" spans="1:5" x14ac:dyDescent="0.2">
      <c r="A5" s="18" t="s">
        <v>22</v>
      </c>
      <c r="B5" s="18">
        <v>0.05</v>
      </c>
      <c r="C5" s="25"/>
    </row>
    <row r="6" spans="1:5" x14ac:dyDescent="0.2">
      <c r="A6" s="18" t="s">
        <v>6</v>
      </c>
      <c r="B6" s="18">
        <v>25</v>
      </c>
      <c r="C6" s="25"/>
    </row>
    <row r="7" spans="1:5" x14ac:dyDescent="0.2">
      <c r="A7" s="18" t="s">
        <v>24</v>
      </c>
      <c r="B7" s="18">
        <v>147.5</v>
      </c>
      <c r="C7" s="25"/>
    </row>
    <row r="8" spans="1:5" x14ac:dyDescent="0.2">
      <c r="A8" s="18" t="s">
        <v>49</v>
      </c>
      <c r="B8" s="18">
        <v>20</v>
      </c>
      <c r="C8" s="25"/>
    </row>
    <row r="9" spans="1:5" x14ac:dyDescent="0.2">
      <c r="A9" s="25"/>
      <c r="B9" s="25"/>
      <c r="C9" s="25"/>
    </row>
    <row r="10" spans="1:5" x14ac:dyDescent="0.2">
      <c r="A10" s="95" t="s">
        <v>25</v>
      </c>
      <c r="B10" s="95"/>
      <c r="C10" s="25"/>
      <c r="D10" s="95" t="s">
        <v>61</v>
      </c>
      <c r="E10" s="95"/>
    </row>
    <row r="11" spans="1:5" x14ac:dyDescent="0.2">
      <c r="A11" s="19" t="s">
        <v>26</v>
      </c>
      <c r="B11" s="26">
        <f>B8/SQRT(B6)</f>
        <v>4</v>
      </c>
      <c r="D11" s="45" t="s">
        <v>62</v>
      </c>
      <c r="E11" s="26">
        <f>_xlfn.T.DIST.RT(ABS(B13), B12)</f>
        <v>4.7666356625451975E-3</v>
      </c>
    </row>
    <row r="12" spans="1:5" x14ac:dyDescent="0.2">
      <c r="A12" s="19" t="s">
        <v>50</v>
      </c>
      <c r="B12" s="19">
        <f>B6 - 1</f>
        <v>24</v>
      </c>
      <c r="D12" s="45" t="s">
        <v>63</v>
      </c>
      <c r="E12" s="26">
        <f>1 - E11</f>
        <v>0.9952333643374548</v>
      </c>
    </row>
    <row r="13" spans="1:5" x14ac:dyDescent="0.2">
      <c r="A13" s="23" t="s">
        <v>60</v>
      </c>
      <c r="B13" s="22">
        <f>(B7 - B4)/B11</f>
        <v>-2.8175000000000026</v>
      </c>
      <c r="D13" s="43"/>
    </row>
    <row r="14" spans="1:5" x14ac:dyDescent="0.2">
      <c r="A14" s="25"/>
      <c r="B14" s="25"/>
    </row>
    <row r="15" spans="1:5" x14ac:dyDescent="0.2">
      <c r="A15" s="21" t="s">
        <v>55</v>
      </c>
      <c r="B15" s="21"/>
      <c r="C15" s="42"/>
    </row>
    <row r="16" spans="1:5" x14ac:dyDescent="0.2">
      <c r="A16" s="20" t="s">
        <v>30</v>
      </c>
      <c r="B16" s="22">
        <f>_xlfn.T.INV.2T(2 * B5,B12)</f>
        <v>1.7108820799094284</v>
      </c>
      <c r="C16" s="25"/>
    </row>
    <row r="17" spans="1:3" x14ac:dyDescent="0.2">
      <c r="A17" s="23" t="s">
        <v>31</v>
      </c>
      <c r="B17" s="22">
        <f>IF(B13 &lt; 0, E12, E11)</f>
        <v>0.9952333643374548</v>
      </c>
      <c r="C17" s="25"/>
    </row>
    <row r="18" spans="1:3" x14ac:dyDescent="0.2">
      <c r="A18" s="24" t="str">
        <f>IF(B17 &lt; B5,"Reject the null hypothesis", "Do not reject the null hypothesis")</f>
        <v>Do not reject the null hypothesis</v>
      </c>
      <c r="B18" s="24"/>
      <c r="C18" s="25"/>
    </row>
    <row r="19" spans="1:3" x14ac:dyDescent="0.2">
      <c r="C19" s="42"/>
    </row>
    <row r="20" spans="1:3" x14ac:dyDescent="0.2">
      <c r="C20" s="42"/>
    </row>
    <row r="21" spans="1:3" x14ac:dyDescent="0.2">
      <c r="C21" s="42"/>
    </row>
    <row r="22" spans="1:3" x14ac:dyDescent="0.2">
      <c r="C22" s="25"/>
    </row>
    <row r="23" spans="1:3" x14ac:dyDescent="0.2">
      <c r="C23" s="25"/>
    </row>
    <row r="24" spans="1:3" x14ac:dyDescent="0.2">
      <c r="C24" s="42"/>
    </row>
    <row r="25" spans="1:3" x14ac:dyDescent="0.2">
      <c r="C25" s="25"/>
    </row>
    <row r="26" spans="1:3" x14ac:dyDescent="0.2">
      <c r="C26" s="42"/>
    </row>
    <row r="27" spans="1:3" x14ac:dyDescent="0.2">
      <c r="C27" s="25"/>
    </row>
    <row r="28" spans="1:3" x14ac:dyDescent="0.2">
      <c r="C28" s="25"/>
    </row>
    <row r="29" spans="1:3" x14ac:dyDescent="0.2">
      <c r="C29" s="42"/>
    </row>
  </sheetData>
  <mergeCells count="3">
    <mergeCell ref="A3:B3"/>
    <mergeCell ref="A10:B10"/>
    <mergeCell ref="D10:E10"/>
  </mergeCells>
  <printOptions gridLines="1" gridLinesSet="0"/>
  <pageMargins left="0.75" right="0.75" top="1" bottom="1" header="0.5" footer="0.5"/>
  <pageSetup orientation="portrait" horizontalDpi="300" verticalDpi="3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B7DE-7086-4926-8CA6-BABE15AFF45D}">
  <sheetPr>
    <tabColor rgb="FF00B0F0"/>
  </sheetPr>
  <dimension ref="A1:E29"/>
  <sheetViews>
    <sheetView workbookViewId="0">
      <selection activeCell="D10" sqref="D10"/>
    </sheetView>
  </sheetViews>
  <sheetFormatPr baseColWidth="10" defaultColWidth="9.1640625" defaultRowHeight="15" x14ac:dyDescent="0.2"/>
  <cols>
    <col min="1" max="1" width="26" style="17" customWidth="1"/>
    <col min="2" max="2" width="12.5" style="17" customWidth="1"/>
    <col min="3" max="3" width="2.5" style="17" customWidth="1"/>
    <col min="4" max="4" width="16.83203125" style="17" customWidth="1"/>
    <col min="5" max="16384" width="9.1640625" style="17"/>
  </cols>
  <sheetData>
    <row r="1" spans="1:5" x14ac:dyDescent="0.2">
      <c r="A1" s="15" t="s">
        <v>58</v>
      </c>
      <c r="B1" s="16"/>
      <c r="C1" s="16"/>
    </row>
    <row r="2" spans="1:5" ht="15" customHeight="1" x14ac:dyDescent="0.2"/>
    <row r="3" spans="1:5" ht="15" customHeight="1" x14ac:dyDescent="0.2">
      <c r="A3" s="107" t="s">
        <v>20</v>
      </c>
      <c r="B3" s="107"/>
    </row>
    <row r="4" spans="1:5" x14ac:dyDescent="0.2">
      <c r="A4" s="18" t="s">
        <v>59</v>
      </c>
      <c r="B4" s="18">
        <v>189.49</v>
      </c>
      <c r="C4" s="25"/>
    </row>
    <row r="5" spans="1:5" x14ac:dyDescent="0.2">
      <c r="A5" s="18" t="s">
        <v>22</v>
      </c>
      <c r="B5" s="18">
        <v>0.05</v>
      </c>
      <c r="C5" s="25"/>
    </row>
    <row r="6" spans="1:5" x14ac:dyDescent="0.2">
      <c r="A6" s="18" t="s">
        <v>6</v>
      </c>
      <c r="B6" s="18">
        <v>25</v>
      </c>
      <c r="C6" s="25"/>
    </row>
    <row r="7" spans="1:5" x14ac:dyDescent="0.2">
      <c r="A7" s="18" t="s">
        <v>24</v>
      </c>
      <c r="B7" s="18">
        <v>175.8</v>
      </c>
      <c r="C7" s="25"/>
    </row>
    <row r="8" spans="1:5" x14ac:dyDescent="0.2">
      <c r="A8" s="18" t="s">
        <v>49</v>
      </c>
      <c r="B8" s="18">
        <v>21.3</v>
      </c>
      <c r="C8" s="25"/>
    </row>
    <row r="9" spans="1:5" x14ac:dyDescent="0.2">
      <c r="A9" s="25"/>
      <c r="B9" s="25"/>
      <c r="C9" s="25"/>
    </row>
    <row r="10" spans="1:5" x14ac:dyDescent="0.2">
      <c r="A10" s="95" t="s">
        <v>25</v>
      </c>
      <c r="B10" s="95"/>
      <c r="C10" s="25"/>
      <c r="D10" s="44" t="s">
        <v>61</v>
      </c>
      <c r="E10" s="44"/>
    </row>
    <row r="11" spans="1:5" x14ac:dyDescent="0.2">
      <c r="A11" s="19" t="s">
        <v>26</v>
      </c>
      <c r="B11" s="26">
        <f>B8/SQRT(B6)</f>
        <v>4.26</v>
      </c>
      <c r="D11" s="45" t="s">
        <v>62</v>
      </c>
      <c r="E11" s="26">
        <f>_xlfn.T.DIST.RT(ABS(B13), B12)</f>
        <v>1.8580441365914271E-3</v>
      </c>
    </row>
    <row r="12" spans="1:5" x14ac:dyDescent="0.2">
      <c r="A12" s="19" t="s">
        <v>50</v>
      </c>
      <c r="B12" s="19">
        <f>B6 - 1</f>
        <v>24</v>
      </c>
      <c r="D12" s="45" t="s">
        <v>63</v>
      </c>
      <c r="E12" s="26">
        <f>1 - E11</f>
        <v>0.99814195586340859</v>
      </c>
    </row>
    <row r="13" spans="1:5" x14ac:dyDescent="0.2">
      <c r="A13" s="23" t="s">
        <v>60</v>
      </c>
      <c r="B13" s="22">
        <f>(B7 - B4)/B11</f>
        <v>-3.213615023474178</v>
      </c>
      <c r="D13" s="43"/>
    </row>
    <row r="14" spans="1:5" x14ac:dyDescent="0.2">
      <c r="A14" s="42"/>
      <c r="B14" s="42"/>
    </row>
    <row r="15" spans="1:5" x14ac:dyDescent="0.2">
      <c r="A15" s="21" t="s">
        <v>53</v>
      </c>
      <c r="B15" s="21"/>
      <c r="C15" s="42"/>
    </row>
    <row r="16" spans="1:5" x14ac:dyDescent="0.2">
      <c r="A16" s="20" t="s">
        <v>29</v>
      </c>
      <c r="B16" s="22">
        <f>-_xlfn.T.INV.2T(2*B5, B12)</f>
        <v>-1.7108820799094284</v>
      </c>
      <c r="C16" s="25"/>
    </row>
    <row r="17" spans="1:3" x14ac:dyDescent="0.2">
      <c r="A17" s="23" t="s">
        <v>31</v>
      </c>
      <c r="B17" s="22">
        <f>IF(B13 &lt; 0, E11, E12)</f>
        <v>1.8580441365914271E-3</v>
      </c>
      <c r="C17" s="25"/>
    </row>
    <row r="18" spans="1:3" x14ac:dyDescent="0.2">
      <c r="A18" s="24" t="str">
        <f>IF(B17 &lt; B5,"Reject the null hypothesis", "Do not reject the null hypothesis")</f>
        <v>Reject the null hypothesis</v>
      </c>
      <c r="B18" s="24"/>
      <c r="C18" s="25"/>
    </row>
    <row r="19" spans="1:3" x14ac:dyDescent="0.2">
      <c r="A19" s="25"/>
      <c r="B19" s="25"/>
      <c r="C19" s="42"/>
    </row>
    <row r="20" spans="1:3" x14ac:dyDescent="0.2">
      <c r="C20" s="42"/>
    </row>
    <row r="21" spans="1:3" x14ac:dyDescent="0.2">
      <c r="C21" s="42"/>
    </row>
    <row r="22" spans="1:3" x14ac:dyDescent="0.2">
      <c r="C22" s="25"/>
    </row>
    <row r="23" spans="1:3" x14ac:dyDescent="0.2">
      <c r="C23" s="25"/>
    </row>
    <row r="24" spans="1:3" x14ac:dyDescent="0.2">
      <c r="C24" s="42"/>
    </row>
    <row r="25" spans="1:3" x14ac:dyDescent="0.2">
      <c r="C25" s="25"/>
    </row>
    <row r="26" spans="1:3" x14ac:dyDescent="0.2">
      <c r="C26" s="42"/>
    </row>
    <row r="27" spans="1:3" x14ac:dyDescent="0.2">
      <c r="C27" s="25"/>
    </row>
    <row r="28" spans="1:3" x14ac:dyDescent="0.2">
      <c r="C28" s="25"/>
    </row>
    <row r="29" spans="1:3" x14ac:dyDescent="0.2">
      <c r="C29" s="42"/>
    </row>
  </sheetData>
  <mergeCells count="2">
    <mergeCell ref="A3:B3"/>
    <mergeCell ref="A10:B10"/>
  </mergeCells>
  <printOptions gridLines="1" gridLinesSet="0"/>
  <pageMargins left="0.75" right="0.75" top="1" bottom="1" header="0.5" footer="0.5"/>
  <pageSetup orientation="portrait" horizontalDpi="300" verticalDpi="3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1CFA2-F570-4DF1-AE6E-9C617D4892A4}">
  <sheetPr>
    <tabColor rgb="FFFFFF00"/>
  </sheetPr>
  <dimension ref="A1:C29"/>
  <sheetViews>
    <sheetView workbookViewId="0">
      <selection activeCell="A3" sqref="A3:B18"/>
    </sheetView>
  </sheetViews>
  <sheetFormatPr baseColWidth="10" defaultColWidth="9.1640625" defaultRowHeight="15" x14ac:dyDescent="0.2"/>
  <cols>
    <col min="1" max="1" width="25.6640625" style="17" customWidth="1"/>
    <col min="2" max="2" width="15.6640625" style="17" customWidth="1"/>
    <col min="3" max="16384" width="9.1640625" style="17"/>
  </cols>
  <sheetData>
    <row r="1" spans="1:3" x14ac:dyDescent="0.2">
      <c r="A1" s="15" t="s">
        <v>32</v>
      </c>
      <c r="B1" s="16"/>
    </row>
    <row r="3" spans="1:3" x14ac:dyDescent="0.2">
      <c r="A3" s="107" t="s">
        <v>20</v>
      </c>
      <c r="B3" s="107"/>
    </row>
    <row r="4" spans="1:3" x14ac:dyDescent="0.2">
      <c r="A4" s="18" t="s">
        <v>33</v>
      </c>
      <c r="B4" s="18">
        <v>0.8</v>
      </c>
    </row>
    <row r="5" spans="1:3" x14ac:dyDescent="0.2">
      <c r="A5" s="18" t="s">
        <v>22</v>
      </c>
      <c r="B5" s="18">
        <v>0.05</v>
      </c>
    </row>
    <row r="6" spans="1:3" x14ac:dyDescent="0.2">
      <c r="A6" s="18" t="s">
        <v>34</v>
      </c>
      <c r="B6" s="18">
        <v>681</v>
      </c>
    </row>
    <row r="7" spans="1:3" x14ac:dyDescent="0.2">
      <c r="A7" s="18" t="s">
        <v>6</v>
      </c>
      <c r="B7" s="18">
        <v>792</v>
      </c>
    </row>
    <row r="8" spans="1:3" x14ac:dyDescent="0.2">
      <c r="A8" s="25"/>
      <c r="B8" s="25"/>
    </row>
    <row r="9" spans="1:3" x14ac:dyDescent="0.2">
      <c r="A9" s="95" t="s">
        <v>25</v>
      </c>
      <c r="B9" s="95"/>
    </row>
    <row r="10" spans="1:3" x14ac:dyDescent="0.2">
      <c r="A10" s="19" t="s">
        <v>35</v>
      </c>
      <c r="B10" s="26">
        <f>B6/B7</f>
        <v>0.85984848484848486</v>
      </c>
      <c r="C10" s="27"/>
    </row>
    <row r="11" spans="1:3" x14ac:dyDescent="0.2">
      <c r="A11" s="19" t="s">
        <v>36</v>
      </c>
      <c r="B11" s="26">
        <f>SQRT(B4 * (1 - B4)/B7)</f>
        <v>1.4213381090374028E-2</v>
      </c>
      <c r="C11" s="27"/>
    </row>
    <row r="12" spans="1:3" x14ac:dyDescent="0.2">
      <c r="A12" s="20" t="s">
        <v>27</v>
      </c>
      <c r="B12" s="22">
        <f>(B10 - B4)/B11</f>
        <v>4.2107141480233041</v>
      </c>
      <c r="C12" s="27"/>
    </row>
    <row r="13" spans="1:3" x14ac:dyDescent="0.2">
      <c r="A13" s="25"/>
      <c r="B13" s="25"/>
      <c r="C13" s="25"/>
    </row>
    <row r="14" spans="1:3" x14ac:dyDescent="0.2">
      <c r="A14" s="108" t="s">
        <v>28</v>
      </c>
      <c r="B14" s="108"/>
      <c r="C14" s="28"/>
    </row>
    <row r="15" spans="1:3" x14ac:dyDescent="0.2">
      <c r="A15" s="20" t="s">
        <v>29</v>
      </c>
      <c r="B15" s="22">
        <f>_xlfn.NORM.S.INV(B5/2)</f>
        <v>-1.9599639845400538</v>
      </c>
      <c r="C15" s="27"/>
    </row>
    <row r="16" spans="1:3" x14ac:dyDescent="0.2">
      <c r="A16" s="20" t="s">
        <v>37</v>
      </c>
      <c r="B16" s="22">
        <f>_xlfn.NORM.S.INV(1 - B5/2)</f>
        <v>1.9599639845400536</v>
      </c>
      <c r="C16" s="27"/>
    </row>
    <row r="17" spans="1:3" x14ac:dyDescent="0.2">
      <c r="A17" s="23" t="s">
        <v>31</v>
      </c>
      <c r="B17" s="22">
        <f>2 * (1 - _xlfn.NORM.S.DIST(ABS(B12), TRUE))</f>
        <v>2.5456468622397921E-5</v>
      </c>
      <c r="C17" s="27"/>
    </row>
    <row r="18" spans="1:3" x14ac:dyDescent="0.2">
      <c r="A18" s="24" t="str">
        <f>IF(B17 &lt; B5,"Reject the null hypothesis", "Do not reject the null hypothesis")</f>
        <v>Reject the null hypothesis</v>
      </c>
      <c r="B18" s="24"/>
      <c r="C18" s="29"/>
    </row>
    <row r="19" spans="1:3" x14ac:dyDescent="0.2">
      <c r="A19" s="25"/>
      <c r="B19" s="25"/>
      <c r="C19" s="29"/>
    </row>
    <row r="21" spans="1:3" x14ac:dyDescent="0.2">
      <c r="C21" s="29"/>
    </row>
    <row r="22" spans="1:3" x14ac:dyDescent="0.2">
      <c r="C22" s="29"/>
    </row>
    <row r="23" spans="1:3" x14ac:dyDescent="0.2">
      <c r="C23" s="29"/>
    </row>
    <row r="24" spans="1:3" x14ac:dyDescent="0.2">
      <c r="C24" s="29"/>
    </row>
    <row r="26" spans="1:3" x14ac:dyDescent="0.2">
      <c r="C26" s="29"/>
    </row>
    <row r="27" spans="1:3" x14ac:dyDescent="0.2">
      <c r="C27" s="29"/>
    </row>
    <row r="28" spans="1:3" x14ac:dyDescent="0.2">
      <c r="C28" s="29"/>
    </row>
    <row r="29" spans="1:3" x14ac:dyDescent="0.2">
      <c r="C29" s="29"/>
    </row>
  </sheetData>
  <mergeCells count="3">
    <mergeCell ref="A3:B3"/>
    <mergeCell ref="A9:B9"/>
    <mergeCell ref="A14:B14"/>
  </mergeCells>
  <printOptions gridLines="1" gridLinesSet="0"/>
  <pageMargins left="0.75" right="0.75" top="1" bottom="1" header="0.5" footer="0.5"/>
  <pageSetup orientation="portrait" horizontalDpi="300" verticalDpi="30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F5966-E952-4CCF-B740-8148592CA7AD}">
  <sheetPr>
    <tabColor rgb="FFFFFF00"/>
  </sheetPr>
  <dimension ref="A1:C29"/>
  <sheetViews>
    <sheetView workbookViewId="0">
      <selection activeCell="A3" sqref="A3:B17"/>
    </sheetView>
  </sheetViews>
  <sheetFormatPr baseColWidth="10" defaultColWidth="9.1640625" defaultRowHeight="15" x14ac:dyDescent="0.2"/>
  <cols>
    <col min="1" max="1" width="25.6640625" style="17" customWidth="1"/>
    <col min="2" max="2" width="15.6640625" style="17" customWidth="1"/>
    <col min="3" max="16384" width="9.1640625" style="17"/>
  </cols>
  <sheetData>
    <row r="1" spans="1:3" x14ac:dyDescent="0.2">
      <c r="A1" s="15" t="s">
        <v>32</v>
      </c>
      <c r="B1" s="16"/>
    </row>
    <row r="3" spans="1:3" x14ac:dyDescent="0.2">
      <c r="A3" s="107" t="s">
        <v>20</v>
      </c>
      <c r="B3" s="107"/>
    </row>
    <row r="4" spans="1:3" x14ac:dyDescent="0.2">
      <c r="A4" s="18" t="s">
        <v>33</v>
      </c>
      <c r="B4" s="18">
        <v>0.8</v>
      </c>
    </row>
    <row r="5" spans="1:3" x14ac:dyDescent="0.2">
      <c r="A5" s="18" t="s">
        <v>22</v>
      </c>
      <c r="B5" s="18">
        <v>0.05</v>
      </c>
    </row>
    <row r="6" spans="1:3" x14ac:dyDescent="0.2">
      <c r="A6" s="18" t="s">
        <v>34</v>
      </c>
      <c r="B6" s="18">
        <v>681</v>
      </c>
    </row>
    <row r="7" spans="1:3" x14ac:dyDescent="0.2">
      <c r="A7" s="18" t="s">
        <v>6</v>
      </c>
      <c r="B7" s="18">
        <v>792</v>
      </c>
    </row>
    <row r="8" spans="1:3" x14ac:dyDescent="0.2">
      <c r="A8" s="25"/>
      <c r="B8" s="25"/>
    </row>
    <row r="9" spans="1:3" x14ac:dyDescent="0.2">
      <c r="A9" s="95" t="s">
        <v>25</v>
      </c>
      <c r="B9" s="95"/>
    </row>
    <row r="10" spans="1:3" x14ac:dyDescent="0.2">
      <c r="A10" s="19" t="s">
        <v>35</v>
      </c>
      <c r="B10" s="26">
        <f>B6/B7</f>
        <v>0.85984848484848486</v>
      </c>
      <c r="C10" s="27"/>
    </row>
    <row r="11" spans="1:3" x14ac:dyDescent="0.2">
      <c r="A11" s="19" t="s">
        <v>36</v>
      </c>
      <c r="B11" s="26">
        <f>SQRT(B4 * (1 - B4)/B7)</f>
        <v>1.4213381090374028E-2</v>
      </c>
      <c r="C11" s="27"/>
    </row>
    <row r="12" spans="1:3" x14ac:dyDescent="0.2">
      <c r="A12" s="20" t="s">
        <v>27</v>
      </c>
      <c r="B12" s="22">
        <f>(B10 - B4)/B11</f>
        <v>4.2107141480233041</v>
      </c>
      <c r="C12" s="27"/>
    </row>
    <row r="13" spans="1:3" x14ac:dyDescent="0.2">
      <c r="A13" s="25"/>
      <c r="B13" s="25"/>
      <c r="C13" s="25"/>
    </row>
    <row r="14" spans="1:3" x14ac:dyDescent="0.2">
      <c r="A14" s="108" t="s">
        <v>55</v>
      </c>
      <c r="B14" s="108"/>
      <c r="C14" s="28"/>
    </row>
    <row r="15" spans="1:3" x14ac:dyDescent="0.2">
      <c r="A15" s="20" t="s">
        <v>30</v>
      </c>
      <c r="B15" s="22">
        <f>_xlfn.NORM.S.INV(1-B5)</f>
        <v>1.6448536269514715</v>
      </c>
      <c r="C15" s="27"/>
    </row>
    <row r="16" spans="1:3" x14ac:dyDescent="0.2">
      <c r="A16" s="23" t="s">
        <v>31</v>
      </c>
      <c r="B16" s="22">
        <f>1-_xlfn.NORM.S.DIST(B12, TRUE)</f>
        <v>1.272823431119896E-5</v>
      </c>
      <c r="C16" s="27"/>
    </row>
    <row r="17" spans="1:3" x14ac:dyDescent="0.2">
      <c r="A17" s="24" t="str">
        <f>IF(B16 &lt; B5, "Reject the null hypothesis","Do not reject the null hypothesis")</f>
        <v>Reject the null hypothesis</v>
      </c>
      <c r="B17" s="24"/>
      <c r="C17" s="27"/>
    </row>
    <row r="18" spans="1:3" x14ac:dyDescent="0.2">
      <c r="C18" s="29"/>
    </row>
    <row r="19" spans="1:3" x14ac:dyDescent="0.2">
      <c r="C19" s="29"/>
    </row>
    <row r="21" spans="1:3" x14ac:dyDescent="0.2">
      <c r="C21" s="29"/>
    </row>
    <row r="22" spans="1:3" x14ac:dyDescent="0.2">
      <c r="C22" s="29"/>
    </row>
    <row r="23" spans="1:3" x14ac:dyDescent="0.2">
      <c r="C23" s="29"/>
    </row>
    <row r="24" spans="1:3" x14ac:dyDescent="0.2">
      <c r="C24" s="29"/>
    </row>
    <row r="26" spans="1:3" x14ac:dyDescent="0.2">
      <c r="C26" s="29"/>
    </row>
    <row r="27" spans="1:3" x14ac:dyDescent="0.2">
      <c r="C27" s="29"/>
    </row>
    <row r="28" spans="1:3" x14ac:dyDescent="0.2">
      <c r="C28" s="29"/>
    </row>
    <row r="29" spans="1:3" x14ac:dyDescent="0.2">
      <c r="C29" s="29"/>
    </row>
  </sheetData>
  <mergeCells count="3">
    <mergeCell ref="A3:B3"/>
    <mergeCell ref="A9:B9"/>
    <mergeCell ref="A14:B14"/>
  </mergeCells>
  <printOptions gridLines="1" gridLinesSet="0"/>
  <pageMargins left="0.75" right="0.75" top="1" bottom="1" header="0.5" footer="0.5"/>
  <pageSetup orientation="portrait" horizontalDpi="300" verticalDpi="3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10129-C925-40EA-9478-F49F0568397A}">
  <sheetPr>
    <tabColor rgb="FFFFFF00"/>
  </sheetPr>
  <dimension ref="A1:C29"/>
  <sheetViews>
    <sheetView workbookViewId="0">
      <selection activeCell="H15" sqref="H15"/>
    </sheetView>
  </sheetViews>
  <sheetFormatPr baseColWidth="10" defaultColWidth="9.1640625" defaultRowHeight="15" x14ac:dyDescent="0.2"/>
  <cols>
    <col min="1" max="1" width="25.6640625" style="17" customWidth="1"/>
    <col min="2" max="2" width="15.6640625" style="17" customWidth="1"/>
    <col min="3" max="16384" width="9.1640625" style="17"/>
  </cols>
  <sheetData>
    <row r="1" spans="1:3" x14ac:dyDescent="0.2">
      <c r="A1" s="15" t="s">
        <v>32</v>
      </c>
      <c r="B1" s="16"/>
    </row>
    <row r="3" spans="1:3" x14ac:dyDescent="0.2">
      <c r="A3" s="107" t="s">
        <v>20</v>
      </c>
      <c r="B3" s="107"/>
    </row>
    <row r="4" spans="1:3" x14ac:dyDescent="0.2">
      <c r="A4" s="18" t="s">
        <v>33</v>
      </c>
      <c r="B4" s="18">
        <v>0.8</v>
      </c>
    </row>
    <row r="5" spans="1:3" x14ac:dyDescent="0.2">
      <c r="A5" s="18" t="s">
        <v>22</v>
      </c>
      <c r="B5" s="18">
        <v>0.05</v>
      </c>
    </row>
    <row r="6" spans="1:3" x14ac:dyDescent="0.2">
      <c r="A6" s="18" t="s">
        <v>34</v>
      </c>
      <c r="B6" s="18">
        <v>681</v>
      </c>
    </row>
    <row r="7" spans="1:3" x14ac:dyDescent="0.2">
      <c r="A7" s="18" t="s">
        <v>6</v>
      </c>
      <c r="B7" s="18">
        <v>792</v>
      </c>
    </row>
    <row r="8" spans="1:3" x14ac:dyDescent="0.2">
      <c r="A8" s="25"/>
      <c r="B8" s="25"/>
    </row>
    <row r="9" spans="1:3" x14ac:dyDescent="0.2">
      <c r="A9" s="95" t="s">
        <v>25</v>
      </c>
      <c r="B9" s="95"/>
    </row>
    <row r="10" spans="1:3" x14ac:dyDescent="0.2">
      <c r="A10" s="19" t="s">
        <v>35</v>
      </c>
      <c r="B10" s="26">
        <f>B6/B7</f>
        <v>0.85984848484848486</v>
      </c>
      <c r="C10" s="27"/>
    </row>
    <row r="11" spans="1:3" x14ac:dyDescent="0.2">
      <c r="A11" s="19" t="s">
        <v>36</v>
      </c>
      <c r="B11" s="26">
        <f>SQRT(B4 * (1 - B4)/B7)</f>
        <v>1.4213381090374028E-2</v>
      </c>
      <c r="C11" s="27"/>
    </row>
    <row r="12" spans="1:3" x14ac:dyDescent="0.2">
      <c r="A12" s="20" t="s">
        <v>27</v>
      </c>
      <c r="B12" s="22">
        <f>(B10 - B4)/B11</f>
        <v>4.2107141480233041</v>
      </c>
      <c r="C12" s="27"/>
    </row>
    <row r="13" spans="1:3" x14ac:dyDescent="0.2">
      <c r="A13" s="25"/>
      <c r="B13" s="25"/>
      <c r="C13" s="25"/>
    </row>
    <row r="14" spans="1:3" x14ac:dyDescent="0.2">
      <c r="A14" s="108" t="s">
        <v>53</v>
      </c>
      <c r="B14" s="108"/>
      <c r="C14" s="28"/>
    </row>
    <row r="15" spans="1:3" x14ac:dyDescent="0.2">
      <c r="A15" s="20" t="s">
        <v>29</v>
      </c>
      <c r="B15" s="22">
        <f>_xlfn.NORM.S.INV(B5)</f>
        <v>-1.6448536269514726</v>
      </c>
      <c r="C15" s="27"/>
    </row>
    <row r="16" spans="1:3" x14ac:dyDescent="0.2">
      <c r="A16" s="23" t="s">
        <v>31</v>
      </c>
      <c r="B16" s="22">
        <f>_xlfn.NORM.S.DIST(B12, TRUE)</f>
        <v>0.9999872717656888</v>
      </c>
      <c r="C16" s="27"/>
    </row>
    <row r="17" spans="1:3" x14ac:dyDescent="0.2">
      <c r="A17" s="24" t="str">
        <f>IF(B16 &lt; B5, "Reject the null hypothesis","Do not reject the null hypothesis")</f>
        <v>Do not reject the null hypothesis</v>
      </c>
      <c r="B17" s="24"/>
      <c r="C17" s="27"/>
    </row>
    <row r="18" spans="1:3" x14ac:dyDescent="0.2">
      <c r="A18" s="25"/>
      <c r="B18" s="25"/>
      <c r="C18" s="29"/>
    </row>
    <row r="19" spans="1:3" x14ac:dyDescent="0.2">
      <c r="C19" s="29"/>
    </row>
    <row r="21" spans="1:3" x14ac:dyDescent="0.2">
      <c r="C21" s="29"/>
    </row>
    <row r="22" spans="1:3" x14ac:dyDescent="0.2">
      <c r="C22" s="29"/>
    </row>
    <row r="23" spans="1:3" x14ac:dyDescent="0.2">
      <c r="C23" s="29"/>
    </row>
    <row r="24" spans="1:3" x14ac:dyDescent="0.2">
      <c r="C24" s="29"/>
    </row>
    <row r="26" spans="1:3" x14ac:dyDescent="0.2">
      <c r="C26" s="29"/>
    </row>
    <row r="27" spans="1:3" x14ac:dyDescent="0.2">
      <c r="C27" s="29"/>
    </row>
    <row r="28" spans="1:3" x14ac:dyDescent="0.2">
      <c r="C28" s="29"/>
    </row>
    <row r="29" spans="1:3" x14ac:dyDescent="0.2">
      <c r="C29" s="29"/>
    </row>
  </sheetData>
  <mergeCells count="3">
    <mergeCell ref="A3:B3"/>
    <mergeCell ref="A9:B9"/>
    <mergeCell ref="A14:B14"/>
  </mergeCells>
  <printOptions gridLines="1" gridLinesSet="0"/>
  <pageMargins left="0.75" right="0.75" top="1" bottom="1" header="0.5" footer="0.5"/>
  <pageSetup orientation="portrait"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22</vt:i4>
      </vt:variant>
    </vt:vector>
  </HeadingPairs>
  <TitlesOfParts>
    <vt:vector size="22" baseType="lpstr">
      <vt:lpstr>Read First!</vt:lpstr>
      <vt:lpstr>Answer Sheet.</vt:lpstr>
      <vt:lpstr>8.1</vt:lpstr>
      <vt:lpstr>8.2</vt:lpstr>
      <vt:lpstr>8.3</vt:lpstr>
      <vt:lpstr>9.1</vt:lpstr>
      <vt:lpstr>9.2</vt:lpstr>
      <vt:lpstr>9.3</vt:lpstr>
      <vt:lpstr>CIE Mean Sigma Known</vt:lpstr>
      <vt:lpstr>CIE Sigma Unknown</vt:lpstr>
      <vt:lpstr>CIE Prop.</vt:lpstr>
      <vt:lpstr>n mean</vt:lpstr>
      <vt:lpstr>n prop</vt:lpstr>
      <vt:lpstr>Ztest for Mean</vt:lpstr>
      <vt:lpstr>ZTest Mean UPPER</vt:lpstr>
      <vt:lpstr>Ztest Mean Lower</vt:lpstr>
      <vt:lpstr>Ttest Mean</vt:lpstr>
      <vt:lpstr>TTest Mean Upper</vt:lpstr>
      <vt:lpstr>Ttest Mean Lower</vt:lpstr>
      <vt:lpstr>Ztest for Prop.</vt:lpstr>
      <vt:lpstr>Ztest Prop Upper</vt:lpstr>
      <vt:lpstr>Ztest Prop Lower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Ceccucci, Wendy A. Prof.</dc:creator>
  <cp:lastModifiedBy>Dhruv Khanna</cp:lastModifiedBy>
  <dcterms:created xsi:type="dcterms:W3CDTF">2019-02-08T13:32:09Z</dcterms:created>
  <dcterms:modified xsi:type="dcterms:W3CDTF">2024-11-15T00:00:36Z</dcterms:modified>
</cp:coreProperties>
</file>