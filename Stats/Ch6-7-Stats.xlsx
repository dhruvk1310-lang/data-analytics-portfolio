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ruv/Downloads/"/>
    </mc:Choice>
  </mc:AlternateContent>
  <xr:revisionPtr revIDLastSave="0" documentId="13_ncr:1_{944AFFC5-9D99-7D4B-B669-59B9C3014D5C}" xr6:coauthVersionLast="47" xr6:coauthVersionMax="47" xr10:uidLastSave="{00000000-0000-0000-0000-000000000000}"/>
  <bookViews>
    <workbookView xWindow="0" yWindow="740" windowWidth="29400" windowHeight="18380" activeTab="4" xr2:uid="{2FB3970F-9477-472B-A069-FDB5A802403C}"/>
  </bookViews>
  <sheets>
    <sheet name="Prob 6.1" sheetId="3" r:id="rId1"/>
    <sheet name="6.2" sheetId="4" r:id="rId2"/>
    <sheet name="6.3" sheetId="2" r:id="rId3"/>
    <sheet name="7.1" sheetId="6" r:id="rId4"/>
    <sheet name="7.2" sheetId="5" r:id="rId5"/>
    <sheet name="Answer Sheet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5" l="1"/>
  <c r="F6" i="5"/>
  <c r="F5" i="5"/>
  <c r="F4" i="5"/>
  <c r="F3" i="5"/>
  <c r="F2" i="5"/>
  <c r="F12" i="5"/>
  <c r="B14" i="6"/>
  <c r="B4" i="6"/>
  <c r="B13" i="6"/>
  <c r="B12" i="6"/>
  <c r="B3" i="6" s="1"/>
  <c r="B2" i="6"/>
  <c r="B4" i="2" l="1"/>
  <c r="B3" i="2"/>
  <c r="B2" i="2"/>
  <c r="B10" i="1"/>
  <c r="B9" i="1"/>
  <c r="B8" i="1"/>
  <c r="B6" i="4"/>
  <c r="B5" i="4"/>
  <c r="B4" i="4"/>
  <c r="B3" i="4"/>
  <c r="B2" i="4"/>
  <c r="B4" i="3"/>
  <c r="B3" i="3"/>
  <c r="B2" i="3"/>
  <c r="E4" i="1"/>
  <c r="E5" i="1"/>
  <c r="E2" i="1"/>
  <c r="E3" i="1"/>
  <c r="E12" i="1"/>
  <c r="E11" i="1"/>
  <c r="E10" i="1"/>
  <c r="E9" i="1"/>
  <c r="E8" i="1"/>
  <c r="E7" i="1"/>
  <c r="B14" i="1" l="1"/>
  <c r="B13" i="1"/>
  <c r="B12" i="1"/>
  <c r="B7" i="1"/>
  <c r="B6" i="1"/>
  <c r="B4" i="1"/>
  <c r="B3" i="1"/>
  <c r="B2" i="1"/>
</calcChain>
</file>

<file path=xl/sharedStrings.xml><?xml version="1.0" encoding="utf-8"?>
<sst xmlns="http://schemas.openxmlformats.org/spreadsheetml/2006/main" count="79" uniqueCount="49">
  <si>
    <t>Lower Value</t>
  </si>
  <si>
    <t>Upper Value</t>
  </si>
  <si>
    <t>Mean</t>
  </si>
  <si>
    <t>Chapter 6</t>
  </si>
  <si>
    <t>7.1.A</t>
  </si>
  <si>
    <t>7.1.B</t>
  </si>
  <si>
    <t>7.1.C</t>
  </si>
  <si>
    <t>7.1.D</t>
  </si>
  <si>
    <t>7.2.A</t>
  </si>
  <si>
    <t>7.2.B</t>
  </si>
  <si>
    <t>7.2.C</t>
  </si>
  <si>
    <t>7.2.D</t>
  </si>
  <si>
    <t>Chapter 7</t>
  </si>
  <si>
    <t>PLACE YOUR ANSWER HERE</t>
  </si>
  <si>
    <t>1.A</t>
  </si>
  <si>
    <t>1.B</t>
  </si>
  <si>
    <t>1.C</t>
  </si>
  <si>
    <t>1.D</t>
  </si>
  <si>
    <t>1.E</t>
  </si>
  <si>
    <t>std Dev</t>
  </si>
  <si>
    <t>2.A</t>
  </si>
  <si>
    <t>2.B</t>
  </si>
  <si>
    <t>2.C</t>
  </si>
  <si>
    <t>Mean:</t>
  </si>
  <si>
    <t xml:space="preserve">Std. Dev.: </t>
  </si>
  <si>
    <t>2.D</t>
  </si>
  <si>
    <t>THIS iS A UNIFORM DISTRIBTION PROBLEM! - DO NOT USE THE NORM DIST FUNCTION!</t>
  </si>
  <si>
    <t>3.A</t>
  </si>
  <si>
    <t>3.B</t>
  </si>
  <si>
    <t>3.C</t>
  </si>
  <si>
    <t>7.2.E</t>
  </si>
  <si>
    <t xml:space="preserve">FOR SOLVING PURPOSES </t>
  </si>
  <si>
    <t>Given:</t>
  </si>
  <si>
    <r>
      <t>Lower bound (a)</t>
    </r>
    <r>
      <rPr>
        <sz val="11"/>
        <color theme="1"/>
        <rFont val="Calibri"/>
        <family val="2"/>
        <scheme val="minor"/>
      </rPr>
      <t xml:space="preserve"> = 60 minutes</t>
    </r>
  </si>
  <si>
    <r>
      <t>Upper bound (b)</t>
    </r>
    <r>
      <rPr>
        <sz val="11"/>
        <color theme="1"/>
        <rFont val="Calibri"/>
        <family val="2"/>
        <scheme val="minor"/>
      </rPr>
      <t xml:space="preserve"> = 80 minutes</t>
    </r>
  </si>
  <si>
    <t>Formula:</t>
  </si>
  <si>
    <t>P(X)=x−ab−aP(X) = \frac{x - a}{b - a}P(X)=b−ax−a​</t>
  </si>
  <si>
    <t>Where:</t>
  </si>
  <si>
    <t>x is the value you're calculating for,</t>
  </si>
  <si>
    <t>a is the lower bound,</t>
  </si>
  <si>
    <t>b is the upper bound.</t>
  </si>
  <si>
    <t>a=</t>
  </si>
  <si>
    <t>(65 - 60) / (80 - 60)</t>
  </si>
  <si>
    <t>b=</t>
  </si>
  <si>
    <t>c=</t>
  </si>
  <si>
    <t>(80 - 70) / (80 - 60)</t>
  </si>
  <si>
    <t>Std error</t>
  </si>
  <si>
    <t>(68 - 62) / (80 - 60)</t>
  </si>
  <si>
    <t>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</si>
</sst>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$&quot;#,##0"/>
    <numFmt numFmtId="165" formatCode="0.0000"/>
    <numFmt numFmtId="166" formatCode="0.00000"/>
    <numFmt numFmtId="167" formatCode="0.0%"/>
    <numFmt numFmtId="168" formatCode="0.00000000%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2" borderId="1" xfId="1"/>
    <xf numFmtId="9" fontId="0" fillId="0" borderId="0" xfId="2" applyFont="1"/>
    <xf numFmtId="0" fontId="0" fillId="0" borderId="0" xfId="0" quotePrefix="1"/>
    <xf numFmtId="10" fontId="0" fillId="3" borderId="0" xfId="2" applyNumberFormat="1" applyFont="1" applyFill="1"/>
    <xf numFmtId="2" fontId="0" fillId="3" borderId="0" xfId="0" applyNumberFormat="1" applyFill="1"/>
    <xf numFmtId="10" fontId="1" fillId="2" borderId="1" xfId="1" applyNumberFormat="1"/>
    <xf numFmtId="2" fontId="1" fillId="2" borderId="1" xfId="1" applyNumberFormat="1"/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43" fontId="1" fillId="2" borderId="1" xfId="3" applyFont="1" applyFill="1" applyBorder="1"/>
    <xf numFmtId="43" fontId="0" fillId="3" borderId="0" xfId="3" applyFont="1" applyFill="1"/>
    <xf numFmtId="166" fontId="1" fillId="2" borderId="1" xfId="1" applyNumberFormat="1"/>
    <xf numFmtId="165" fontId="1" fillId="2" borderId="1" xfId="1" applyNumberFormat="1"/>
    <xf numFmtId="2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  <xf numFmtId="10" fontId="0" fillId="0" borderId="0" xfId="2" applyNumberFormat="1" applyFont="1"/>
    <xf numFmtId="9" fontId="0" fillId="3" borderId="0" xfId="2" applyFont="1" applyFill="1"/>
    <xf numFmtId="9" fontId="1" fillId="2" borderId="1" xfId="2" applyFont="1" applyFill="1" applyBorder="1"/>
    <xf numFmtId="167" fontId="0" fillId="3" borderId="0" xfId="2" applyNumberFormat="1" applyFont="1" applyFill="1"/>
    <xf numFmtId="168" fontId="0" fillId="3" borderId="0" xfId="2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3" builtinId="3"/>
    <cellStyle name="Input" xfId="1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0</xdr:rowOff>
    </xdr:from>
    <xdr:to>
      <xdr:col>14</xdr:col>
      <xdr:colOff>584200</xdr:colOff>
      <xdr:row>10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F52E65-0498-4E37-A2C9-E6EA223FD411}"/>
            </a:ext>
          </a:extLst>
        </xdr:cNvPr>
        <xdr:cNvSpPr txBox="1"/>
      </xdr:nvSpPr>
      <xdr:spPr>
        <a:xfrm>
          <a:off x="2476500" y="184150"/>
          <a:ext cx="6642100" cy="174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scores on a standardized test are normally distributed, with a mean of 75 and a standard deviation of 10.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What percentage of students score 55 or below on the test?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What percentage of students score 80 or above on the test?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The test administrator wants to ensure that only 3% of the students receive a failing grade. What cut-off score should they use to ensure only 3% get a failing grade?</a:t>
          </a:r>
        </a:p>
      </xdr:txBody>
    </xdr:sp>
    <xdr:clientData/>
  </xdr:twoCellAnchor>
  <xdr:twoCellAnchor>
    <xdr:from>
      <xdr:col>4</xdr:col>
      <xdr:colOff>47625</xdr:colOff>
      <xdr:row>10</xdr:row>
      <xdr:rowOff>114300</xdr:rowOff>
    </xdr:from>
    <xdr:to>
      <xdr:col>14</xdr:col>
      <xdr:colOff>600075</xdr:colOff>
      <xdr:row>18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5C3C00-C4C3-4FF9-8A25-1A29CE6AF08F}"/>
            </a:ext>
          </a:extLst>
        </xdr:cNvPr>
        <xdr:cNvSpPr txBox="1"/>
      </xdr:nvSpPr>
      <xdr:spPr>
        <a:xfrm>
          <a:off x="2486025" y="2019300"/>
          <a:ext cx="664845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 receive</a:t>
          </a:r>
          <a:r>
            <a:rPr lang="en-US" sz="1100" baseline="0"/>
            <a:t> credit you must show your work on the problem sheets using the Norm.dist and Norm. Inv functions.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I have added some data validation to the cells to ensure that you enter a  valid probability value (ie between 0 and 1)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Note:  You are welcome to use an AI application to check your answers, but you need to use the Excel functions to solve the problems and I should be able to see your calculations.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38100</xdr:rowOff>
    </xdr:from>
    <xdr:to>
      <xdr:col>12</xdr:col>
      <xdr:colOff>533400</xdr:colOff>
      <xdr:row>8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BFAC4-59E1-4DAA-B249-974992942223}"/>
            </a:ext>
          </a:extLst>
        </xdr:cNvPr>
        <xdr:cNvSpPr txBox="1"/>
      </xdr:nvSpPr>
      <xdr:spPr>
        <a:xfrm>
          <a:off x="3060700" y="38100"/>
          <a:ext cx="4787900" cy="154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The mean monthly pay for interns at Google is $7,000. Suppose that the intern monthly pay is normally distributed with a standard deviation of $600.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probability that the monthly pay of an intern at Google is: 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less than $6,400? 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between $6,200 and $6,800? 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above $7,500? 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Ninety-eight percent of the intern monthly pays are between what two values, symmetrically distributed around the mean?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0</xdr:row>
      <xdr:rowOff>12701</xdr:rowOff>
    </xdr:from>
    <xdr:to>
      <xdr:col>15</xdr:col>
      <xdr:colOff>539750</xdr:colOff>
      <xdr:row>4</xdr:row>
      <xdr:rowOff>104776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A31BA6-03AE-40D2-949B-41986B1361CD}"/>
            </a:ext>
          </a:extLst>
        </xdr:cNvPr>
        <xdr:cNvSpPr txBox="1"/>
      </xdr:nvSpPr>
      <xdr:spPr>
        <a:xfrm>
          <a:off x="2632075" y="12701"/>
          <a:ext cx="7042150" cy="1263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3.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scheduled commuting time on the Metro-North Railroad from New Haven to New York City is 75 minutes. Suppose that the actual commuting time is </a:t>
          </a:r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uniformly distributed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between 60 and 80 minutes. What is the probability that the commuting time will be: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less than 65 minutes?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between 62 and 68 minutes?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greater than 70 minutes? 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212725</xdr:colOff>
      <xdr:row>0</xdr:row>
      <xdr:rowOff>0</xdr:rowOff>
    </xdr:from>
    <xdr:to>
      <xdr:col>15</xdr:col>
      <xdr:colOff>85725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73548A-6702-4EC0-B9F6-7072A200C4E3}"/>
            </a:ext>
          </a:extLst>
        </xdr:cNvPr>
        <xdr:cNvSpPr txBox="1"/>
      </xdr:nvSpPr>
      <xdr:spPr>
        <a:xfrm>
          <a:off x="2708275" y="0"/>
          <a:ext cx="657860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7.2  Given a test that is normally distributed with a mean of 100 and a standard deviation of 20, find:</a:t>
          </a:r>
        </a:p>
        <a:p>
          <a:r>
            <a:rPr lang="en-US"/>
            <a:t>(a) the probability that </a:t>
          </a:r>
          <a:r>
            <a:rPr lang="en-US" b="1"/>
            <a:t>a </a:t>
          </a:r>
          <a:r>
            <a:rPr lang="en-US" b="1">
              <a:solidFill>
                <a:srgbClr val="FF0000"/>
              </a:solidFill>
            </a:rPr>
            <a:t>single score </a:t>
          </a:r>
          <a:r>
            <a:rPr lang="en-US"/>
            <a:t>drawn at random will be greater than 103</a:t>
          </a:r>
          <a:br>
            <a:rPr lang="en-US"/>
          </a:br>
          <a:r>
            <a:rPr lang="en-US"/>
            <a:t>(b) the probability that a sample of 25 scores will have </a:t>
          </a:r>
          <a:r>
            <a:rPr lang="en-US" b="1">
              <a:solidFill>
                <a:srgbClr val="FF0000"/>
              </a:solidFill>
            </a:rPr>
            <a:t>a mean greater </a:t>
          </a:r>
          <a:r>
            <a:rPr lang="en-US"/>
            <a:t>than 103</a:t>
          </a:r>
          <a:br>
            <a:rPr lang="en-US"/>
          </a:br>
          <a:r>
            <a:rPr lang="en-US"/>
            <a:t>(c) the probability that a sample of 64 scores will have a mean greater than 103</a:t>
          </a:r>
          <a:br>
            <a:rPr lang="en-US"/>
          </a:br>
          <a:r>
            <a:rPr lang="en-US"/>
            <a:t>(d) the probability that the mean of a sample of 16 scores will be either less than 95</a:t>
          </a:r>
          <a:r>
            <a:rPr lang="en-US" b="1">
              <a:solidFill>
                <a:srgbClr val="FF0000"/>
              </a:solidFill>
            </a:rPr>
            <a:t> or </a:t>
          </a:r>
          <a:r>
            <a:rPr lang="en-US"/>
            <a:t>greater than 105 </a:t>
          </a:r>
          <a:br>
            <a:rPr lang="en-US"/>
          </a:br>
          <a:r>
            <a:rPr lang="en-US"/>
            <a:t>Reminder - with an or condition</a:t>
          </a:r>
          <a:r>
            <a:rPr lang="en-US" baseline="0"/>
            <a:t> </a:t>
          </a:r>
          <a:r>
            <a:rPr lang="en-US"/>
            <a:t>you need to sum</a:t>
          </a:r>
          <a:r>
            <a:rPr lang="en-US" baseline="0"/>
            <a:t> the probability less than 95 plus the probability greater than 105</a:t>
          </a:r>
        </a:p>
        <a:p>
          <a:endParaRPr lang="en-US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Be sure to look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at Prob 7-26 in the Sampling Distribution of Mean section of the Notes</a:t>
          </a:r>
          <a:b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Don't forget to use the std Error instead of the Std dev for parts B - D!!</a:t>
          </a:r>
          <a:endParaRPr lang="en-US" b="1">
            <a:solidFill>
              <a:srgbClr val="FF0000"/>
            </a:solidFill>
            <a:effectLst/>
          </a:endParaRPr>
        </a:p>
        <a:p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0</xdr:row>
      <xdr:rowOff>63501</xdr:rowOff>
    </xdr:from>
    <xdr:to>
      <xdr:col>17</xdr:col>
      <xdr:colOff>422275</xdr:colOff>
      <xdr:row>10</xdr:row>
      <xdr:rowOff>38101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82D8EA-B9FB-4B90-BE05-583B3FA5DC77}"/>
            </a:ext>
          </a:extLst>
        </xdr:cNvPr>
        <xdr:cNvSpPr txBox="1"/>
      </xdr:nvSpPr>
      <xdr:spPr>
        <a:xfrm>
          <a:off x="5924550" y="63501"/>
          <a:ext cx="5289550" cy="187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fill amount of cartons of milk is normally distributed, with a mean of 2.5 liters and a standard deviation of 0.04 liters. If you select a random sample of 36 cartons, what is the probability that the sample mean will be: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Between 2.48 and 2.5 liters?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Below 2.47 liters?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Greater than 2.51 liters?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The probability is 99% that the sample mean amount of milk will be at least how much?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The probability is 99% that the sample mean amount of milk will be between which two values (symmetrically distributed around the mean)?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558800</xdr:colOff>
      <xdr:row>0</xdr:row>
      <xdr:rowOff>171450</xdr:rowOff>
    </xdr:from>
    <xdr:to>
      <xdr:col>11</xdr:col>
      <xdr:colOff>98425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9142A7-6321-4AE8-95A1-93232D70BB53}"/>
            </a:ext>
          </a:extLst>
        </xdr:cNvPr>
        <xdr:cNvSpPr txBox="1"/>
      </xdr:nvSpPr>
      <xdr:spPr>
        <a:xfrm>
          <a:off x="4054475" y="171450"/>
          <a:ext cx="353060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Please DO NOT WRITE</a:t>
          </a:r>
          <a:r>
            <a:rPr lang="en-US" sz="1100" baseline="0"/>
            <a:t> ON THIS SHEET.</a:t>
          </a:r>
        </a:p>
        <a:p>
          <a:r>
            <a:rPr lang="en-US" sz="1100" baseline="0"/>
            <a:t>This is for me to easily check your answers.</a:t>
          </a:r>
          <a:br>
            <a:rPr lang="en-US" sz="1100" baseline="0"/>
          </a:br>
          <a:r>
            <a:rPr lang="en-US" sz="1100" baseline="0"/>
            <a:t>Thanks!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42E94E-8D19-BD47-AA63-48556F29B4CA}">
  <we:reference id="wa200005502" version="1.0.0.11" store="en-GB" storeType="OMEX"/>
  <we:alternateReferences>
    <we:reference id="wa200005502" version="1.0.0.11" store="" storeType="OMEX"/>
  </we:alternateReferences>
  <we:properties>
    <we:property name="docId" value="&quot;8ASMNh8lXcZZarunLGoJ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1E67-FDC4-4EA0-9B44-395C1CFE974E}">
  <dimension ref="A1:D26"/>
  <sheetViews>
    <sheetView workbookViewId="0">
      <selection activeCell="A6" sqref="A6:A7"/>
    </sheetView>
  </sheetViews>
  <sheetFormatPr baseColWidth="10" defaultColWidth="8.83203125" defaultRowHeight="15" x14ac:dyDescent="0.2"/>
  <cols>
    <col min="4" max="4" width="40.83203125" bestFit="1" customWidth="1"/>
  </cols>
  <sheetData>
    <row r="1" spans="1:2" x14ac:dyDescent="0.2">
      <c r="B1" t="s">
        <v>13</v>
      </c>
    </row>
    <row r="2" spans="1:2" x14ac:dyDescent="0.2">
      <c r="A2" t="s">
        <v>14</v>
      </c>
      <c r="B2" s="5">
        <f>_xlfn.NORM.DIST(55,B6,B7, TRUE)</f>
        <v>2.2750131948179191E-2</v>
      </c>
    </row>
    <row r="3" spans="1:2" x14ac:dyDescent="0.2">
      <c r="A3" t="s">
        <v>15</v>
      </c>
      <c r="B3" s="5">
        <f>1-(_xlfn.NORM.DIST(80,B6,B7,TRUE))</f>
        <v>0.30853753872598688</v>
      </c>
    </row>
    <row r="4" spans="1:2" x14ac:dyDescent="0.2">
      <c r="A4" t="s">
        <v>16</v>
      </c>
      <c r="B4" s="6">
        <f>_xlfn.NORM.INV(0.03,B6,B7)</f>
        <v>56.192063918487491</v>
      </c>
    </row>
    <row r="6" spans="1:2" x14ac:dyDescent="0.2">
      <c r="A6" s="9" t="s">
        <v>2</v>
      </c>
      <c r="B6">
        <v>75</v>
      </c>
    </row>
    <row r="7" spans="1:2" x14ac:dyDescent="0.2">
      <c r="A7" s="9" t="s">
        <v>19</v>
      </c>
      <c r="B7">
        <v>10</v>
      </c>
    </row>
    <row r="16" spans="1:2" x14ac:dyDescent="0.2">
      <c r="B16" s="4"/>
    </row>
    <row r="22" spans="4:4" x14ac:dyDescent="0.2">
      <c r="D22" s="3"/>
    </row>
    <row r="23" spans="4:4" x14ac:dyDescent="0.2">
      <c r="D23" s="3"/>
    </row>
    <row r="24" spans="4:4" x14ac:dyDescent="0.2">
      <c r="D24" s="20"/>
    </row>
    <row r="25" spans="4:4" x14ac:dyDescent="0.2">
      <c r="D25" s="3"/>
    </row>
    <row r="26" spans="4:4" x14ac:dyDescent="0.2">
      <c r="D26" s="3"/>
    </row>
  </sheetData>
  <dataValidations count="1">
    <dataValidation type="decimal" allowBlank="1" showInputMessage="1" showErrorMessage="1" errorTitle="Invalid Value" error="A probability is always between 0 and 1" sqref="B2:B3" xr:uid="{B558F567-42F8-44B8-8416-44C78B7437D7}">
      <formula1>0</formula1>
      <formula2>1</formula2>
    </dataValidation>
  </dataValidation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47CF-88C4-48B7-9AF1-0B1FFE4117EC}">
  <dimension ref="A1:C32"/>
  <sheetViews>
    <sheetView workbookViewId="0">
      <selection activeCell="B5" sqref="B5"/>
    </sheetView>
  </sheetViews>
  <sheetFormatPr baseColWidth="10" defaultColWidth="8.83203125" defaultRowHeight="15" x14ac:dyDescent="0.2"/>
  <cols>
    <col min="2" max="2" width="14.1640625" customWidth="1"/>
  </cols>
  <sheetData>
    <row r="1" spans="1:3" x14ac:dyDescent="0.2">
      <c r="B1" t="s">
        <v>13</v>
      </c>
    </row>
    <row r="2" spans="1:3" x14ac:dyDescent="0.2">
      <c r="A2" t="s">
        <v>20</v>
      </c>
      <c r="B2" s="21">
        <f>_xlfn.NORM.DIST(6400,B8,B9,TRUE)</f>
        <v>0.15865525393145699</v>
      </c>
    </row>
    <row r="3" spans="1:3" x14ac:dyDescent="0.2">
      <c r="A3" t="s">
        <v>21</v>
      </c>
      <c r="B3" s="21">
        <f>_xlfn.NORM.DIST(6800, 7000, 600, TRUE) - _xlfn.NORM.DIST(6200, 7000, 600, TRUE)</f>
        <v>0.27823012045589574</v>
      </c>
    </row>
    <row r="4" spans="1:3" x14ac:dyDescent="0.2">
      <c r="A4" t="s">
        <v>22</v>
      </c>
      <c r="B4" s="21">
        <f>1 - _xlfn.NORM.DIST(7500, 7000, 600, TRUE)</f>
        <v>0.20232838096364303</v>
      </c>
    </row>
    <row r="5" spans="1:3" x14ac:dyDescent="0.2">
      <c r="A5" t="s">
        <v>25</v>
      </c>
      <c r="B5" s="6">
        <f>_xlfn.NORM.INV(0.01, 7000, 600)</f>
        <v>5604.1912755754956</v>
      </c>
      <c r="C5" t="s">
        <v>0</v>
      </c>
    </row>
    <row r="6" spans="1:3" x14ac:dyDescent="0.2">
      <c r="B6" s="6">
        <f>_xlfn.NORM.INV(0.99, 7000, 600)</f>
        <v>8395.8087244245035</v>
      </c>
      <c r="C6" t="s">
        <v>1</v>
      </c>
    </row>
    <row r="7" spans="1:3" x14ac:dyDescent="0.2">
      <c r="B7" s="17"/>
    </row>
    <row r="8" spans="1:3" x14ac:dyDescent="0.2">
      <c r="A8" s="9" t="s">
        <v>23</v>
      </c>
      <c r="B8" s="10">
        <v>7000</v>
      </c>
    </row>
    <row r="9" spans="1:3" x14ac:dyDescent="0.2">
      <c r="A9" s="9" t="s">
        <v>24</v>
      </c>
      <c r="B9" s="10">
        <v>600</v>
      </c>
    </row>
    <row r="12" spans="1:3" x14ac:dyDescent="0.2">
      <c r="B12" s="9"/>
    </row>
    <row r="13" spans="1:3" x14ac:dyDescent="0.2">
      <c r="B13" s="11"/>
    </row>
    <row r="14" spans="1:3" x14ac:dyDescent="0.2">
      <c r="B14" s="11"/>
    </row>
    <row r="16" spans="1:3" x14ac:dyDescent="0.2">
      <c r="B16" s="9"/>
    </row>
    <row r="17" spans="2:2" x14ac:dyDescent="0.2">
      <c r="B17" s="11"/>
    </row>
    <row r="18" spans="2:2" x14ac:dyDescent="0.2">
      <c r="B18" s="11"/>
    </row>
    <row r="19" spans="2:2" x14ac:dyDescent="0.2">
      <c r="B19" s="11"/>
    </row>
    <row r="20" spans="2:2" x14ac:dyDescent="0.2">
      <c r="B20" s="11"/>
    </row>
    <row r="21" spans="2:2" x14ac:dyDescent="0.2">
      <c r="B21" s="11"/>
    </row>
    <row r="23" spans="2:2" x14ac:dyDescent="0.2">
      <c r="B23" s="12"/>
    </row>
    <row r="24" spans="2:2" x14ac:dyDescent="0.2">
      <c r="B24" s="11"/>
    </row>
    <row r="25" spans="2:2" x14ac:dyDescent="0.2">
      <c r="B25" s="11"/>
    </row>
    <row r="26" spans="2:2" x14ac:dyDescent="0.2">
      <c r="B26" s="11"/>
    </row>
    <row r="28" spans="2:2" x14ac:dyDescent="0.2">
      <c r="B28" s="12"/>
    </row>
    <row r="29" spans="2:2" x14ac:dyDescent="0.2">
      <c r="B29" s="11"/>
    </row>
    <row r="30" spans="2:2" x14ac:dyDescent="0.2">
      <c r="B30" s="11"/>
    </row>
    <row r="31" spans="2:2" x14ac:dyDescent="0.2">
      <c r="B31" s="11"/>
    </row>
    <row r="32" spans="2:2" x14ac:dyDescent="0.2">
      <c r="B32" s="11"/>
    </row>
  </sheetData>
  <dataValidations count="1">
    <dataValidation type="decimal" allowBlank="1" showInputMessage="1" showErrorMessage="1" errorTitle="Invalid Value" error="A probability is always between 0 and 1" sqref="B2:B3" xr:uid="{B6CD38BF-5A06-40BB-ACC3-5248F4575D88}">
      <formula1>0</formula1>
      <formula2>1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FBB6-EEA4-4F47-984A-0B719B31AF28}">
  <dimension ref="A1:D30"/>
  <sheetViews>
    <sheetView workbookViewId="0">
      <selection activeCell="A19" sqref="A19:D19"/>
    </sheetView>
  </sheetViews>
  <sheetFormatPr baseColWidth="10" defaultColWidth="8.83203125" defaultRowHeight="15" x14ac:dyDescent="0.2"/>
  <cols>
    <col min="1" max="1" width="7.5" bestFit="1" customWidth="1"/>
    <col min="2" max="2" width="9" customWidth="1"/>
    <col min="3" max="3" width="16.5" customWidth="1"/>
  </cols>
  <sheetData>
    <row r="1" spans="1:4" ht="47.25" customHeight="1" x14ac:dyDescent="0.2">
      <c r="A1" s="26" t="s">
        <v>26</v>
      </c>
      <c r="B1" s="26"/>
      <c r="C1" s="26"/>
      <c r="D1" s="26"/>
    </row>
    <row r="2" spans="1:4" x14ac:dyDescent="0.2">
      <c r="A2" t="s">
        <v>27</v>
      </c>
      <c r="B2" s="22">
        <f>(65-60)/(80-60)</f>
        <v>0.25</v>
      </c>
    </row>
    <row r="3" spans="1:4" x14ac:dyDescent="0.2">
      <c r="A3" t="s">
        <v>28</v>
      </c>
      <c r="B3" s="22">
        <f>(68-62)/(80-60)</f>
        <v>0.3</v>
      </c>
    </row>
    <row r="4" spans="1:4" x14ac:dyDescent="0.2">
      <c r="A4" t="s">
        <v>29</v>
      </c>
      <c r="B4" s="22">
        <f>(80 - 70) / (80 - 60)</f>
        <v>0.5</v>
      </c>
    </row>
    <row r="12" spans="1:4" x14ac:dyDescent="0.2">
      <c r="A12" s="25" t="s">
        <v>31</v>
      </c>
      <c r="B12" s="25"/>
      <c r="C12" s="25"/>
    </row>
    <row r="13" spans="1:4" ht="19" x14ac:dyDescent="0.25">
      <c r="A13" s="19" t="s">
        <v>32</v>
      </c>
    </row>
    <row r="15" spans="1:4" x14ac:dyDescent="0.2">
      <c r="A15" s="27" t="s">
        <v>33</v>
      </c>
      <c r="B15" s="27"/>
      <c r="C15" s="27"/>
    </row>
    <row r="16" spans="1:4" x14ac:dyDescent="0.2">
      <c r="A16" s="27" t="s">
        <v>34</v>
      </c>
      <c r="B16" s="27"/>
      <c r="C16" s="27"/>
    </row>
    <row r="18" spans="1:4" ht="19" x14ac:dyDescent="0.25">
      <c r="A18" s="28" t="s">
        <v>35</v>
      </c>
      <c r="B18" s="28"/>
    </row>
    <row r="19" spans="1:4" x14ac:dyDescent="0.2">
      <c r="A19" s="25" t="s">
        <v>36</v>
      </c>
      <c r="B19" s="25"/>
      <c r="C19" s="25"/>
      <c r="D19" s="25"/>
    </row>
    <row r="20" spans="1:4" x14ac:dyDescent="0.2">
      <c r="A20" s="25" t="s">
        <v>37</v>
      </c>
      <c r="B20" s="25"/>
      <c r="C20" s="18"/>
    </row>
    <row r="21" spans="1:4" x14ac:dyDescent="0.2">
      <c r="A21" s="25" t="s">
        <v>38</v>
      </c>
      <c r="B21" s="25"/>
      <c r="C21" s="25"/>
    </row>
    <row r="22" spans="1:4" x14ac:dyDescent="0.2">
      <c r="A22" s="25" t="s">
        <v>39</v>
      </c>
      <c r="B22" s="25"/>
      <c r="C22" s="25"/>
    </row>
    <row r="23" spans="1:4" x14ac:dyDescent="0.2">
      <c r="A23" s="25" t="s">
        <v>40</v>
      </c>
      <c r="B23" s="25"/>
      <c r="C23" s="25"/>
    </row>
    <row r="25" spans="1:4" x14ac:dyDescent="0.2">
      <c r="B25" t="s">
        <v>41</v>
      </c>
      <c r="C25" t="s">
        <v>42</v>
      </c>
    </row>
    <row r="26" spans="1:4" x14ac:dyDescent="0.2">
      <c r="B26" t="s">
        <v>43</v>
      </c>
      <c r="C26" t="s">
        <v>47</v>
      </c>
    </row>
    <row r="27" spans="1:4" x14ac:dyDescent="0.2">
      <c r="B27" t="s">
        <v>44</v>
      </c>
      <c r="C27" t="s">
        <v>45</v>
      </c>
    </row>
    <row r="30" spans="1:4" ht="19" x14ac:dyDescent="0.25">
      <c r="A30" s="19"/>
    </row>
  </sheetData>
  <mergeCells count="10">
    <mergeCell ref="A1:D1"/>
    <mergeCell ref="A12:C12"/>
    <mergeCell ref="A15:C15"/>
    <mergeCell ref="A16:C16"/>
    <mergeCell ref="A18:B18"/>
    <mergeCell ref="A19:D19"/>
    <mergeCell ref="A22:C22"/>
    <mergeCell ref="A23:C23"/>
    <mergeCell ref="A21:C21"/>
    <mergeCell ref="A20:B20"/>
  </mergeCells>
  <dataValidations count="1">
    <dataValidation type="decimal" allowBlank="1" showInputMessage="1" showErrorMessage="1" errorTitle="Invalid Entry" error="Probabilty values are always between 0 and 1." sqref="B2:B4" xr:uid="{8B09B362-3E57-441B-B989-D458D6A7BBFF}">
      <formula1>0</formula1>
      <formula2>1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0FB6-6713-4B42-8336-D3AA5A2542ED}">
  <dimension ref="A1:B14"/>
  <sheetViews>
    <sheetView workbookViewId="0">
      <selection activeCell="B13" sqref="B13"/>
    </sheetView>
  </sheetViews>
  <sheetFormatPr baseColWidth="10" defaultColWidth="8.83203125" defaultRowHeight="15" x14ac:dyDescent="0.2"/>
  <cols>
    <col min="2" max="2" width="10" bestFit="1" customWidth="1"/>
  </cols>
  <sheetData>
    <row r="1" spans="1:2" x14ac:dyDescent="0.2">
      <c r="B1" t="s">
        <v>13</v>
      </c>
    </row>
    <row r="2" spans="1:2" x14ac:dyDescent="0.2">
      <c r="A2" t="s">
        <v>14</v>
      </c>
      <c r="B2" s="21">
        <f>1-(_xlfn.NORM.DIST(103,B9,B10,TRUE))</f>
        <v>0.4403823076297575</v>
      </c>
    </row>
    <row r="3" spans="1:2" x14ac:dyDescent="0.2">
      <c r="A3" t="s">
        <v>15</v>
      </c>
      <c r="B3" s="21">
        <f>1-(_xlfn.NORM.DIST(103,100,B12,TRUE))</f>
        <v>0.22662735237686826</v>
      </c>
    </row>
    <row r="4" spans="1:2" x14ac:dyDescent="0.2">
      <c r="A4" t="s">
        <v>16</v>
      </c>
      <c r="B4" s="21">
        <f>_xlfn.NORM.DIST(103,B9,B13,TRUE)</f>
        <v>0.88493032977829178</v>
      </c>
    </row>
    <row r="5" spans="1:2" x14ac:dyDescent="0.2">
      <c r="A5" t="s">
        <v>17</v>
      </c>
      <c r="B5" s="21">
        <v>0</v>
      </c>
    </row>
    <row r="9" spans="1:2" x14ac:dyDescent="0.2">
      <c r="A9" s="9" t="s">
        <v>23</v>
      </c>
      <c r="B9">
        <v>100</v>
      </c>
    </row>
    <row r="10" spans="1:2" x14ac:dyDescent="0.2">
      <c r="A10" s="9" t="s">
        <v>24</v>
      </c>
      <c r="B10">
        <v>20</v>
      </c>
    </row>
    <row r="12" spans="1:2" x14ac:dyDescent="0.2">
      <c r="A12" t="s">
        <v>46</v>
      </c>
      <c r="B12">
        <f>B10/(SQRT(25))</f>
        <v>4</v>
      </c>
    </row>
    <row r="13" spans="1:2" x14ac:dyDescent="0.2">
      <c r="B13">
        <f>B10/(SQRT(64))</f>
        <v>2.5</v>
      </c>
    </row>
    <row r="14" spans="1:2" x14ac:dyDescent="0.2">
      <c r="B14">
        <f>B10/(SQRT(16))</f>
        <v>5</v>
      </c>
    </row>
  </sheetData>
  <dataValidations count="1">
    <dataValidation type="decimal" allowBlank="1" showInputMessage="1" showErrorMessage="1" errorTitle="Invalid Value" error="A probability is always between 0 and 1" sqref="B2:B3" xr:uid="{9D6BE26F-B82E-4F9D-B7B9-F17BFFB4A9E5}">
      <formula1>0</formula1>
      <formula2>1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F31E-8BA5-404D-BBEF-894143A22939}">
  <dimension ref="C1:G12"/>
  <sheetViews>
    <sheetView tabSelected="1" topLeftCell="E1" workbookViewId="0">
      <selection activeCell="F12" sqref="F12"/>
    </sheetView>
  </sheetViews>
  <sheetFormatPr baseColWidth="10" defaultColWidth="8.83203125" defaultRowHeight="15" x14ac:dyDescent="0.2"/>
  <cols>
    <col min="2" max="2" width="15.1640625" customWidth="1"/>
    <col min="6" max="6" width="13.6640625" bestFit="1" customWidth="1"/>
  </cols>
  <sheetData>
    <row r="1" spans="3:7" x14ac:dyDescent="0.2">
      <c r="F1" t="s">
        <v>13</v>
      </c>
    </row>
    <row r="2" spans="3:7" x14ac:dyDescent="0.2">
      <c r="E2" t="s">
        <v>14</v>
      </c>
      <c r="F2" s="23">
        <f>(_xlfn.NORM.DIST(2.5,F10,F12,TRUE))-(_xlfn.NORM.DIST(2.48,F10,F12,TRUE))</f>
        <v>0.4986501019683699</v>
      </c>
    </row>
    <row r="3" spans="3:7" x14ac:dyDescent="0.2">
      <c r="E3" t="s">
        <v>15</v>
      </c>
      <c r="F3" s="24">
        <f>(_xlfn.NORM.DIST(2.47,F10,F12,TRUE))</f>
        <v>3.3976731247305223E-6</v>
      </c>
    </row>
    <row r="4" spans="3:7" x14ac:dyDescent="0.2">
      <c r="E4" t="s">
        <v>16</v>
      </c>
      <c r="F4" s="5">
        <f>1-(_xlfn.NORM.DIST(2.51,F10,F12,TRUE))</f>
        <v>6.6807201268862193E-2</v>
      </c>
    </row>
    <row r="5" spans="3:7" x14ac:dyDescent="0.2">
      <c r="E5" t="s">
        <v>17</v>
      </c>
      <c r="F5" s="14">
        <f>_xlfn.NORM.INV(0.01,F10,F12)</f>
        <v>2.4844910141730612</v>
      </c>
    </row>
    <row r="6" spans="3:7" x14ac:dyDescent="0.2">
      <c r="E6" t="s">
        <v>18</v>
      </c>
      <c r="F6" s="14">
        <f>_xlfn.NORM.INV(0.005,2.5,F12)</f>
        <v>2.4828278046430072</v>
      </c>
      <c r="G6" t="s">
        <v>0</v>
      </c>
    </row>
    <row r="7" spans="3:7" x14ac:dyDescent="0.2">
      <c r="C7" s="3"/>
      <c r="F7" s="14">
        <f>_xlfn.NORM.INV(0.995,2.5,F12)</f>
        <v>2.5171721953569928</v>
      </c>
      <c r="G7" t="s">
        <v>1</v>
      </c>
    </row>
    <row r="10" spans="3:7" x14ac:dyDescent="0.2">
      <c r="E10" s="9" t="s">
        <v>2</v>
      </c>
      <c r="F10">
        <v>2.5</v>
      </c>
    </row>
    <row r="11" spans="3:7" x14ac:dyDescent="0.2">
      <c r="E11" s="9" t="s">
        <v>19</v>
      </c>
      <c r="F11">
        <v>0.04</v>
      </c>
    </row>
    <row r="12" spans="3:7" x14ac:dyDescent="0.2">
      <c r="E12" t="s">
        <v>48</v>
      </c>
      <c r="F12">
        <f>F11/SQRT(36)</f>
        <v>6.6666666666666671E-3</v>
      </c>
    </row>
  </sheetData>
  <dataValidations count="1">
    <dataValidation type="decimal" allowBlank="1" showInputMessage="1" showErrorMessage="1" errorTitle="Invalid Value" error="A probability is always between 0 and 1" sqref="F2:F3" xr:uid="{2F7C5D2A-E8D5-4B09-81A6-3EB446526C11}">
      <formula1>0</formula1>
      <formula2>1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5CAD-0F3B-4428-B8D4-8B8AFF158945}">
  <dimension ref="A1:F22"/>
  <sheetViews>
    <sheetView workbookViewId="0">
      <selection activeCell="G17" sqref="G17"/>
    </sheetView>
  </sheetViews>
  <sheetFormatPr baseColWidth="10" defaultColWidth="8.83203125" defaultRowHeight="15" x14ac:dyDescent="0.2"/>
  <cols>
    <col min="2" max="2" width="11.5" bestFit="1" customWidth="1"/>
    <col min="3" max="3" width="13.5" customWidth="1"/>
    <col min="6" max="6" width="14.1640625" customWidth="1"/>
  </cols>
  <sheetData>
    <row r="1" spans="1:6" x14ac:dyDescent="0.2">
      <c r="A1" s="29" t="s">
        <v>3</v>
      </c>
      <c r="B1" s="29"/>
      <c r="D1" s="29" t="s">
        <v>12</v>
      </c>
      <c r="E1" s="29"/>
    </row>
    <row r="2" spans="1:6" x14ac:dyDescent="0.2">
      <c r="A2" t="s">
        <v>14</v>
      </c>
      <c r="B2" s="7">
        <f>'Prob 6.1'!B2</f>
        <v>2.2750131948179191E-2</v>
      </c>
      <c r="D2" t="s">
        <v>4</v>
      </c>
      <c r="E2" s="16">
        <f>'7.1'!B2</f>
        <v>0.4403823076297575</v>
      </c>
    </row>
    <row r="3" spans="1:6" x14ac:dyDescent="0.2">
      <c r="A3" t="s">
        <v>15</v>
      </c>
      <c r="B3" s="7">
        <f>'Prob 6.1'!B3</f>
        <v>0.30853753872598688</v>
      </c>
      <c r="D3" t="s">
        <v>5</v>
      </c>
      <c r="E3" s="16">
        <f>'7.1'!B3</f>
        <v>0.22662735237686826</v>
      </c>
    </row>
    <row r="4" spans="1:6" x14ac:dyDescent="0.2">
      <c r="A4" t="s">
        <v>16</v>
      </c>
      <c r="B4" s="8">
        <f>'Prob 6.1'!B4</f>
        <v>56.192063918487491</v>
      </c>
      <c r="D4" t="s">
        <v>6</v>
      </c>
      <c r="E4" s="16">
        <f>'7.1'!B4</f>
        <v>0.88493032977829178</v>
      </c>
    </row>
    <row r="5" spans="1:6" x14ac:dyDescent="0.2">
      <c r="D5" t="s">
        <v>7</v>
      </c>
      <c r="E5" s="16">
        <f>'7.1'!B5</f>
        <v>0</v>
      </c>
    </row>
    <row r="6" spans="1:6" x14ac:dyDescent="0.2">
      <c r="A6" t="s">
        <v>20</v>
      </c>
      <c r="B6" s="7">
        <f>'6.2'!B2</f>
        <v>0.15865525393145699</v>
      </c>
    </row>
    <row r="7" spans="1:6" x14ac:dyDescent="0.2">
      <c r="A7" t="s">
        <v>21</v>
      </c>
      <c r="B7" s="7">
        <f>'6.2'!B3</f>
        <v>0.27823012045589574</v>
      </c>
      <c r="D7" t="s">
        <v>8</v>
      </c>
      <c r="E7" s="15">
        <f>'7.2'!F2</f>
        <v>0.4986501019683699</v>
      </c>
    </row>
    <row r="8" spans="1:6" x14ac:dyDescent="0.2">
      <c r="A8" t="s">
        <v>22</v>
      </c>
      <c r="B8" s="7">
        <f>'6.2'!B4</f>
        <v>0.20232838096364303</v>
      </c>
      <c r="D8" t="s">
        <v>9</v>
      </c>
      <c r="E8" s="15">
        <f>'7.2'!F3</f>
        <v>3.3976731247305223E-6</v>
      </c>
    </row>
    <row r="9" spans="1:6" x14ac:dyDescent="0.2">
      <c r="A9" t="s">
        <v>25</v>
      </c>
      <c r="B9" s="13">
        <f>'6.2'!B5</f>
        <v>5604.1912755754956</v>
      </c>
      <c r="C9" t="s">
        <v>0</v>
      </c>
      <c r="D9" t="s">
        <v>10</v>
      </c>
      <c r="E9" s="15">
        <f>'7.2'!F4</f>
        <v>6.6807201268862193E-2</v>
      </c>
    </row>
    <row r="10" spans="1:6" x14ac:dyDescent="0.2">
      <c r="B10" s="13">
        <f>'6.2'!B6</f>
        <v>8395.8087244245035</v>
      </c>
      <c r="C10" t="s">
        <v>1</v>
      </c>
      <c r="D10" t="s">
        <v>11</v>
      </c>
      <c r="E10" s="15">
        <f>'7.2'!F5</f>
        <v>2.4844910141730612</v>
      </c>
    </row>
    <row r="11" spans="1:6" x14ac:dyDescent="0.2">
      <c r="D11" t="s">
        <v>30</v>
      </c>
      <c r="E11" s="15">
        <f>'7.2'!F6</f>
        <v>2.4828278046430072</v>
      </c>
      <c r="F11" t="s">
        <v>0</v>
      </c>
    </row>
    <row r="12" spans="1:6" x14ac:dyDescent="0.2">
      <c r="A12" t="s">
        <v>27</v>
      </c>
      <c r="B12" s="2">
        <f>'6.3'!B2</f>
        <v>0.25</v>
      </c>
      <c r="E12" s="15">
        <f>'7.2'!F7</f>
        <v>2.5171721953569928</v>
      </c>
      <c r="F12" t="s">
        <v>1</v>
      </c>
    </row>
    <row r="13" spans="1:6" x14ac:dyDescent="0.2">
      <c r="A13" t="s">
        <v>28</v>
      </c>
      <c r="B13" s="2">
        <f>'6.3'!B3</f>
        <v>0.3</v>
      </c>
    </row>
    <row r="14" spans="1:6" x14ac:dyDescent="0.2">
      <c r="A14" t="s">
        <v>29</v>
      </c>
      <c r="B14" s="2">
        <f>'6.3'!B4</f>
        <v>0.5</v>
      </c>
    </row>
    <row r="15" spans="1:6" x14ac:dyDescent="0.2">
      <c r="B15" s="2"/>
    </row>
    <row r="16" spans="1:6" x14ac:dyDescent="0.2">
      <c r="B16" s="2"/>
    </row>
    <row r="20" spans="2:2" x14ac:dyDescent="0.2">
      <c r="B20" s="1"/>
    </row>
    <row r="21" spans="2:2" x14ac:dyDescent="0.2">
      <c r="B21" s="1"/>
    </row>
    <row r="22" spans="2:2" x14ac:dyDescent="0.2">
      <c r="B22" s="1"/>
    </row>
  </sheetData>
  <protectedRanges>
    <protectedRange sqref="A1:F20" name="Answers"/>
  </protectedRanges>
  <mergeCells count="2">
    <mergeCell ref="A1:B1"/>
    <mergeCell ref="D1:E1"/>
  </mergeCells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 6.1</vt:lpstr>
      <vt:lpstr>6.2</vt:lpstr>
      <vt:lpstr>6.3</vt:lpstr>
      <vt:lpstr>7.1</vt:lpstr>
      <vt:lpstr>7.2</vt:lpstr>
      <vt:lpstr>Answer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Ceccucci, Wendy A. Prof.</dc:creator>
  <cp:lastModifiedBy>Dhruv Khanna</cp:lastModifiedBy>
  <dcterms:created xsi:type="dcterms:W3CDTF">2019-09-04T15:53:51Z</dcterms:created>
  <dcterms:modified xsi:type="dcterms:W3CDTF">2024-10-26T20:40:01Z</dcterms:modified>
</cp:coreProperties>
</file>