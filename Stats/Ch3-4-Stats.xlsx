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dhruv/Desktop/Intor to BA/"/>
    </mc:Choice>
  </mc:AlternateContent>
  <xr:revisionPtr revIDLastSave="0" documentId="13_ncr:1_{8DD0DAD2-4AA3-6442-8C2F-D1B66488EF58}" xr6:coauthVersionLast="47" xr6:coauthVersionMax="47" xr10:uidLastSave="{00000000-0000-0000-0000-000000000000}"/>
  <bookViews>
    <workbookView xWindow="0" yWindow="740" windowWidth="29400" windowHeight="18380" activeTab="4" xr2:uid="{00000000-000D-0000-FFFF-FFFF00000000}"/>
  </bookViews>
  <sheets>
    <sheet name="Excel Hints!!" sheetId="8" r:id="rId1"/>
    <sheet name="Ch3.1" sheetId="1" r:id="rId2"/>
    <sheet name="Ch3.2" sheetId="4" r:id="rId3"/>
    <sheet name="Ch3.3" sheetId="5" r:id="rId4"/>
    <sheet name="Chapter 4" sheetId="7" r:id="rId5"/>
  </sheets>
  <definedNames>
    <definedName name="_xlchart.v1.0" hidden="1">'Ch3.1'!$A$1</definedName>
    <definedName name="_xlchart.v1.1" hidden="1">'Ch3.1'!$A$2:$A$51</definedName>
    <definedName name="_xlchart.v1.10" hidden="1">'Ch3.3'!$C$1</definedName>
    <definedName name="_xlchart.v1.11" hidden="1">'Ch3.3'!$C$2:$C$32</definedName>
    <definedName name="_xlchart.v1.12" hidden="1">'Ch3.3'!$D$1</definedName>
    <definedName name="_xlchart.v1.13" hidden="1">'Ch3.3'!$D$2:$D$32</definedName>
    <definedName name="_xlchart.v1.14" hidden="1">'Ch3.3'!$E$1</definedName>
    <definedName name="_xlchart.v1.15" hidden="1">'Ch3.3'!$E$2:$E$32</definedName>
    <definedName name="_xlchart.v1.2" hidden="1">'Ch3.2'!$A$1</definedName>
    <definedName name="_xlchart.v1.3" hidden="1">'Ch3.2'!$A$2:$A$41</definedName>
    <definedName name="_xlchart.v1.4" hidden="1">'Ch3.2'!$B$1</definedName>
    <definedName name="_xlchart.v1.5" hidden="1">'Ch3.2'!$B$2:$B$41</definedName>
    <definedName name="_xlchart.v1.6" hidden="1">'Ch3.2'!$C$1</definedName>
    <definedName name="_xlchart.v1.7" hidden="1">'Ch3.2'!$C$2:$C$41</definedName>
    <definedName name="_xlchart.v1.8" hidden="1">'Ch3.3'!$B$1</definedName>
    <definedName name="_xlchart.v1.9" hidden="1">'Ch3.3'!$B$2:$B$32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3" i="7" l="1"/>
  <c r="H12" i="7"/>
  <c r="C13" i="7"/>
  <c r="D13" i="7"/>
  <c r="G24" i="7"/>
  <c r="G22" i="7"/>
  <c r="H18" i="7"/>
  <c r="H19" i="7"/>
  <c r="H5" i="7"/>
  <c r="H4" i="7"/>
  <c r="H3" i="7"/>
  <c r="D13" i="1"/>
  <c r="H26" i="5"/>
  <c r="H25" i="5"/>
  <c r="J31" i="4"/>
  <c r="J32" i="4"/>
  <c r="J30" i="4"/>
  <c r="J29" i="4"/>
  <c r="F31" i="4"/>
  <c r="F29" i="4"/>
  <c r="F30" i="4"/>
  <c r="D29" i="1"/>
  <c r="J29" i="1"/>
  <c r="G29" i="1"/>
  <c r="K40" i="5"/>
  <c r="J39" i="5"/>
  <c r="I38" i="5"/>
  <c r="H37" i="5"/>
  <c r="D24" i="1" l="1"/>
  <c r="D23" i="1"/>
  <c r="D22" i="1"/>
  <c r="D21" i="1"/>
  <c r="D20" i="1"/>
  <c r="D19" i="1"/>
  <c r="D18" i="1"/>
  <c r="D17" i="1"/>
  <c r="D16" i="1"/>
  <c r="D15" i="1"/>
  <c r="D14" i="1"/>
  <c r="D12" i="1"/>
  <c r="E4" i="7"/>
  <c r="E5" i="7"/>
  <c r="E6" i="7"/>
  <c r="C7" i="7"/>
  <c r="D7" i="7"/>
  <c r="E7" i="7" l="1"/>
  <c r="D21" i="7"/>
  <c r="C21" i="7"/>
  <c r="E20" i="7"/>
  <c r="E19" i="7"/>
  <c r="E21" i="7" l="1"/>
</calcChain>
</file>

<file path=xl/sharedStrings.xml><?xml version="1.0" encoding="utf-8"?>
<sst xmlns="http://schemas.openxmlformats.org/spreadsheetml/2006/main" count="211" uniqueCount="120">
  <si>
    <t>A.</t>
  </si>
  <si>
    <t>City</t>
  </si>
  <si>
    <t>Bangkok</t>
  </si>
  <si>
    <t>Beijing</t>
  </si>
  <si>
    <t>Berlin</t>
  </si>
  <si>
    <t>Chicago</t>
  </si>
  <si>
    <t>Dubai</t>
  </si>
  <si>
    <t>Edinburgh</t>
  </si>
  <si>
    <t>Hong Kong</t>
  </si>
  <si>
    <t>London</t>
  </si>
  <si>
    <t>Los Angeles</t>
  </si>
  <si>
    <t>Mumbai</t>
  </si>
  <si>
    <t>Paris</t>
  </si>
  <si>
    <t>Rome</t>
  </si>
  <si>
    <t>Seattle</t>
  </si>
  <si>
    <t>Sydney</t>
  </si>
  <si>
    <t>Tokyo</t>
  </si>
  <si>
    <t>Toronto</t>
  </si>
  <si>
    <t>B</t>
  </si>
  <si>
    <t>C</t>
  </si>
  <si>
    <t>D</t>
  </si>
  <si>
    <t>Total</t>
  </si>
  <si>
    <t>Yes</t>
  </si>
  <si>
    <t>No</t>
  </si>
  <si>
    <t>Name Brand Milk</t>
  </si>
  <si>
    <t>Store Brand Milk</t>
  </si>
  <si>
    <t>Something Else</t>
  </si>
  <si>
    <t>Male</t>
  </si>
  <si>
    <t>Female</t>
  </si>
  <si>
    <t>Please place your answers in the orange highlighted cells.</t>
  </si>
  <si>
    <t>Width</t>
  </si>
  <si>
    <t xml:space="preserve">Place Box Plot Here </t>
  </si>
  <si>
    <t>AVERAGE</t>
  </si>
  <si>
    <t>MEDIAN</t>
  </si>
  <si>
    <t>MODE</t>
  </si>
  <si>
    <t>STDEV.P</t>
  </si>
  <si>
    <t>STDEV.S</t>
  </si>
  <si>
    <t>VAR.P</t>
  </si>
  <si>
    <t>VAR.S</t>
  </si>
  <si>
    <t>KURT</t>
  </si>
  <si>
    <t>SKEW</t>
  </si>
  <si>
    <t>SKEW.P</t>
  </si>
  <si>
    <t>MIN</t>
  </si>
  <si>
    <t>MAX</t>
  </si>
  <si>
    <t>SUM</t>
  </si>
  <si>
    <t>COUNT</t>
  </si>
  <si>
    <t>QUARTILE.EXC</t>
  </si>
  <si>
    <t>Width1</t>
  </si>
  <si>
    <t>Width2</t>
  </si>
  <si>
    <t>Width3</t>
  </si>
  <si>
    <t>CORREL</t>
  </si>
  <si>
    <t>COVARIANCE.P</t>
  </si>
  <si>
    <t>COVARIANCE.S</t>
  </si>
  <si>
    <t>Avg Days with Rain</t>
  </si>
  <si>
    <t>Avg High °F</t>
  </si>
  <si>
    <t>Hours of Sunlight per Day</t>
  </si>
  <si>
    <t>Rain inches</t>
  </si>
  <si>
    <t>Buenos Aires</t>
  </si>
  <si>
    <t>Rio de Janeiro</t>
  </si>
  <si>
    <t>Cairo</t>
  </si>
  <si>
    <t>Reykjavik</t>
  </si>
  <si>
    <t>Nairobi</t>
  </si>
  <si>
    <t>Timbuktu</t>
  </si>
  <si>
    <t>Mexico City</t>
  </si>
  <si>
    <t>Wellington</t>
  </si>
  <si>
    <t>Lagos</t>
  </si>
  <si>
    <t>Islamabad</t>
  </si>
  <si>
    <t>Moscow</t>
  </si>
  <si>
    <t>Johannesburg</t>
  </si>
  <si>
    <t>Sheffield</t>
  </si>
  <si>
    <t>Houston</t>
  </si>
  <si>
    <t>New York City</t>
  </si>
  <si>
    <t>US</t>
  </si>
  <si>
    <t>Not US</t>
  </si>
  <si>
    <t>Warranty</t>
  </si>
  <si>
    <t>No Warranty</t>
  </si>
  <si>
    <t>Summary Statistics</t>
  </si>
  <si>
    <t>CV</t>
  </si>
  <si>
    <t>Box Plot:</t>
  </si>
  <si>
    <t>Z Score</t>
  </si>
  <si>
    <t>Box Plots:</t>
  </si>
  <si>
    <t>Value</t>
  </si>
  <si>
    <t>Z-Score</t>
  </si>
  <si>
    <t>Covariance Matrix</t>
  </si>
  <si>
    <t>Correlation Matrix</t>
  </si>
  <si>
    <t>Mean</t>
  </si>
  <si>
    <t>Std error</t>
  </si>
  <si>
    <t>Median</t>
  </si>
  <si>
    <t>mode</t>
  </si>
  <si>
    <t>StdDev</t>
  </si>
  <si>
    <t>Kurtosis</t>
  </si>
  <si>
    <t>skewness</t>
  </si>
  <si>
    <t xml:space="preserve">min </t>
  </si>
  <si>
    <t>1st Quartile</t>
  </si>
  <si>
    <t xml:space="preserve">3rd Quartile </t>
  </si>
  <si>
    <t>Max</t>
  </si>
  <si>
    <t>interquarile rage</t>
  </si>
  <si>
    <t>variance</t>
  </si>
  <si>
    <t>Standard Error</t>
  </si>
  <si>
    <t>Mode</t>
  </si>
  <si>
    <t>Standard Deviation</t>
  </si>
  <si>
    <t>Sample Variance</t>
  </si>
  <si>
    <t>Skewness</t>
  </si>
  <si>
    <t>Range</t>
  </si>
  <si>
    <t>Minimum</t>
  </si>
  <si>
    <t>Maximum</t>
  </si>
  <si>
    <t>Sum</t>
  </si>
  <si>
    <t>Count</t>
  </si>
  <si>
    <t>Largest(1)</t>
  </si>
  <si>
    <t>Smallest(1)</t>
  </si>
  <si>
    <t>Confidence Level(95.0%)</t>
  </si>
  <si>
    <t>Width 1</t>
  </si>
  <si>
    <t>Width 3</t>
  </si>
  <si>
    <t>Width 2</t>
  </si>
  <si>
    <t>Stats</t>
  </si>
  <si>
    <t>CV 2</t>
  </si>
  <si>
    <t>CV 3</t>
  </si>
  <si>
    <t>CV1</t>
  </si>
  <si>
    <t>P(stressed)</t>
  </si>
  <si>
    <t>P(stresssed|Female)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</si>
</sst>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name val="Arial"/>
      <family val="2"/>
    </font>
    <font>
      <b/>
      <sz val="11"/>
      <name val="Calibri"/>
      <family val="2"/>
      <scheme val="minor"/>
    </font>
    <font>
      <sz val="11"/>
      <name val="Calibri"/>
      <family val="2"/>
      <scheme val="minor"/>
    </font>
    <font>
      <sz val="11"/>
      <color theme="1"/>
      <name val="Calibri"/>
      <family val="2"/>
      <scheme val="minor"/>
    </font>
    <font>
      <sz val="11"/>
      <color rgb="FF3F3F76"/>
      <name val="Calibri"/>
      <family val="2"/>
      <scheme val="minor"/>
    </font>
    <font>
      <sz val="14"/>
      <color theme="1"/>
      <name val="Calibri"/>
      <family val="2"/>
      <scheme val="minor"/>
    </font>
    <font>
      <sz val="11"/>
      <color theme="0"/>
      <name val="Calibri"/>
      <family val="2"/>
      <scheme val="minor"/>
    </font>
    <font>
      <b/>
      <sz val="11"/>
      <color theme="1"/>
      <name val="Calibri"/>
      <family val="2"/>
      <scheme val="minor"/>
    </font>
    <font>
      <i/>
      <sz val="11"/>
      <color theme="1"/>
      <name val="Calibri"/>
      <family val="2"/>
      <scheme val="minor"/>
    </font>
    <font>
      <b/>
      <i/>
      <u/>
      <sz val="11"/>
      <color theme="1"/>
      <name val="Calibri"/>
      <family val="2"/>
      <scheme val="minor"/>
    </font>
    <font>
      <sz val="11"/>
      <color rgb="FF000000"/>
      <name val="Calibri"/>
      <family val="2"/>
      <scheme val="minor"/>
    </font>
  </fonts>
  <fills count="16">
    <fill>
      <patternFill patternType="none"/>
    </fill>
    <fill>
      <patternFill patternType="gray125"/>
    </fill>
    <fill>
      <patternFill patternType="solid">
        <fgColor rgb="FFFFCC99"/>
      </patternFill>
    </fill>
    <fill>
      <patternFill patternType="solid">
        <fgColor theme="4" tint="0.59999389629810485"/>
        <bgColor indexed="65"/>
      </patternFill>
    </fill>
    <fill>
      <patternFill patternType="solid">
        <fgColor theme="4" tint="0.79998168889431442"/>
        <bgColor indexed="65"/>
      </patternFill>
    </fill>
    <fill>
      <patternFill patternType="solid">
        <fgColor theme="6"/>
      </patternFill>
    </fill>
    <fill>
      <patternFill patternType="solid">
        <fgColor theme="4" tint="0.59999389629810485"/>
        <bgColor indexed="64"/>
      </patternFill>
    </fill>
    <fill>
      <patternFill patternType="solid">
        <fgColor rgb="FFBDD7E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BDD7EE"/>
        <bgColor rgb="FF000000"/>
      </patternFill>
    </fill>
    <fill>
      <patternFill patternType="solid">
        <fgColor rgb="FFFFCC99"/>
        <bgColor indexed="64"/>
      </patternFill>
    </fill>
  </fills>
  <borders count="13">
    <border>
      <left/>
      <right/>
      <top/>
      <bottom/>
      <diagonal/>
    </border>
    <border>
      <left/>
      <right/>
      <top style="medium">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7">
    <xf numFmtId="0" fontId="0" fillId="0" borderId="0"/>
    <xf numFmtId="0" fontId="1" fillId="0" borderId="0"/>
    <xf numFmtId="0" fontId="5" fillId="2" borderId="3" applyNumberFormat="0" applyAlignment="0" applyProtection="0"/>
    <xf numFmtId="0" fontId="4" fillId="3" borderId="0" applyNumberFormat="0" applyBorder="0" applyAlignment="0" applyProtection="0"/>
    <xf numFmtId="0" fontId="4" fillId="4" borderId="0" applyNumberFormat="0" applyBorder="0" applyAlignment="0" applyProtection="0"/>
    <xf numFmtId="0" fontId="7" fillId="5" borderId="0" applyNumberFormat="0" applyBorder="0" applyAlignment="0" applyProtection="0"/>
    <xf numFmtId="9" fontId="4" fillId="0" borderId="0" applyFont="0" applyFill="0" applyBorder="0" applyAlignment="0" applyProtection="0"/>
  </cellStyleXfs>
  <cellXfs count="66">
    <xf numFmtId="0" fontId="0" fillId="0" borderId="0" xfId="0"/>
    <xf numFmtId="2" fontId="2" fillId="0" borderId="1" xfId="1" applyNumberFormat="1" applyFont="1" applyBorder="1" applyAlignment="1">
      <alignment horizontal="center"/>
    </xf>
    <xf numFmtId="2" fontId="3" fillId="0" borderId="0" xfId="1" applyNumberFormat="1" applyFont="1"/>
    <xf numFmtId="2" fontId="3" fillId="0" borderId="2" xfId="1" applyNumberFormat="1" applyFont="1" applyBorder="1"/>
    <xf numFmtId="0" fontId="5" fillId="2" borderId="3" xfId="2"/>
    <xf numFmtId="0" fontId="3" fillId="0" borderId="0" xfId="0" applyFont="1" applyAlignment="1">
      <alignment vertical="center" wrapText="1"/>
    </xf>
    <xf numFmtId="0" fontId="0" fillId="0" borderId="2" xfId="0" applyBorder="1"/>
    <xf numFmtId="0" fontId="0" fillId="0" borderId="2" xfId="0" applyBorder="1" applyAlignment="1">
      <alignment horizontal="center"/>
    </xf>
    <xf numFmtId="0" fontId="0" fillId="0" borderId="0" xfId="0" applyAlignment="1">
      <alignment horizontal="center"/>
    </xf>
    <xf numFmtId="0" fontId="6" fillId="3" borderId="0" xfId="3" applyFont="1" applyAlignment="1">
      <alignment horizontal="center"/>
    </xf>
    <xf numFmtId="0" fontId="6" fillId="0" borderId="0" xfId="0" applyFont="1"/>
    <xf numFmtId="0" fontId="0" fillId="0" borderId="0" xfId="0" applyAlignment="1">
      <alignment horizontal="right"/>
    </xf>
    <xf numFmtId="0" fontId="0" fillId="0" borderId="2" xfId="0" applyBorder="1" applyAlignment="1">
      <alignment horizontal="right"/>
    </xf>
    <xf numFmtId="164" fontId="0" fillId="0" borderId="4" xfId="0" applyNumberFormat="1" applyBorder="1"/>
    <xf numFmtId="0" fontId="0" fillId="0" borderId="0" xfId="0" quotePrefix="1"/>
    <xf numFmtId="0" fontId="7" fillId="5" borderId="4" xfId="5" applyBorder="1" applyAlignment="1">
      <alignment horizontal="center"/>
    </xf>
    <xf numFmtId="0" fontId="4" fillId="4" borderId="0" xfId="4" applyAlignment="1">
      <alignment wrapText="1"/>
    </xf>
    <xf numFmtId="0" fontId="4" fillId="4" borderId="0" xfId="4" applyAlignment="1">
      <alignment horizontal="center" wrapText="1"/>
    </xf>
    <xf numFmtId="164" fontId="3" fillId="0" borderId="0" xfId="1" applyNumberFormat="1" applyFont="1"/>
    <xf numFmtId="0" fontId="0" fillId="0" borderId="5" xfId="0" applyBorder="1" applyAlignment="1">
      <alignment horizontal="right"/>
    </xf>
    <xf numFmtId="0" fontId="0" fillId="0" borderId="6" xfId="0" applyBorder="1" applyAlignment="1">
      <alignment horizontal="right"/>
    </xf>
    <xf numFmtId="0" fontId="0" fillId="0" borderId="8" xfId="0" applyBorder="1"/>
    <xf numFmtId="0" fontId="0" fillId="0" borderId="7" xfId="0" applyBorder="1"/>
    <xf numFmtId="0" fontId="0" fillId="6" borderId="0" xfId="0" applyFill="1"/>
    <xf numFmtId="0" fontId="8" fillId="0" borderId="0" xfId="0" applyFont="1"/>
    <xf numFmtId="0" fontId="8" fillId="6" borderId="0" xfId="0" applyFont="1" applyFill="1"/>
    <xf numFmtId="0" fontId="8" fillId="6" borderId="2" xfId="0" applyFont="1" applyFill="1" applyBorder="1"/>
    <xf numFmtId="0" fontId="0" fillId="6" borderId="2" xfId="0" applyFill="1" applyBorder="1"/>
    <xf numFmtId="164" fontId="0" fillId="6" borderId="0" xfId="0" applyNumberFormat="1" applyFill="1"/>
    <xf numFmtId="0" fontId="0" fillId="7" borderId="0" xfId="0" applyFill="1"/>
    <xf numFmtId="0" fontId="0" fillId="0" borderId="9" xfId="0" applyBorder="1"/>
    <xf numFmtId="0" fontId="9" fillId="0" borderId="1" xfId="0" applyFont="1" applyBorder="1" applyAlignment="1">
      <alignment horizontal="center"/>
    </xf>
    <xf numFmtId="0" fontId="0" fillId="8" borderId="10" xfId="0" applyFill="1" applyBorder="1" applyAlignment="1">
      <alignment horizontal="right"/>
    </xf>
    <xf numFmtId="0" fontId="0" fillId="9" borderId="10" xfId="0" applyFill="1" applyBorder="1" applyAlignment="1">
      <alignment horizontal="right"/>
    </xf>
    <xf numFmtId="0" fontId="0" fillId="10" borderId="10" xfId="0" applyFill="1" applyBorder="1" applyAlignment="1">
      <alignment horizontal="right"/>
    </xf>
    <xf numFmtId="0" fontId="8" fillId="6" borderId="0" xfId="0" applyFont="1" applyFill="1" applyAlignment="1">
      <alignment horizontal="left"/>
    </xf>
    <xf numFmtId="10" fontId="0" fillId="0" borderId="0" xfId="6" applyNumberFormat="1" applyFont="1"/>
    <xf numFmtId="0" fontId="10" fillId="13" borderId="10" xfId="0" applyFont="1" applyFill="1" applyBorder="1" applyAlignment="1">
      <alignment horizontal="center"/>
    </xf>
    <xf numFmtId="0" fontId="10" fillId="8" borderId="10" xfId="0" applyFont="1" applyFill="1" applyBorder="1" applyAlignment="1">
      <alignment horizontal="center"/>
    </xf>
    <xf numFmtId="0" fontId="10" fillId="9" borderId="10" xfId="0" applyFont="1" applyFill="1" applyBorder="1" applyAlignment="1">
      <alignment horizontal="center"/>
    </xf>
    <xf numFmtId="0" fontId="10" fillId="11" borderId="10" xfId="0" applyFont="1" applyFill="1" applyBorder="1" applyAlignment="1">
      <alignment horizontal="center"/>
    </xf>
    <xf numFmtId="0" fontId="10" fillId="12" borderId="10" xfId="0" applyFont="1" applyFill="1" applyBorder="1" applyAlignment="1">
      <alignment horizontal="center"/>
    </xf>
    <xf numFmtId="0" fontId="0" fillId="13" borderId="10" xfId="0" applyFill="1" applyBorder="1" applyAlignment="1">
      <alignment horizontal="center"/>
    </xf>
    <xf numFmtId="0" fontId="0" fillId="8" borderId="10" xfId="0" applyFill="1" applyBorder="1" applyAlignment="1">
      <alignment horizontal="center"/>
    </xf>
    <xf numFmtId="0" fontId="0" fillId="9" borderId="10" xfId="0" applyFill="1" applyBorder="1" applyAlignment="1">
      <alignment horizontal="center"/>
    </xf>
    <xf numFmtId="0" fontId="0" fillId="11" borderId="10" xfId="0" applyFill="1" applyBorder="1" applyAlignment="1">
      <alignment horizontal="center"/>
    </xf>
    <xf numFmtId="0" fontId="0" fillId="12" borderId="10" xfId="0" applyFill="1" applyBorder="1" applyAlignment="1">
      <alignment horizontal="center"/>
    </xf>
    <xf numFmtId="164" fontId="11" fillId="14" borderId="0" xfId="0" applyNumberFormat="1" applyFont="1" applyFill="1"/>
    <xf numFmtId="2" fontId="0" fillId="6" borderId="0" xfId="0" applyNumberFormat="1" applyFill="1"/>
    <xf numFmtId="164" fontId="0" fillId="7" borderId="0" xfId="0" applyNumberFormat="1" applyFill="1"/>
    <xf numFmtId="9" fontId="5" fillId="2" borderId="3" xfId="6" applyFont="1" applyFill="1" applyBorder="1"/>
    <xf numFmtId="10" fontId="5" fillId="2" borderId="3" xfId="6" applyNumberFormat="1" applyFont="1" applyFill="1" applyBorder="1"/>
    <xf numFmtId="0" fontId="0" fillId="15" borderId="0" xfId="0" applyFill="1"/>
    <xf numFmtId="0" fontId="9" fillId="0" borderId="0" xfId="0" applyFont="1" applyAlignment="1">
      <alignment horizontal="center"/>
    </xf>
    <xf numFmtId="0" fontId="9" fillId="8" borderId="11" xfId="0" applyFont="1" applyFill="1" applyBorder="1" applyAlignment="1">
      <alignment horizontal="center"/>
    </xf>
    <xf numFmtId="0" fontId="9" fillId="8" borderId="12" xfId="0" applyFont="1" applyFill="1" applyBorder="1" applyAlignment="1">
      <alignment horizontal="center"/>
    </xf>
    <xf numFmtId="0" fontId="9" fillId="8" borderId="8" xfId="0" applyFont="1" applyFill="1" applyBorder="1" applyAlignment="1">
      <alignment horizontal="center"/>
    </xf>
    <xf numFmtId="0" fontId="9" fillId="8" borderId="6" xfId="0" applyFont="1" applyFill="1" applyBorder="1" applyAlignment="1">
      <alignment horizontal="center"/>
    </xf>
    <xf numFmtId="0" fontId="9" fillId="9" borderId="11" xfId="0" applyFont="1" applyFill="1" applyBorder="1" applyAlignment="1">
      <alignment horizontal="center"/>
    </xf>
    <xf numFmtId="0" fontId="9" fillId="9" borderId="12" xfId="0" applyFont="1" applyFill="1" applyBorder="1" applyAlignment="1">
      <alignment horizontal="center"/>
    </xf>
    <xf numFmtId="0" fontId="9" fillId="9" borderId="8" xfId="0" applyFont="1" applyFill="1" applyBorder="1" applyAlignment="1">
      <alignment horizontal="center"/>
    </xf>
    <xf numFmtId="0" fontId="9" fillId="9" borderId="6" xfId="0" applyFont="1" applyFill="1" applyBorder="1" applyAlignment="1">
      <alignment horizontal="center"/>
    </xf>
    <xf numFmtId="0" fontId="9" fillId="10" borderId="11" xfId="0" applyFont="1" applyFill="1" applyBorder="1" applyAlignment="1">
      <alignment horizontal="center"/>
    </xf>
    <xf numFmtId="0" fontId="9" fillId="10" borderId="12" xfId="0" applyFont="1" applyFill="1" applyBorder="1" applyAlignment="1">
      <alignment horizontal="center"/>
    </xf>
    <xf numFmtId="0" fontId="9" fillId="10" borderId="8" xfId="0" applyFont="1" applyFill="1" applyBorder="1" applyAlignment="1">
      <alignment horizontal="center"/>
    </xf>
    <xf numFmtId="0" fontId="9" fillId="10" borderId="6" xfId="0" applyFont="1" applyFill="1" applyBorder="1" applyAlignment="1">
      <alignment horizontal="center"/>
    </xf>
  </cellXfs>
  <cellStyles count="7">
    <cellStyle name="20% - Accent1" xfId="4" builtinId="30"/>
    <cellStyle name="40% - Accent1" xfId="3" builtinId="31"/>
    <cellStyle name="Accent3" xfId="5" builtinId="37"/>
    <cellStyle name="Input" xfId="2" builtinId="20"/>
    <cellStyle name="Normal" xfId="0" builtinId="0"/>
    <cellStyle name="Normal 2" xfId="1" xr:uid="{00000000-0005-0000-0000-000003000000}"/>
    <cellStyle name="Percent" xfId="6" builtinId="5"/>
  </cellStyles>
  <dxfs count="0"/>
  <tableStyles count="0" defaultTableStyle="TableStyleMedium2" defaultPivotStyle="PivotStyleLight16"/>
  <colors>
    <mruColors>
      <color rgb="FFFFCC99"/>
      <color rgb="FFFFB59F"/>
      <color rgb="FFBDD7EF"/>
      <color rgb="FFD9B2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80EF34FC-C1AB-6B4C-9B97-3B3276E35F30}">
          <cx:tx>
            <cx:txData>
              <cx:f>_xlchart.v1.0</cx:f>
              <cx:v>Width</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_xlchart.v1.5</cx:f>
      </cx:numDim>
    </cx:data>
    <cx:data id="2">
      <cx:numDim type="val">
        <cx:f>_xlchart.v1.7</cx:f>
      </cx:numDim>
    </cx:data>
  </cx:chartData>
  <cx:chart>
    <cx:title pos="t" align="ctr" overlay="0"/>
    <cx:plotArea>
      <cx:plotAreaRegion>
        <cx:series layoutId="boxWhisker" uniqueId="{8FADE529-596C-464A-B116-8FA25ADCF54E}">
          <cx:tx>
            <cx:txData>
              <cx:f>_xlchart.v1.2</cx:f>
              <cx:v>Width1</cx:v>
            </cx:txData>
          </cx:tx>
          <cx:dataId val="0"/>
          <cx:layoutPr>
            <cx:visibility meanLine="0" meanMarker="1" nonoutliers="0" outliers="1"/>
            <cx:statistics quartileMethod="exclusive"/>
          </cx:layoutPr>
        </cx:series>
        <cx:series layoutId="boxWhisker" uniqueId="{EFD6176C-F03C-0247-B3F0-7352FD856FD3}">
          <cx:tx>
            <cx:txData>
              <cx:f>_xlchart.v1.4</cx:f>
              <cx:v>Width2</cx:v>
            </cx:txData>
          </cx:tx>
          <cx:dataId val="1"/>
          <cx:layoutPr>
            <cx:visibility meanLine="0" meanMarker="1" nonoutliers="0" outliers="1"/>
            <cx:statistics quartileMethod="exclusive"/>
          </cx:layoutPr>
        </cx:series>
        <cx:series layoutId="boxWhisker" uniqueId="{7B4B5EB9-EA1F-D54D-8669-2703382D6DF5}">
          <cx:tx>
            <cx:txData>
              <cx:f>_xlchart.v1.6</cx:f>
              <cx:v>Width3</cx:v>
            </cx:txData>
          </cx:tx>
          <cx:dataId val="2"/>
          <cx:layoutPr>
            <cx:visibility meanLine="0" meanMarker="1" nonoutliers="0" outliers="1"/>
            <cx:statistics quartileMethod="exclusive"/>
          </cx:layoutPr>
        </cx:series>
      </cx:plotAreaRegion>
      <cx:axis id="0">
        <cx:catScaling gapWidth="1"/>
        <cx:tickLabels/>
      </cx:axis>
      <cx:axis id="1">
        <cx:valScaling min="55"/>
        <cx:majorGridlines/>
        <cx:majorTickMarks type="in"/>
        <cx:minorTickMarks type="in"/>
        <cx:tickLabels/>
      </cx:axis>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data id="2">
      <cx:numDim type="val">
        <cx:f>_xlchart.v1.13</cx:f>
      </cx:numDim>
    </cx:data>
    <cx:data id="3">
      <cx:numDim type="val">
        <cx:f>_xlchart.v1.15</cx:f>
      </cx:numDim>
    </cx:data>
  </cx:chartData>
  <cx:chart>
    <cx:title pos="t" align="ctr" overlay="0"/>
    <cx:plotArea>
      <cx:plotAreaRegion>
        <cx:series layoutId="boxWhisker" uniqueId="{BC820CE4-4931-134A-9CB6-CF70EE28ED90}">
          <cx:tx>
            <cx:txData>
              <cx:f>_xlchart.v1.8</cx:f>
              <cx:v>Avg Days with Rain</cx:v>
            </cx:txData>
          </cx:tx>
          <cx:dataId val="0"/>
          <cx:layoutPr>
            <cx:visibility meanLine="1" meanMarker="1" nonoutliers="0" outliers="1"/>
            <cx:statistics quartileMethod="exclusive"/>
          </cx:layoutPr>
        </cx:series>
        <cx:series layoutId="boxWhisker" uniqueId="{919B07D0-6C25-944D-8E19-CF26340EDFA2}">
          <cx:tx>
            <cx:txData>
              <cx:f>_xlchart.v1.10</cx:f>
              <cx:v>Avg High °F</cx:v>
            </cx:txData>
          </cx:tx>
          <cx:dataId val="1"/>
          <cx:layoutPr>
            <cx:visibility meanLine="0" meanMarker="1" nonoutliers="0" outliers="1"/>
            <cx:statistics quartileMethod="exclusive"/>
          </cx:layoutPr>
        </cx:series>
        <cx:series layoutId="boxWhisker" uniqueId="{33821379-A605-9642-ACA6-142558E6864E}">
          <cx:tx>
            <cx:txData>
              <cx:f>_xlchart.v1.12</cx:f>
              <cx:v>Hours of Sunlight per Day</cx:v>
            </cx:txData>
          </cx:tx>
          <cx:dataId val="2"/>
          <cx:layoutPr>
            <cx:visibility meanLine="0" meanMarker="1" nonoutliers="0" outliers="1"/>
            <cx:statistics quartileMethod="exclusive"/>
          </cx:layoutPr>
        </cx:series>
        <cx:series layoutId="boxWhisker" uniqueId="{DA0860BE-D3A2-9641-80F2-DA8E6556D97B}">
          <cx:tx>
            <cx:txData>
              <cx:f>_xlchart.v1.14</cx:f>
              <cx:v>Rain inches</cx:v>
            </cx:txData>
          </cx:tx>
          <cx:dataId val="3"/>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xdr:col>
      <xdr:colOff>600075</xdr:colOff>
      <xdr:row>8</xdr:row>
      <xdr:rowOff>161925</xdr:rowOff>
    </xdr:from>
    <xdr:to>
      <xdr:col>15</xdr:col>
      <xdr:colOff>9525</xdr:colOff>
      <xdr:row>13</xdr:row>
      <xdr:rowOff>187325</xdr:rowOff>
    </xdr:to>
    <xdr:sp macro="" textlink="">
      <xdr:nvSpPr>
        <xdr:cNvPr id="2" name="TextBox 1">
          <a:extLst>
            <a:ext uri="{FF2B5EF4-FFF2-40B4-BE49-F238E27FC236}">
              <a16:creationId xmlns:a16="http://schemas.microsoft.com/office/drawing/2014/main" id="{37CD9036-AD6B-4760-BB93-2D7F70F13A72}"/>
            </a:ext>
          </a:extLst>
        </xdr:cNvPr>
        <xdr:cNvSpPr txBox="1"/>
      </xdr:nvSpPr>
      <xdr:spPr>
        <a:xfrm>
          <a:off x="2771775" y="1685925"/>
          <a:ext cx="6724650" cy="97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US" sz="1100" b="1" i="0">
              <a:solidFill>
                <a:schemeClr val="dk1"/>
              </a:solidFill>
              <a:effectLst/>
              <a:latin typeface="+mn-lt"/>
              <a:ea typeface="+mn-ea"/>
              <a:cs typeface="+mn-cs"/>
            </a:rPr>
            <a:t>SKEWNESS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As a general rule of thumb:</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pPr fontAlgn="base"/>
          <a:r>
            <a:rPr lang="en-US" sz="1100" b="0" i="0">
              <a:solidFill>
                <a:schemeClr val="dk1"/>
              </a:solidFill>
              <a:effectLst/>
              <a:latin typeface="+mn-lt"/>
              <a:ea typeface="+mn-ea"/>
              <a:cs typeface="+mn-cs"/>
            </a:rPr>
            <a:t>If skewness is less than -1 or greater than 1, the distribution is highly skewed.</a:t>
          </a:r>
        </a:p>
        <a:p>
          <a:pPr fontAlgn="base"/>
          <a:r>
            <a:rPr lang="en-US" sz="1100" b="0" i="0">
              <a:solidFill>
                <a:schemeClr val="dk1"/>
              </a:solidFill>
              <a:effectLst/>
              <a:latin typeface="+mn-lt"/>
              <a:ea typeface="+mn-ea"/>
              <a:cs typeface="+mn-cs"/>
            </a:rPr>
            <a:t>If skewness is between -1 and -0.5 or between 0.5 and 1, the distribution is moderately skewed.</a:t>
          </a:r>
        </a:p>
        <a:p>
          <a:pPr fontAlgn="base"/>
          <a:r>
            <a:rPr lang="en-US" sz="1100" b="0" i="0">
              <a:solidFill>
                <a:schemeClr val="dk1"/>
              </a:solidFill>
              <a:effectLst/>
              <a:latin typeface="+mn-lt"/>
              <a:ea typeface="+mn-ea"/>
              <a:cs typeface="+mn-cs"/>
            </a:rPr>
            <a:t>If skewness is between -0.5 and 0.5, the distribution is approximately symmetric.</a:t>
          </a:r>
        </a:p>
        <a:p>
          <a:endParaRPr lang="en-US" sz="1100"/>
        </a:p>
      </xdr:txBody>
    </xdr:sp>
    <xdr:clientData/>
  </xdr:twoCellAnchor>
  <xdr:twoCellAnchor>
    <xdr:from>
      <xdr:col>0</xdr:col>
      <xdr:colOff>0</xdr:colOff>
      <xdr:row>0</xdr:row>
      <xdr:rowOff>0</xdr:rowOff>
    </xdr:from>
    <xdr:to>
      <xdr:col>10</xdr:col>
      <xdr:colOff>466724</xdr:colOff>
      <xdr:row>8</xdr:row>
      <xdr:rowOff>171450</xdr:rowOff>
    </xdr:to>
    <xdr:sp macro="" textlink="">
      <xdr:nvSpPr>
        <xdr:cNvPr id="3" name="TextBox 2">
          <a:extLst>
            <a:ext uri="{FF2B5EF4-FFF2-40B4-BE49-F238E27FC236}">
              <a16:creationId xmlns:a16="http://schemas.microsoft.com/office/drawing/2014/main" id="{E1DF3681-595E-463D-AFE4-8ECBACE77D65}"/>
            </a:ext>
          </a:extLst>
        </xdr:cNvPr>
        <xdr:cNvSpPr txBox="1"/>
      </xdr:nvSpPr>
      <xdr:spPr>
        <a:xfrm>
          <a:off x="0" y="0"/>
          <a:ext cx="6905624"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Data Analysis Tools can be used to quickly calculate a lot of the needed information.</a:t>
          </a:r>
          <a:r>
            <a:rPr lang="en-US" sz="1100" baseline="0"/>
            <a:t>  Go to </a:t>
          </a:r>
          <a:r>
            <a:rPr lang="en-US" sz="1100"/>
            <a:t>Data Tab - Data Analysis (will be on the far right) - if you don't</a:t>
          </a:r>
          <a:r>
            <a:rPr lang="en-US" sz="1100" baseline="0"/>
            <a:t> see it you will need to add it (see text box for instructions)</a:t>
          </a:r>
        </a:p>
        <a:p>
          <a:r>
            <a:rPr lang="en-US" sz="1100" baseline="0"/>
            <a:t>For the summary stats:  Select Descriptive Statistics - Be sure to check the summary statistics box.</a:t>
          </a:r>
        </a:p>
        <a:p>
          <a:br>
            <a:rPr lang="en-US" sz="1100" baseline="0"/>
          </a:br>
          <a:r>
            <a:rPr lang="en-US" sz="1100" baseline="0"/>
            <a:t>For the correlation and covariance statistics :check each one respectively</a:t>
          </a:r>
        </a:p>
        <a:p>
          <a:br>
            <a:rPr lang="en-US" sz="1100"/>
          </a:br>
          <a:r>
            <a:rPr lang="en-US" sz="1100"/>
            <a:t>Here</a:t>
          </a:r>
          <a:r>
            <a:rPr lang="en-US" sz="1100" baseline="0"/>
            <a:t> are a list of excel functions that you may want to are available, but you don't need to use them.  </a:t>
          </a:r>
          <a:r>
            <a:rPr lang="en-US" sz="1100" baseline="0">
              <a:solidFill>
                <a:schemeClr val="dk1"/>
              </a:solidFill>
              <a:effectLst/>
              <a:latin typeface="+mn-lt"/>
              <a:ea typeface="+mn-ea"/>
              <a:cs typeface="+mn-cs"/>
            </a:rPr>
            <a:t> Reminder: Excel has the ability to quickly create the box plot and the data analysis tool is your best friend!</a:t>
          </a:r>
          <a:endParaRPr lang="en-US" sz="1100" baseline="0"/>
        </a:p>
        <a:p>
          <a:endParaRPr lang="en-US" sz="1100"/>
        </a:p>
      </xdr:txBody>
    </xdr:sp>
    <xdr:clientData/>
  </xdr:twoCellAnchor>
  <xdr:twoCellAnchor>
    <xdr:from>
      <xdr:col>11</xdr:col>
      <xdr:colOff>6350</xdr:colOff>
      <xdr:row>1</xdr:row>
      <xdr:rowOff>63500</xdr:rowOff>
    </xdr:from>
    <xdr:to>
      <xdr:col>15</xdr:col>
      <xdr:colOff>298450</xdr:colOff>
      <xdr:row>8</xdr:row>
      <xdr:rowOff>171450</xdr:rowOff>
    </xdr:to>
    <xdr:sp macro="" textlink="">
      <xdr:nvSpPr>
        <xdr:cNvPr id="4" name="TextBox 3">
          <a:extLst>
            <a:ext uri="{FF2B5EF4-FFF2-40B4-BE49-F238E27FC236}">
              <a16:creationId xmlns:a16="http://schemas.microsoft.com/office/drawing/2014/main" id="{F30C75F7-3EF1-42ED-B4B1-DE1590D4210F}"/>
            </a:ext>
          </a:extLst>
        </xdr:cNvPr>
        <xdr:cNvSpPr txBox="1"/>
      </xdr:nvSpPr>
      <xdr:spPr>
        <a:xfrm>
          <a:off x="7099300" y="247650"/>
          <a:ext cx="2730500" cy="139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 add the Data Analysis</a:t>
          </a:r>
          <a:r>
            <a:rPr lang="en-US" sz="1100" b="1" baseline="0"/>
            <a:t> Tool:</a:t>
          </a:r>
          <a:br>
            <a:rPr lang="en-US" sz="1100" baseline="0"/>
          </a:br>
          <a:r>
            <a:rPr lang="en-US" sz="1100" baseline="0"/>
            <a:t>File Tab</a:t>
          </a:r>
          <a:br>
            <a:rPr lang="en-US" sz="1100" baseline="0"/>
          </a:br>
          <a:r>
            <a:rPr lang="en-US" sz="1100" baseline="0"/>
            <a:t>Options </a:t>
          </a:r>
          <a:br>
            <a:rPr lang="en-US" sz="1100" baseline="0"/>
          </a:br>
          <a:r>
            <a:rPr lang="en-US" sz="1100" baseline="0"/>
            <a:t>Add-in</a:t>
          </a:r>
          <a:br>
            <a:rPr lang="en-US" sz="1100" baseline="0"/>
          </a:br>
          <a:r>
            <a:rPr lang="en-US" sz="1100" baseline="0"/>
            <a:t>Excel Add-ins  </a:t>
          </a:r>
          <a:br>
            <a:rPr lang="en-US" sz="1100" baseline="0"/>
          </a:br>
          <a:r>
            <a:rPr lang="en-US" sz="1100" baseline="0"/>
            <a:t>Go</a:t>
          </a:r>
          <a:br>
            <a:rPr lang="en-US" sz="1100" baseline="0"/>
          </a:br>
          <a:r>
            <a:rPr lang="en-US" sz="1100" baseline="0"/>
            <a:t>Select Analysis toolpack</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0</xdr:row>
      <xdr:rowOff>82550</xdr:rowOff>
    </xdr:from>
    <xdr:to>
      <xdr:col>10</xdr:col>
      <xdr:colOff>28575</xdr:colOff>
      <xdr:row>8</xdr:row>
      <xdr:rowOff>161925</xdr:rowOff>
    </xdr:to>
    <xdr:sp macro="" textlink="">
      <xdr:nvSpPr>
        <xdr:cNvPr id="2" name="TextBox 1">
          <a:extLst>
            <a:ext uri="{FF2B5EF4-FFF2-40B4-BE49-F238E27FC236}">
              <a16:creationId xmlns:a16="http://schemas.microsoft.com/office/drawing/2014/main" id="{426ECA33-FE7B-4DCD-900D-B4116031BA05}"/>
            </a:ext>
          </a:extLst>
        </xdr:cNvPr>
        <xdr:cNvSpPr txBox="1"/>
      </xdr:nvSpPr>
      <xdr:spPr>
        <a:xfrm>
          <a:off x="1238250" y="82550"/>
          <a:ext cx="5448300" cy="160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You</a:t>
          </a:r>
          <a:r>
            <a:rPr lang="en-US" sz="1100" baseline="0">
              <a:solidFill>
                <a:schemeClr val="dk1"/>
              </a:solidFill>
              <a:effectLst/>
              <a:latin typeface="+mn-lt"/>
              <a:ea typeface="+mn-ea"/>
              <a:cs typeface="+mn-cs"/>
            </a:rPr>
            <a:t> are performing some quality control on a manufactured part.  You take a sample of 40 items and measure their width. Compute the summary statistics (mean, std error, median, mode, std dev, variance, kurtosis, skewness, min, max, first quartile, third quartile, interquartile range and coefficient of variation(CV).  Note  You will need to calculate the CV it is not given in the data analysis tool. Create a box plot of the data (a horizontal or verical box plot is fine). In your own words describe the data, is it skewed etc..  Does your box plot show any outliers?  If so, how many?</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Based on the Z- scores are the any extreme values?</a:t>
          </a:r>
          <a:endParaRPr lang="en-US">
            <a:effectLst/>
          </a:endParaRPr>
        </a:p>
      </xdr:txBody>
    </xdr:sp>
    <xdr:clientData/>
  </xdr:twoCellAnchor>
  <xdr:twoCellAnchor>
    <xdr:from>
      <xdr:col>2</xdr:col>
      <xdr:colOff>9525</xdr:colOff>
      <xdr:row>29</xdr:row>
      <xdr:rowOff>180975</xdr:rowOff>
    </xdr:from>
    <xdr:to>
      <xdr:col>10</xdr:col>
      <xdr:colOff>447675</xdr:colOff>
      <xdr:row>44</xdr:row>
      <xdr:rowOff>0</xdr:rowOff>
    </xdr:to>
    <xdr:sp macro="" textlink="">
      <xdr:nvSpPr>
        <xdr:cNvPr id="3" name="TextBox 2">
          <a:extLst>
            <a:ext uri="{FF2B5EF4-FFF2-40B4-BE49-F238E27FC236}">
              <a16:creationId xmlns:a16="http://schemas.microsoft.com/office/drawing/2014/main" id="{7F9A2D5E-72F2-C287-B89C-609631D6F473}"/>
            </a:ext>
          </a:extLst>
        </xdr:cNvPr>
        <xdr:cNvSpPr txBox="1"/>
      </xdr:nvSpPr>
      <xdr:spPr>
        <a:xfrm>
          <a:off x="1348798" y="5872884"/>
          <a:ext cx="6464877" cy="2763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Analysis of Data:</a:t>
          </a:r>
        </a:p>
        <a:p>
          <a:r>
            <a:rPr lang="en-US" b="1"/>
            <a:t>Mean (65.5)</a:t>
          </a:r>
          <a:r>
            <a:rPr lang="en-US"/>
            <a:t>: The average of the data is 65.5, which is close to the median, suggesting the data is not highly skewed overall.</a:t>
          </a:r>
        </a:p>
        <a:p>
          <a:r>
            <a:rPr lang="en-US" b="1"/>
            <a:t>Standard Deviation (2.84)</a:t>
          </a:r>
          <a:r>
            <a:rPr lang="en-US"/>
            <a:t>: This indicates moderate variability in the data, with most values spread around 65.5.</a:t>
          </a:r>
        </a:p>
        <a:p>
          <a:r>
            <a:rPr lang="en-US" b="1"/>
            <a:t>Skewness (3.24)</a:t>
          </a:r>
          <a:r>
            <a:rPr lang="en-US"/>
            <a:t>: The positive skewness shows that the data is right-skewed, with a long tail to the higher values, particularly influenced by the outlier at 80.0.</a:t>
          </a:r>
        </a:p>
        <a:p>
          <a:r>
            <a:rPr lang="en-US" b="1"/>
            <a:t>Kurtosis (17.9)</a:t>
          </a:r>
          <a:r>
            <a:rPr lang="en-US"/>
            <a:t>: Extremely high kurtosis suggests a lot of values are clustered near the center, with significant outliers like the 80.0 pulling the tail.</a:t>
          </a:r>
        </a:p>
        <a:p>
          <a:r>
            <a:rPr lang="en-US" b="1"/>
            <a:t>Outliers</a:t>
          </a:r>
          <a:r>
            <a:rPr lang="en-US"/>
            <a:t>: The value 80.0 is a clear outlier, which impacts both the skewness and the box plot, with other data being more tightly grouped.</a:t>
          </a:r>
        </a:p>
        <a:p>
          <a:r>
            <a:rPr lang="en-US" b="1"/>
            <a:t>Conclusion:</a:t>
          </a:r>
        </a:p>
        <a:p>
          <a:r>
            <a:rPr lang="en-US"/>
            <a:t>Most of the data lies between 64 and 66, with a notable extreme outlier at 80.0 skewing the data to the right.</a:t>
          </a:r>
        </a:p>
        <a:p>
          <a:r>
            <a:rPr lang="en-US"/>
            <a:t>This provides a brief yet informative summary of the key points!</a:t>
          </a:r>
        </a:p>
        <a:p>
          <a:endParaRPr lang="en-US" sz="1100" b="1"/>
        </a:p>
      </xdr:txBody>
    </xdr:sp>
    <xdr:clientData/>
  </xdr:twoCellAnchor>
  <xdr:twoCellAnchor>
    <xdr:from>
      <xdr:col>6</xdr:col>
      <xdr:colOff>0</xdr:colOff>
      <xdr:row>9</xdr:row>
      <xdr:rowOff>196271</xdr:rowOff>
    </xdr:from>
    <xdr:to>
      <xdr:col>12</xdr:col>
      <xdr:colOff>0</xdr:colOff>
      <xdr:row>24</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38D4DA0-6065-8BD2-73B7-8D31B933C3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99000" y="1910771"/>
              <a:ext cx="4038600" cy="26612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596900</xdr:colOff>
      <xdr:row>0</xdr:row>
      <xdr:rowOff>57150</xdr:rowOff>
    </xdr:from>
    <xdr:to>
      <xdr:col>10</xdr:col>
      <xdr:colOff>120650</xdr:colOff>
      <xdr:row>7</xdr:row>
      <xdr:rowOff>50800</xdr:rowOff>
    </xdr:to>
    <xdr:sp macro="" textlink="">
      <xdr:nvSpPr>
        <xdr:cNvPr id="3" name="TextBox 2">
          <a:extLst>
            <a:ext uri="{FF2B5EF4-FFF2-40B4-BE49-F238E27FC236}">
              <a16:creationId xmlns:a16="http://schemas.microsoft.com/office/drawing/2014/main" id="{49143835-F31B-4803-9D35-ED038C9921AB}"/>
            </a:ext>
          </a:extLst>
        </xdr:cNvPr>
        <xdr:cNvSpPr txBox="1"/>
      </xdr:nvSpPr>
      <xdr:spPr>
        <a:xfrm>
          <a:off x="2190750" y="57150"/>
          <a:ext cx="4616450" cy="128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40</a:t>
          </a:r>
          <a:r>
            <a:rPr lang="en-US" sz="1100" baseline="0"/>
            <a:t> samples were again taken, but in each sample they measured the width on three different locations of the part.  Perform the same statistically study as problem 1. (note- you can highlight all of the data and perform the descriptive statistics data analysis and get three box plots on one chart).  This time in your discussion be sure to include a discussion on comparing the stats between the three widths?  Is one section of the part more out of control?</a:t>
          </a:r>
          <a:endParaRPr lang="en-US" sz="1100"/>
        </a:p>
      </xdr:txBody>
    </xdr:sp>
    <xdr:clientData/>
  </xdr:twoCellAnchor>
  <xdr:twoCellAnchor>
    <xdr:from>
      <xdr:col>4</xdr:col>
      <xdr:colOff>22225</xdr:colOff>
      <xdr:row>33</xdr:row>
      <xdr:rowOff>155574</xdr:rowOff>
    </xdr:from>
    <xdr:to>
      <xdr:col>12</xdr:col>
      <xdr:colOff>460375</xdr:colOff>
      <xdr:row>49</xdr:row>
      <xdr:rowOff>63499</xdr:rowOff>
    </xdr:to>
    <xdr:sp macro="" textlink="">
      <xdr:nvSpPr>
        <xdr:cNvPr id="2" name="TextBox 1">
          <a:extLst>
            <a:ext uri="{FF2B5EF4-FFF2-40B4-BE49-F238E27FC236}">
              <a16:creationId xmlns:a16="http://schemas.microsoft.com/office/drawing/2014/main" id="{D619B312-D6C3-4068-9639-26298C3040DC}"/>
            </a:ext>
          </a:extLst>
        </xdr:cNvPr>
        <xdr:cNvSpPr txBox="1"/>
      </xdr:nvSpPr>
      <xdr:spPr>
        <a:xfrm>
          <a:off x="2295525" y="6442074"/>
          <a:ext cx="9163050" cy="295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Analysis of Data:</a:t>
          </a:r>
        </a:p>
        <a:p>
          <a:r>
            <a:rPr lang="en-US" b="1"/>
            <a:t>Central Tendency</a:t>
          </a:r>
          <a:r>
            <a:rPr lang="en-US"/>
            <a:t>: Width 1 has the lowest mean (65.08), Width 2 the highest (66.02), and Width 3 falls in between (65.56). The medians follow a similar pattern, suggesting consistent central tendencies with slight variation.</a:t>
          </a:r>
        </a:p>
        <a:p>
          <a:r>
            <a:rPr lang="en-US" b="1"/>
            <a:t>Spread</a:t>
          </a:r>
          <a:r>
            <a:rPr lang="en-US"/>
            <a:t>: Width 2 shows the largest range (13.8), suggesting more variability compared to Width 1 and Width 3, which have smaller ranges (8.3 and 7.6, respectively).</a:t>
          </a:r>
        </a:p>
        <a:p>
          <a:r>
            <a:rPr lang="en-US" b="1"/>
            <a:t>Standard Deviation</a:t>
          </a:r>
          <a:r>
            <a:rPr lang="en-US"/>
            <a:t>: Width 2 also has the highest standard deviation (1.98), indicating more spread around the mean, while Width 3 has the lowest standard deviation (1.35), reflecting tighter control.</a:t>
          </a:r>
        </a:p>
        <a:p>
          <a:r>
            <a:rPr lang="en-US" b="1"/>
            <a:t>Outliers and Skewness</a:t>
          </a:r>
          <a:r>
            <a:rPr lang="en-US"/>
            <a:t>: All widths show some skewness, with Width 1 being negatively skewed and Width 3 being positively skewed. Width 2 is closer to symmetrical. There are a few outliers for all three widths, with Width 1 and Width 2 having more visible outliers in the box plot.</a:t>
          </a:r>
        </a:p>
        <a:p>
          <a:r>
            <a:rPr lang="en-US" b="1"/>
            <a:t>Control</a:t>
          </a:r>
          <a:r>
            <a:rPr lang="en-US"/>
            <a:t>: Width 2 shows more variability and outliers, suggesting that this section of the part might be less controlled compared to Width 1 and Width 3, which show more consistency.</a:t>
          </a:r>
        </a:p>
        <a:p>
          <a:r>
            <a:rPr lang="en-US"/>
            <a:t>In conclusion, Width 2 seems to be the most out of control, as indicated by its higher variability and the presence of more outliers.</a:t>
          </a:r>
        </a:p>
        <a:p>
          <a:endParaRPr lang="en-US" sz="1100" b="1"/>
        </a:p>
      </xdr:txBody>
    </xdr:sp>
    <xdr:clientData/>
  </xdr:twoCellAnchor>
  <xdr:twoCellAnchor>
    <xdr:from>
      <xdr:col>12</xdr:col>
      <xdr:colOff>6350</xdr:colOff>
      <xdr:row>1</xdr:row>
      <xdr:rowOff>0</xdr:rowOff>
    </xdr:from>
    <xdr:to>
      <xdr:col>20</xdr:col>
      <xdr:colOff>190500</xdr:colOff>
      <xdr:row>33</xdr:row>
      <xdr:rowOff>139700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7D554D0-93DE-2401-7505-A6163E14B7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042650" y="190500"/>
              <a:ext cx="5568950" cy="6235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31750</xdr:colOff>
      <xdr:row>0</xdr:row>
      <xdr:rowOff>139700</xdr:rowOff>
    </xdr:from>
    <xdr:to>
      <xdr:col>13</xdr:col>
      <xdr:colOff>501650</xdr:colOff>
      <xdr:row>3</xdr:row>
      <xdr:rowOff>158750</xdr:rowOff>
    </xdr:to>
    <xdr:sp macro="" textlink="">
      <xdr:nvSpPr>
        <xdr:cNvPr id="2" name="TextBox 1">
          <a:extLst>
            <a:ext uri="{FF2B5EF4-FFF2-40B4-BE49-F238E27FC236}">
              <a16:creationId xmlns:a16="http://schemas.microsoft.com/office/drawing/2014/main" id="{C4C23C07-CA00-49EE-891B-41A5145908D0}"/>
            </a:ext>
          </a:extLst>
        </xdr:cNvPr>
        <xdr:cNvSpPr txBox="1"/>
      </xdr:nvSpPr>
      <xdr:spPr>
        <a:xfrm>
          <a:off x="4006850" y="139700"/>
          <a:ext cx="4737100" cy="93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a:t>
          </a:r>
          <a:r>
            <a:rPr lang="en-US" sz="1100" baseline="0"/>
            <a:t> have data on the weather from a number of cities around the world.  Perform the same analysis that you did in problems 1 and 2.  But this time also calculate a covariance and correlation </a:t>
          </a:r>
          <a:r>
            <a:rPr lang="en-US" sz="1100" b="1" baseline="0"/>
            <a:t>matrix </a:t>
          </a:r>
          <a:r>
            <a:rPr lang="en-US" sz="1100" b="0" baseline="0"/>
            <a:t>(You can use the data analysis tool for this).</a:t>
          </a:r>
          <a:r>
            <a:rPr lang="en-US" sz="1100" baseline="0"/>
            <a:t>  What does these matrixes tell you?</a:t>
          </a:r>
          <a:endParaRPr lang="en-US" sz="1100"/>
        </a:p>
      </xdr:txBody>
    </xdr:sp>
    <xdr:clientData/>
  </xdr:twoCellAnchor>
  <xdr:twoCellAnchor>
    <xdr:from>
      <xdr:col>8</xdr:col>
      <xdr:colOff>936625</xdr:colOff>
      <xdr:row>42</xdr:row>
      <xdr:rowOff>82550</xdr:rowOff>
    </xdr:from>
    <xdr:to>
      <xdr:col>16</xdr:col>
      <xdr:colOff>454025</xdr:colOff>
      <xdr:row>55</xdr:row>
      <xdr:rowOff>62716</xdr:rowOff>
    </xdr:to>
    <xdr:sp macro="" textlink="">
      <xdr:nvSpPr>
        <xdr:cNvPr id="3" name="TextBox 2">
          <a:extLst>
            <a:ext uri="{FF2B5EF4-FFF2-40B4-BE49-F238E27FC236}">
              <a16:creationId xmlns:a16="http://schemas.microsoft.com/office/drawing/2014/main" id="{3213DC73-705F-4195-B5B5-EF3D5C9AF1AC}"/>
            </a:ext>
          </a:extLst>
        </xdr:cNvPr>
        <xdr:cNvSpPr txBox="1"/>
      </xdr:nvSpPr>
      <xdr:spPr>
        <a:xfrm>
          <a:off x="7631563" y="8439464"/>
          <a:ext cx="10508388" cy="24260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Analysis of Data:</a:t>
          </a:r>
        </a:p>
        <a:p>
          <a:r>
            <a:rPr lang="en-US" b="1"/>
            <a:t>Central Tendency and Spread</a:t>
          </a:r>
          <a:r>
            <a:rPr lang="en-US"/>
            <a:t>: The average days with rain (100.73 days) show a high variation (standard deviation of 37.3), while the average high temperature (70.35°F) has less variability (standard deviation of 13.69). Hours of sunlight per day and rain inches have smaller spreads compared to the days with rain, showing more consistent values.</a:t>
          </a:r>
        </a:p>
        <a:p>
          <a:r>
            <a:rPr lang="en-US" b="1"/>
            <a:t>Box Plot Comparison</a:t>
          </a:r>
          <a:r>
            <a:rPr lang="en-US"/>
            <a:t>: The box plots indicate that "Avg Days with Rain" has the highest variability and outliers, whereas "Rain Inches" shows the smallest range with minimal variation. "Hours of Sunlight" falls in between with some variability.</a:t>
          </a:r>
        </a:p>
        <a:p>
          <a:r>
            <a:rPr lang="en-US" b="1"/>
            <a:t>Correlations</a:t>
          </a:r>
          <a:r>
            <a:rPr lang="en-US"/>
            <a:t>: From the correlation matrix:</a:t>
          </a:r>
        </a:p>
        <a:p>
          <a:pPr lvl="1"/>
          <a:r>
            <a:rPr lang="en-US"/>
            <a:t>There is a moderate negative correlation between average days with rain and average high temperature (-0.5205), implying that more rainy days tend to correspond with lower temperatures.</a:t>
          </a:r>
        </a:p>
        <a:p>
          <a:pPr lvl="1"/>
          <a:r>
            <a:rPr lang="en-US"/>
            <a:t>Hours of sunlight per day have a strong positive correlation with average high temperature (0.679), suggesting that more sunlight correlates with higher temperatures.</a:t>
          </a:r>
        </a:p>
        <a:p>
          <a:pPr lvl="1"/>
          <a:r>
            <a:rPr lang="en-US"/>
            <a:t>Rain inches and average days with rain show a moderate positive correlation (0.498), indicating that more rainy days are associated with greater rain accumulation.</a:t>
          </a:r>
        </a:p>
        <a:p>
          <a:r>
            <a:rPr lang="en-US" b="1"/>
            <a:t>Outliers</a:t>
          </a:r>
          <a:r>
            <a:rPr lang="en-US"/>
            <a:t>: Rain inches data shows some outliers, as seen in the box plot, indicating that extreme rain events may occur sporadically.</a:t>
          </a:r>
        </a:p>
        <a:p>
          <a:r>
            <a:rPr lang="en-US"/>
            <a:t>In conclusion, "Avg Days with Rain" has the most variability, and the relationship between sunlight, temperature, and rainfall provides insights into weather patterns.</a:t>
          </a:r>
        </a:p>
        <a:p>
          <a:endParaRPr lang="en-US" sz="1100" b="1"/>
        </a:p>
      </xdr:txBody>
    </xdr:sp>
    <xdr:clientData/>
  </xdr:twoCellAnchor>
  <xdr:twoCellAnchor>
    <xdr:from>
      <xdr:col>12</xdr:col>
      <xdr:colOff>3210</xdr:colOff>
      <xdr:row>6</xdr:row>
      <xdr:rowOff>96749</xdr:rowOff>
    </xdr:from>
    <xdr:to>
      <xdr:col>16</xdr:col>
      <xdr:colOff>227101</xdr:colOff>
      <xdr:row>20</xdr:row>
      <xdr:rowOff>172949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E8B460C-50B4-8DB5-6147-E82394E1BF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271410" y="1658849"/>
              <a:ext cx="5646791"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590550</xdr:colOff>
      <xdr:row>0</xdr:row>
      <xdr:rowOff>50800</xdr:rowOff>
    </xdr:from>
    <xdr:to>
      <xdr:col>15</xdr:col>
      <xdr:colOff>508000</xdr:colOff>
      <xdr:row>6</xdr:row>
      <xdr:rowOff>114300</xdr:rowOff>
    </xdr:to>
    <xdr:sp macro="" textlink="">
      <xdr:nvSpPr>
        <xdr:cNvPr id="3" name="TextBox 2">
          <a:extLst>
            <a:ext uri="{FF2B5EF4-FFF2-40B4-BE49-F238E27FC236}">
              <a16:creationId xmlns:a16="http://schemas.microsoft.com/office/drawing/2014/main" id="{0195E846-EF04-4B38-8415-119516CE71B5}"/>
            </a:ext>
          </a:extLst>
        </xdr:cNvPr>
        <xdr:cNvSpPr txBox="1"/>
      </xdr:nvSpPr>
      <xdr:spPr>
        <a:xfrm>
          <a:off x="5880100" y="50800"/>
          <a:ext cx="4184650" cy="123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Problem</a:t>
          </a:r>
          <a:r>
            <a:rPr lang="en-US" sz="1100" baseline="0"/>
            <a:t> 4.1 </a:t>
          </a:r>
          <a:endParaRPr lang="en-US" sz="1100"/>
        </a:p>
        <a:p>
          <a:r>
            <a:rPr lang="en-US" sz="1100"/>
            <a:t>If</a:t>
          </a:r>
          <a:r>
            <a:rPr lang="en-US" sz="1100" baseline="0"/>
            <a:t> a person is selected at random , from the data described on the left what is the probability that he or she:</a:t>
          </a:r>
        </a:p>
        <a:p>
          <a:r>
            <a:rPr lang="en-US" sz="1100" baseline="0"/>
            <a:t>A) prefers name brand milk?</a:t>
          </a:r>
          <a:br>
            <a:rPr lang="en-US" sz="1100" baseline="0"/>
          </a:br>
          <a:r>
            <a:rPr lang="en-US" sz="1100" baseline="0"/>
            <a:t>B)  Is Female </a:t>
          </a:r>
          <a:r>
            <a:rPr lang="en-US" sz="1100" b="1" baseline="0"/>
            <a:t>AND </a:t>
          </a:r>
          <a:r>
            <a:rPr lang="en-US" sz="1100" b="0" baseline="0"/>
            <a:t>prefers name brand milk?</a:t>
          </a:r>
          <a:br>
            <a:rPr lang="en-US" sz="1100" b="0" baseline="0"/>
          </a:br>
          <a:r>
            <a:rPr lang="en-US" sz="1100" b="0" baseline="0"/>
            <a:t>C) Is Female OR prefers name brand milk?</a:t>
          </a:r>
          <a:endParaRPr lang="en-US" sz="1100" b="1" baseline="0"/>
        </a:p>
        <a:p>
          <a:endParaRPr lang="en-US" sz="1100"/>
        </a:p>
      </xdr:txBody>
    </xdr:sp>
    <xdr:clientData/>
  </xdr:twoCellAnchor>
  <xdr:twoCellAnchor>
    <xdr:from>
      <xdr:col>8</xdr:col>
      <xdr:colOff>584200</xdr:colOff>
      <xdr:row>6</xdr:row>
      <xdr:rowOff>177800</xdr:rowOff>
    </xdr:from>
    <xdr:to>
      <xdr:col>19</xdr:col>
      <xdr:colOff>44450</xdr:colOff>
      <xdr:row>19</xdr:row>
      <xdr:rowOff>50800</xdr:rowOff>
    </xdr:to>
    <xdr:sp macro="" textlink="">
      <xdr:nvSpPr>
        <xdr:cNvPr id="4" name="TextBox 3">
          <a:extLst>
            <a:ext uri="{FF2B5EF4-FFF2-40B4-BE49-F238E27FC236}">
              <a16:creationId xmlns:a16="http://schemas.microsoft.com/office/drawing/2014/main" id="{DC01B6E5-D83A-4FD7-B979-15C466EFAE57}"/>
            </a:ext>
          </a:extLst>
        </xdr:cNvPr>
        <xdr:cNvSpPr txBox="1"/>
      </xdr:nvSpPr>
      <xdr:spPr>
        <a:xfrm>
          <a:off x="5873750" y="1346200"/>
          <a:ext cx="6165850" cy="236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Problem 4.2</a:t>
          </a:r>
        </a:p>
        <a:p>
          <a:r>
            <a:rPr lang="en-US"/>
            <a:t>Each year, ratings are compiled concerning the perform of new cars.</a:t>
          </a:r>
          <a:r>
            <a:rPr lang="en-US" baseline="0"/>
            <a:t>  </a:t>
          </a:r>
          <a:r>
            <a:rPr lang="en-US"/>
            <a:t>Suppose that the have been categorized according to whether a car needs warranty related repair (yes or no) and the country in which the manufacturing of the car is based (United States or not United States)   Based on the data collected, the probabihty that the new car</a:t>
          </a:r>
          <a:r>
            <a:rPr lang="en-US" baseline="0"/>
            <a:t> will </a:t>
          </a:r>
          <a:r>
            <a:rPr lang="en-US"/>
            <a:t>need a warranty based repair is 0.05, the probability that the car was manufactured by a U.S.-based company is 0.70, and the probabihty that</a:t>
          </a:r>
          <a:r>
            <a:rPr lang="en-US" baseline="0"/>
            <a:t> a</a:t>
          </a:r>
          <a:r>
            <a:rPr lang="en-US"/>
            <a:t> new car needs a warranty repair </a:t>
          </a:r>
          <a:r>
            <a:rPr lang="en-US" b="1"/>
            <a:t>and</a:t>
          </a:r>
          <a:r>
            <a:rPr lang="en-US"/>
            <a:t> was manufactured by a U.S. based company is 0.04. Construct a contingency table to evaluate</a:t>
          </a:r>
          <a:r>
            <a:rPr lang="en-US" baseline="0"/>
            <a:t> the</a:t>
          </a:r>
          <a:r>
            <a:rPr lang="en-US"/>
            <a:t> probabihties of a warranty-related repair. What is the probability</a:t>
          </a:r>
          <a:r>
            <a:rPr lang="en-US" baseline="0"/>
            <a:t> </a:t>
          </a:r>
          <a:r>
            <a:rPr lang="en-US"/>
            <a:t>that a new car selected at random </a:t>
          </a:r>
        </a:p>
        <a:p>
          <a:r>
            <a:rPr lang="en-US"/>
            <a:t>a. needs a  repair that was</a:t>
          </a:r>
          <a:r>
            <a:rPr lang="en-US" baseline="0"/>
            <a:t> not covered under the warranty</a:t>
          </a:r>
          <a:r>
            <a:rPr lang="en-US"/>
            <a:t>? </a:t>
          </a:r>
        </a:p>
        <a:p>
          <a:r>
            <a:rPr lang="en-US"/>
            <a:t>b. was</a:t>
          </a:r>
          <a:r>
            <a:rPr lang="en-US" baseline="0"/>
            <a:t> not </a:t>
          </a:r>
          <a:r>
            <a:rPr lang="en-US"/>
            <a:t>a warranty repair and was manufactured by a U.S.</a:t>
          </a:r>
          <a:r>
            <a:rPr lang="en-US" baseline="0"/>
            <a:t> </a:t>
          </a:r>
          <a:r>
            <a:rPr lang="en-US"/>
            <a:t>company? </a:t>
          </a:r>
        </a:p>
        <a:p>
          <a:r>
            <a:rPr lang="en-US"/>
            <a:t>c. needs a warranty repair or was manufactured by a U.S.</a:t>
          </a:r>
          <a:r>
            <a:rPr lang="en-US" baseline="0"/>
            <a:t> </a:t>
          </a:r>
          <a:r>
            <a:rPr lang="en-US"/>
            <a:t>company?</a:t>
          </a:r>
        </a:p>
        <a:p>
          <a:r>
            <a:rPr lang="en-US"/>
            <a:t>d. needs a warranty repair or was not manufactured</a:t>
          </a:r>
          <a:r>
            <a:rPr lang="en-US" baseline="0"/>
            <a:t> by a U.S. company?</a:t>
          </a:r>
          <a:endParaRPr lang="en-US" sz="1100"/>
        </a:p>
      </xdr:txBody>
    </xdr:sp>
    <xdr:clientData/>
  </xdr:twoCellAnchor>
  <xdr:twoCellAnchor>
    <xdr:from>
      <xdr:col>9</xdr:col>
      <xdr:colOff>25400</xdr:colOff>
      <xdr:row>20</xdr:row>
      <xdr:rowOff>76200</xdr:rowOff>
    </xdr:from>
    <xdr:to>
      <xdr:col>17</xdr:col>
      <xdr:colOff>590550</xdr:colOff>
      <xdr:row>27</xdr:row>
      <xdr:rowOff>19050</xdr:rowOff>
    </xdr:to>
    <xdr:sp macro="" textlink="">
      <xdr:nvSpPr>
        <xdr:cNvPr id="5" name="TextBox 4">
          <a:extLst>
            <a:ext uri="{FF2B5EF4-FFF2-40B4-BE49-F238E27FC236}">
              <a16:creationId xmlns:a16="http://schemas.microsoft.com/office/drawing/2014/main" id="{C7A48B67-CC69-49CF-9E0C-7E468C6D52F2}"/>
            </a:ext>
          </a:extLst>
        </xdr:cNvPr>
        <xdr:cNvSpPr txBox="1"/>
      </xdr:nvSpPr>
      <xdr:spPr>
        <a:xfrm>
          <a:off x="5924550" y="3924300"/>
          <a:ext cx="5441950" cy="123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Do males or females feel more tense or stressed out at work? </a:t>
          </a:r>
        </a:p>
        <a:p>
          <a:r>
            <a:rPr lang="en-US"/>
            <a:t>a. Given that the employed adult felt tense or stressed out at work, what is the probabihty that the employed adult was a male? </a:t>
          </a:r>
        </a:p>
        <a:p>
          <a:r>
            <a:rPr lang="en-US"/>
            <a:t>b. Given that the employed adult is male, what is the probability that he felt tense or stressed out at work?</a:t>
          </a:r>
        </a:p>
        <a:p>
          <a:r>
            <a:rPr lang="en-US"/>
            <a:t>C. Is feeling tense or stressed out at work and gender independent? Prove mathematically</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1C45BB-F507-AB4B-99E7-D3EAD58C7680}">
  <we:reference id="wa200005502" version="1.0.0.11" store="en-GB" storeType="OMEX"/>
  <we:alternateReferences>
    <we:reference id="wa200005502" version="1.0.0.11" store="" storeType="OMEX"/>
  </we:alternateReferences>
  <we:properties>
    <we:property name="docId" value="&quot;LW8nXer7XCxRnP2KIK0m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04FE-3377-4DCF-9401-195B31B17694}">
  <dimension ref="A10:B23"/>
  <sheetViews>
    <sheetView topLeftCell="A5" zoomScale="172" zoomScaleNormal="110" workbookViewId="0">
      <selection activeCell="C20" sqref="C20"/>
    </sheetView>
  </sheetViews>
  <sheetFormatPr baseColWidth="10" defaultColWidth="8.83203125" defaultRowHeight="15" x14ac:dyDescent="0.2"/>
  <cols>
    <col min="1" max="1" width="8" bestFit="1" customWidth="1"/>
    <col min="2" max="2" width="12.33203125" bestFit="1" customWidth="1"/>
  </cols>
  <sheetData>
    <row r="10" spans="1:2" x14ac:dyDescent="0.2">
      <c r="A10" s="14" t="s">
        <v>32</v>
      </c>
      <c r="B10" t="s">
        <v>46</v>
      </c>
    </row>
    <row r="11" spans="1:2" x14ac:dyDescent="0.2">
      <c r="A11" t="s">
        <v>33</v>
      </c>
      <c r="B11" t="s">
        <v>50</v>
      </c>
    </row>
    <row r="12" spans="1:2" x14ac:dyDescent="0.2">
      <c r="A12" t="s">
        <v>34</v>
      </c>
      <c r="B12" t="s">
        <v>51</v>
      </c>
    </row>
    <row r="13" spans="1:2" x14ac:dyDescent="0.2">
      <c r="A13" t="s">
        <v>35</v>
      </c>
      <c r="B13" t="s">
        <v>52</v>
      </c>
    </row>
    <row r="14" spans="1:2" x14ac:dyDescent="0.2">
      <c r="A14" t="s">
        <v>36</v>
      </c>
    </row>
    <row r="15" spans="1:2" x14ac:dyDescent="0.2">
      <c r="A15" t="s">
        <v>37</v>
      </c>
    </row>
    <row r="16" spans="1:2" x14ac:dyDescent="0.2">
      <c r="A16" t="s">
        <v>38</v>
      </c>
    </row>
    <row r="17" spans="1:1" x14ac:dyDescent="0.2">
      <c r="A17" t="s">
        <v>39</v>
      </c>
    </row>
    <row r="18" spans="1:1" x14ac:dyDescent="0.2">
      <c r="A18" t="s">
        <v>40</v>
      </c>
    </row>
    <row r="19" spans="1:1" x14ac:dyDescent="0.2">
      <c r="A19" t="s">
        <v>41</v>
      </c>
    </row>
    <row r="20" spans="1:1" x14ac:dyDescent="0.2">
      <c r="A20" t="s">
        <v>42</v>
      </c>
    </row>
    <row r="21" spans="1:1" x14ac:dyDescent="0.2">
      <c r="A21" t="s">
        <v>43</v>
      </c>
    </row>
    <row r="22" spans="1:1" x14ac:dyDescent="0.2">
      <c r="A22" t="s">
        <v>44</v>
      </c>
    </row>
    <row r="23" spans="1:1" x14ac:dyDescent="0.2">
      <c r="A23" t="s">
        <v>45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A22" zoomScale="187" workbookViewId="0">
      <selection activeCell="G29" sqref="G29"/>
    </sheetView>
  </sheetViews>
  <sheetFormatPr baseColWidth="10" defaultColWidth="8.83203125" defaultRowHeight="15" x14ac:dyDescent="0.2"/>
  <cols>
    <col min="3" max="3" width="17.5" customWidth="1"/>
  </cols>
  <sheetData>
    <row r="1" spans="1:6" x14ac:dyDescent="0.2">
      <c r="A1" s="1" t="s">
        <v>30</v>
      </c>
    </row>
    <row r="2" spans="1:6" x14ac:dyDescent="0.2">
      <c r="A2" s="13">
        <v>60.1</v>
      </c>
    </row>
    <row r="3" spans="1:6" x14ac:dyDescent="0.2">
      <c r="A3" s="13">
        <v>68.2</v>
      </c>
    </row>
    <row r="4" spans="1:6" x14ac:dyDescent="0.2">
      <c r="A4" s="13">
        <v>65.2</v>
      </c>
    </row>
    <row r="5" spans="1:6" x14ac:dyDescent="0.2">
      <c r="A5" s="13">
        <v>63.9</v>
      </c>
    </row>
    <row r="6" spans="1:6" x14ac:dyDescent="0.2">
      <c r="A6" s="13">
        <v>65</v>
      </c>
    </row>
    <row r="7" spans="1:6" x14ac:dyDescent="0.2">
      <c r="A7" s="13">
        <v>66.2</v>
      </c>
    </row>
    <row r="8" spans="1:6" x14ac:dyDescent="0.2">
      <c r="A8" s="13">
        <v>64.400000000000006</v>
      </c>
      <c r="F8" t="s">
        <v>31</v>
      </c>
    </row>
    <row r="9" spans="1:6" x14ac:dyDescent="0.2">
      <c r="A9" s="13">
        <v>65.3</v>
      </c>
    </row>
    <row r="10" spans="1:6" x14ac:dyDescent="0.2">
      <c r="A10" s="13">
        <v>65.599999999999994</v>
      </c>
    </row>
    <row r="11" spans="1:6" x14ac:dyDescent="0.2">
      <c r="A11" s="13">
        <v>64.400000000000006</v>
      </c>
      <c r="C11" s="24" t="s">
        <v>76</v>
      </c>
      <c r="F11" s="24" t="s">
        <v>78</v>
      </c>
    </row>
    <row r="12" spans="1:6" x14ac:dyDescent="0.2">
      <c r="A12" s="13">
        <v>64</v>
      </c>
      <c r="C12" s="23" t="s">
        <v>85</v>
      </c>
      <c r="D12" s="28">
        <f>AVERAGE(A2:A41)</f>
        <v>65.502499999999984</v>
      </c>
    </row>
    <row r="13" spans="1:6" x14ac:dyDescent="0.2">
      <c r="A13" s="13">
        <v>65.900000000000006</v>
      </c>
      <c r="C13" s="23" t="s">
        <v>86</v>
      </c>
      <c r="D13" s="23">
        <f>_xlfn.STDEV.S(A2:A41)/SQRT(COUNT(A2:A41))</f>
        <v>0.44910862571577015</v>
      </c>
    </row>
    <row r="14" spans="1:6" x14ac:dyDescent="0.2">
      <c r="A14" s="13">
        <v>66</v>
      </c>
      <c r="C14" s="23" t="s">
        <v>87</v>
      </c>
      <c r="D14" s="28">
        <f>MEDIAN(A2:A41)</f>
        <v>65.25</v>
      </c>
    </row>
    <row r="15" spans="1:6" x14ac:dyDescent="0.2">
      <c r="A15" s="13">
        <v>64.8</v>
      </c>
      <c r="C15" s="23" t="s">
        <v>88</v>
      </c>
      <c r="D15" s="23">
        <f>MODE(A2:A41)</f>
        <v>65.2</v>
      </c>
    </row>
    <row r="16" spans="1:6" x14ac:dyDescent="0.2">
      <c r="A16" s="13">
        <v>66</v>
      </c>
      <c r="C16" s="23" t="s">
        <v>89</v>
      </c>
      <c r="D16" s="23">
        <f>_xlfn.STDEV.S(A2:A41)</f>
        <v>2.8404123481798043</v>
      </c>
    </row>
    <row r="17" spans="1:10" x14ac:dyDescent="0.2">
      <c r="A17" s="13">
        <v>64</v>
      </c>
      <c r="C17" s="23" t="s">
        <v>90</v>
      </c>
      <c r="D17" s="23">
        <f>KURT(A2:A41)</f>
        <v>17.903254756765204</v>
      </c>
    </row>
    <row r="18" spans="1:10" x14ac:dyDescent="0.2">
      <c r="A18" s="13">
        <v>65.5</v>
      </c>
      <c r="C18" s="23" t="s">
        <v>91</v>
      </c>
      <c r="D18" s="23">
        <f>SKEW(A2:A41)</f>
        <v>3.2394260488311941</v>
      </c>
    </row>
    <row r="19" spans="1:10" x14ac:dyDescent="0.2">
      <c r="A19" s="13">
        <v>63.2</v>
      </c>
      <c r="C19" s="23" t="s">
        <v>92</v>
      </c>
      <c r="D19" s="28">
        <f>MIN(A2:A41)</f>
        <v>60.1</v>
      </c>
    </row>
    <row r="20" spans="1:10" x14ac:dyDescent="0.2">
      <c r="A20" s="13">
        <v>66.099999999999994</v>
      </c>
      <c r="C20" s="23" t="s">
        <v>93</v>
      </c>
      <c r="D20" s="23">
        <f>_xlfn.QUARTILE.EXC(A2:A41,1)</f>
        <v>64.55</v>
      </c>
    </row>
    <row r="21" spans="1:10" x14ac:dyDescent="0.2">
      <c r="A21" s="13">
        <v>65.7</v>
      </c>
      <c r="C21" s="23" t="s">
        <v>94</v>
      </c>
      <c r="D21" s="23">
        <f>_xlfn.QUARTILE.EXC(A2:A41,3)</f>
        <v>66.074999999999989</v>
      </c>
    </row>
    <row r="22" spans="1:10" x14ac:dyDescent="0.2">
      <c r="A22" s="13">
        <v>64.8</v>
      </c>
      <c r="C22" s="23" t="s">
        <v>95</v>
      </c>
      <c r="D22" s="28">
        <f>MAX(A2:A41)</f>
        <v>80</v>
      </c>
    </row>
    <row r="23" spans="1:10" x14ac:dyDescent="0.2">
      <c r="A23" s="13">
        <v>64.8</v>
      </c>
      <c r="C23" s="23" t="s">
        <v>97</v>
      </c>
      <c r="D23" s="29">
        <f>_xlfn.VAR.S(A2:A41)</f>
        <v>8.0679423076923094</v>
      </c>
    </row>
    <row r="24" spans="1:10" x14ac:dyDescent="0.2">
      <c r="A24" s="13">
        <v>66.5</v>
      </c>
      <c r="C24" s="23" t="s">
        <v>96</v>
      </c>
      <c r="D24" s="23">
        <f>_xlfn.QUARTILE.EXC(A2:A41,3) - _xlfn.QUARTILE.EXC(A2:A41,1)</f>
        <v>1.5249999999999915</v>
      </c>
    </row>
    <row r="25" spans="1:10" x14ac:dyDescent="0.2">
      <c r="A25" s="13">
        <v>65.099999999999994</v>
      </c>
    </row>
    <row r="26" spans="1:10" x14ac:dyDescent="0.2">
      <c r="A26" s="13">
        <v>65.599999999999994</v>
      </c>
    </row>
    <row r="27" spans="1:10" x14ac:dyDescent="0.2">
      <c r="A27" s="13">
        <v>65.2</v>
      </c>
    </row>
    <row r="28" spans="1:10" x14ac:dyDescent="0.2">
      <c r="A28" s="13">
        <v>64.900000000000006</v>
      </c>
    </row>
    <row r="29" spans="1:10" x14ac:dyDescent="0.2">
      <c r="A29" s="13">
        <v>66.3</v>
      </c>
      <c r="C29" s="25" t="s">
        <v>77</v>
      </c>
      <c r="D29" s="23">
        <f>_xlfn.STDEV.S(A2:A41)/AVERAGE(A2:A41)*100</f>
        <v>4.3363418925686883</v>
      </c>
      <c r="F29" s="25" t="s">
        <v>79</v>
      </c>
      <c r="G29" s="28">
        <f>(80-D12)/D16</f>
        <v>5.104012454139033</v>
      </c>
      <c r="I29" s="25" t="s">
        <v>79</v>
      </c>
      <c r="J29" s="23">
        <f>(60-D12)/D16</f>
        <v>-1.9372187293602285</v>
      </c>
    </row>
    <row r="30" spans="1:10" x14ac:dyDescent="0.2">
      <c r="A30" s="13">
        <v>65.599999999999994</v>
      </c>
    </row>
    <row r="31" spans="1:10" x14ac:dyDescent="0.2">
      <c r="A31" s="13">
        <v>66.5</v>
      </c>
    </row>
    <row r="32" spans="1:10" x14ac:dyDescent="0.2">
      <c r="A32" s="13">
        <v>80</v>
      </c>
    </row>
    <row r="33" spans="1:1" x14ac:dyDescent="0.2">
      <c r="A33" s="13">
        <v>60.2</v>
      </c>
    </row>
    <row r="34" spans="1:1" x14ac:dyDescent="0.2">
      <c r="A34" s="13">
        <v>65.2</v>
      </c>
    </row>
    <row r="35" spans="1:1" x14ac:dyDescent="0.2">
      <c r="A35" s="13">
        <v>64.7</v>
      </c>
    </row>
    <row r="36" spans="1:1" x14ac:dyDescent="0.2">
      <c r="A36" s="13">
        <v>63.2</v>
      </c>
    </row>
    <row r="37" spans="1:1" x14ac:dyDescent="0.2">
      <c r="A37" s="13">
        <v>66.3</v>
      </c>
    </row>
    <row r="38" spans="1:1" x14ac:dyDescent="0.2">
      <c r="A38" s="13">
        <v>64.5</v>
      </c>
    </row>
    <row r="39" spans="1:1" x14ac:dyDescent="0.2">
      <c r="A39" s="13">
        <v>68.400000000000006</v>
      </c>
    </row>
    <row r="40" spans="1:1" x14ac:dyDescent="0.2">
      <c r="A40" s="13">
        <v>65.8</v>
      </c>
    </row>
    <row r="41" spans="1:1" x14ac:dyDescent="0.2">
      <c r="A41" s="18">
        <v>67</v>
      </c>
    </row>
    <row r="42" spans="1:1" x14ac:dyDescent="0.2">
      <c r="A42" s="2"/>
    </row>
    <row r="43" spans="1:1" x14ac:dyDescent="0.2">
      <c r="A43" s="2"/>
    </row>
    <row r="44" spans="1:1" x14ac:dyDescent="0.2">
      <c r="A44" s="2"/>
    </row>
    <row r="45" spans="1:1" x14ac:dyDescent="0.2">
      <c r="A45" s="2"/>
    </row>
    <row r="46" spans="1:1" x14ac:dyDescent="0.2">
      <c r="A46" s="2"/>
    </row>
    <row r="47" spans="1:1" x14ac:dyDescent="0.2">
      <c r="A47" s="2"/>
    </row>
    <row r="48" spans="1:1" x14ac:dyDescent="0.2">
      <c r="A48" s="2"/>
    </row>
    <row r="49" spans="1:1" x14ac:dyDescent="0.2">
      <c r="A49" s="2"/>
    </row>
    <row r="50" spans="1:1" x14ac:dyDescent="0.2">
      <c r="A50" s="2"/>
    </row>
    <row r="51" spans="1:1" x14ac:dyDescent="0.2">
      <c r="A51"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0"/>
  <sheetViews>
    <sheetView topLeftCell="H1" zoomScale="88" zoomScaleNormal="100" workbookViewId="0">
      <selection activeCell="W4" sqref="W4"/>
    </sheetView>
  </sheetViews>
  <sheetFormatPr baseColWidth="10" defaultColWidth="8.83203125" defaultRowHeight="15" x14ac:dyDescent="0.2"/>
  <cols>
    <col min="1" max="3" width="7" bestFit="1" customWidth="1"/>
    <col min="5" max="5" width="19.83203125" bestFit="1" customWidth="1"/>
    <col min="6" max="6" width="12.6640625" bestFit="1" customWidth="1"/>
    <col min="7" max="7" width="19.83203125" bestFit="1" customWidth="1"/>
    <col min="8" max="8" width="12.6640625" bestFit="1" customWidth="1"/>
    <col min="9" max="9" width="19.83203125" bestFit="1" customWidth="1"/>
    <col min="10" max="10" width="12.6640625" bestFit="1" customWidth="1"/>
    <col min="12" max="12" width="8.6640625" bestFit="1" customWidth="1"/>
    <col min="24" max="24" width="20" bestFit="1" customWidth="1"/>
    <col min="25" max="25" width="12.6640625" bestFit="1" customWidth="1"/>
    <col min="26" max="26" width="20" bestFit="1" customWidth="1"/>
    <col min="27" max="27" width="12.6640625" bestFit="1" customWidth="1"/>
    <col min="28" max="28" width="20" bestFit="1" customWidth="1"/>
  </cols>
  <sheetData>
    <row r="1" spans="1:29" x14ac:dyDescent="0.2">
      <c r="A1" s="15" t="s">
        <v>47</v>
      </c>
      <c r="B1" s="15" t="s">
        <v>48</v>
      </c>
      <c r="C1" s="15" t="s">
        <v>49</v>
      </c>
    </row>
    <row r="2" spans="1:29" x14ac:dyDescent="0.2">
      <c r="A2" s="13">
        <v>60.1</v>
      </c>
      <c r="B2" s="13">
        <v>61.3</v>
      </c>
      <c r="C2" s="13">
        <v>66.3</v>
      </c>
      <c r="L2" s="24" t="s">
        <v>80</v>
      </c>
    </row>
    <row r="3" spans="1:29" x14ac:dyDescent="0.2">
      <c r="A3" s="13">
        <v>68.2</v>
      </c>
      <c r="B3" s="13">
        <v>67.900000000000006</v>
      </c>
      <c r="C3" s="13">
        <v>68.5</v>
      </c>
    </row>
    <row r="4" spans="1:29" x14ac:dyDescent="0.2">
      <c r="A4" s="13">
        <v>65.2</v>
      </c>
      <c r="B4" s="13">
        <v>66.5</v>
      </c>
      <c r="C4" s="13">
        <v>65.2</v>
      </c>
    </row>
    <row r="5" spans="1:29" x14ac:dyDescent="0.2">
      <c r="A5" s="13">
        <v>63.9</v>
      </c>
      <c r="B5" s="13">
        <v>67.5</v>
      </c>
      <c r="C5" s="13">
        <v>66.099999999999994</v>
      </c>
    </row>
    <row r="6" spans="1:29" x14ac:dyDescent="0.2">
      <c r="A6" s="13">
        <v>65</v>
      </c>
      <c r="B6" s="13">
        <v>65.900000000000006</v>
      </c>
      <c r="C6" s="13">
        <v>65.5</v>
      </c>
    </row>
    <row r="7" spans="1:29" x14ac:dyDescent="0.2">
      <c r="A7" s="13">
        <v>66.2</v>
      </c>
      <c r="B7" s="13">
        <v>67</v>
      </c>
      <c r="C7" s="13">
        <v>64.599999999999994</v>
      </c>
    </row>
    <row r="8" spans="1:29" x14ac:dyDescent="0.2">
      <c r="A8" s="13">
        <v>64</v>
      </c>
      <c r="B8" s="13">
        <v>65.099999999999994</v>
      </c>
      <c r="C8" s="13">
        <v>70.7</v>
      </c>
    </row>
    <row r="9" spans="1:29" x14ac:dyDescent="0.2">
      <c r="A9" s="13">
        <v>65.3</v>
      </c>
      <c r="B9" s="13">
        <v>63.4</v>
      </c>
      <c r="C9" s="13">
        <v>63.3</v>
      </c>
      <c r="E9" s="24" t="s">
        <v>76</v>
      </c>
    </row>
    <row r="10" spans="1:29" x14ac:dyDescent="0.2">
      <c r="A10" s="13">
        <v>65.599999999999994</v>
      </c>
      <c r="B10" s="13">
        <v>66.400000000000006</v>
      </c>
      <c r="C10" s="13">
        <v>65.599999999999994</v>
      </c>
      <c r="E10" s="54" t="s">
        <v>47</v>
      </c>
      <c r="F10" s="55"/>
      <c r="G10" s="58" t="s">
        <v>48</v>
      </c>
      <c r="H10" s="59"/>
      <c r="I10" s="62" t="s">
        <v>49</v>
      </c>
      <c r="J10" s="63"/>
    </row>
    <row r="11" spans="1:29" x14ac:dyDescent="0.2">
      <c r="A11" s="13">
        <v>64.400000000000006</v>
      </c>
      <c r="B11" s="13">
        <v>65.400000000000006</v>
      </c>
      <c r="C11" s="13">
        <v>64.3</v>
      </c>
      <c r="E11" s="56"/>
      <c r="F11" s="57"/>
      <c r="G11" s="60"/>
      <c r="H11" s="61"/>
      <c r="I11" s="64"/>
      <c r="J11" s="65"/>
    </row>
    <row r="12" spans="1:29" x14ac:dyDescent="0.2">
      <c r="A12" s="13">
        <v>64</v>
      </c>
      <c r="B12" s="13">
        <v>65.3</v>
      </c>
      <c r="C12" s="13">
        <v>65</v>
      </c>
      <c r="E12" s="32" t="s">
        <v>85</v>
      </c>
      <c r="F12" s="32">
        <v>65.084615384615361</v>
      </c>
      <c r="G12" s="33" t="s">
        <v>85</v>
      </c>
      <c r="H12" s="33">
        <v>66.017948717948698</v>
      </c>
      <c r="I12" s="34" t="s">
        <v>85</v>
      </c>
      <c r="J12" s="34">
        <v>65.558974358974382</v>
      </c>
    </row>
    <row r="13" spans="1:29" x14ac:dyDescent="0.2">
      <c r="A13" s="13">
        <v>65.900000000000006</v>
      </c>
      <c r="B13" s="13">
        <v>64.5</v>
      </c>
      <c r="C13" s="13">
        <v>63.8</v>
      </c>
      <c r="E13" s="32" t="s">
        <v>98</v>
      </c>
      <c r="F13" s="32">
        <v>0.25513719051850164</v>
      </c>
      <c r="G13" s="33" t="s">
        <v>98</v>
      </c>
      <c r="H13" s="33">
        <v>0.3167154262099488</v>
      </c>
      <c r="I13" s="34" t="s">
        <v>98</v>
      </c>
      <c r="J13" s="34">
        <v>0.21651509123623636</v>
      </c>
      <c r="X13" s="53"/>
      <c r="Y13" s="53"/>
      <c r="Z13" s="53"/>
      <c r="AA13" s="53"/>
      <c r="AB13" s="53"/>
      <c r="AC13" s="53"/>
    </row>
    <row r="14" spans="1:29" x14ac:dyDescent="0.2">
      <c r="A14" s="13">
        <v>66</v>
      </c>
      <c r="B14" s="13">
        <v>65.8</v>
      </c>
      <c r="C14" s="13">
        <v>65.400000000000006</v>
      </c>
      <c r="E14" s="32" t="s">
        <v>87</v>
      </c>
      <c r="F14" s="32">
        <v>65.2</v>
      </c>
      <c r="G14" s="33" t="s">
        <v>87</v>
      </c>
      <c r="H14" s="33">
        <v>66.099999999999994</v>
      </c>
      <c r="I14" s="34" t="s">
        <v>87</v>
      </c>
      <c r="J14" s="34">
        <v>65.5</v>
      </c>
    </row>
    <row r="15" spans="1:29" x14ac:dyDescent="0.2">
      <c r="A15" s="13">
        <v>64.8</v>
      </c>
      <c r="B15" s="13">
        <v>65.900000000000006</v>
      </c>
      <c r="C15" s="13">
        <v>66.099999999999994</v>
      </c>
      <c r="E15" s="32" t="s">
        <v>99</v>
      </c>
      <c r="F15" s="32">
        <v>65.599999999999994</v>
      </c>
      <c r="G15" s="33" t="s">
        <v>99</v>
      </c>
      <c r="H15" s="33">
        <v>67</v>
      </c>
      <c r="I15" s="34" t="s">
        <v>99</v>
      </c>
      <c r="J15" s="34">
        <v>66.099999999999994</v>
      </c>
    </row>
    <row r="16" spans="1:29" x14ac:dyDescent="0.2">
      <c r="A16" s="13">
        <v>66</v>
      </c>
      <c r="B16" s="13">
        <v>66.3</v>
      </c>
      <c r="C16" s="13">
        <v>65.599999999999994</v>
      </c>
      <c r="E16" s="32" t="s">
        <v>100</v>
      </c>
      <c r="F16" s="32">
        <v>1.5933312441050336</v>
      </c>
      <c r="G16" s="33" t="s">
        <v>100</v>
      </c>
      <c r="H16" s="33">
        <v>1.9778872027430259</v>
      </c>
      <c r="I16" s="34" t="s">
        <v>100</v>
      </c>
      <c r="J16" s="34">
        <v>1.3521363113933427</v>
      </c>
    </row>
    <row r="17" spans="1:10" x14ac:dyDescent="0.2">
      <c r="A17" s="13">
        <v>64</v>
      </c>
      <c r="B17" s="13">
        <v>65.5</v>
      </c>
      <c r="C17" s="13">
        <v>64.7</v>
      </c>
      <c r="E17" s="32" t="s">
        <v>101</v>
      </c>
      <c r="F17" s="32">
        <v>2.5387044534412944</v>
      </c>
      <c r="G17" s="33" t="s">
        <v>101</v>
      </c>
      <c r="H17" s="33">
        <v>3.9120377867746314</v>
      </c>
      <c r="I17" s="34" t="s">
        <v>101</v>
      </c>
      <c r="J17" s="34">
        <v>1.8282726045883946</v>
      </c>
    </row>
    <row r="18" spans="1:10" x14ac:dyDescent="0.2">
      <c r="A18" s="13">
        <v>65.5</v>
      </c>
      <c r="B18" s="13">
        <v>67.2</v>
      </c>
      <c r="C18" s="13">
        <v>66</v>
      </c>
      <c r="E18" s="32" t="s">
        <v>90</v>
      </c>
      <c r="F18" s="32">
        <v>3.6861583159169395</v>
      </c>
      <c r="G18" s="33" t="s">
        <v>90</v>
      </c>
      <c r="H18" s="33">
        <v>7.1417639966173576</v>
      </c>
      <c r="I18" s="34" t="s">
        <v>90</v>
      </c>
      <c r="J18" s="34">
        <v>4.9290586508791732</v>
      </c>
    </row>
    <row r="19" spans="1:10" x14ac:dyDescent="0.2">
      <c r="A19" s="13">
        <v>63.2</v>
      </c>
      <c r="B19" s="13">
        <v>67.2</v>
      </c>
      <c r="C19" s="13">
        <v>66.400000000000006</v>
      </c>
      <c r="E19" s="32" t="s">
        <v>102</v>
      </c>
      <c r="F19" s="32">
        <v>-1.2222767720362895</v>
      </c>
      <c r="G19" s="33" t="s">
        <v>102</v>
      </c>
      <c r="H19" s="33">
        <v>-9.7393528925063103E-2</v>
      </c>
      <c r="I19" s="34" t="s">
        <v>102</v>
      </c>
      <c r="J19" s="34">
        <v>1.4992957909882649</v>
      </c>
    </row>
    <row r="20" spans="1:10" x14ac:dyDescent="0.2">
      <c r="A20" s="13">
        <v>66.099999999999994</v>
      </c>
      <c r="B20" s="13">
        <v>67</v>
      </c>
      <c r="C20" s="13">
        <v>65.099999999999994</v>
      </c>
      <c r="E20" s="32" t="s">
        <v>103</v>
      </c>
      <c r="F20" s="32">
        <v>8.3000000000000043</v>
      </c>
      <c r="G20" s="33" t="s">
        <v>103</v>
      </c>
      <c r="H20" s="33">
        <v>13.800000000000004</v>
      </c>
      <c r="I20" s="34" t="s">
        <v>103</v>
      </c>
      <c r="J20" s="34">
        <v>7.6000000000000014</v>
      </c>
    </row>
    <row r="21" spans="1:10" x14ac:dyDescent="0.2">
      <c r="A21" s="13">
        <v>65.7</v>
      </c>
      <c r="B21" s="13">
        <v>65.599999999999994</v>
      </c>
      <c r="C21" s="13">
        <v>65.099999999999994</v>
      </c>
      <c r="E21" s="32" t="s">
        <v>104</v>
      </c>
      <c r="F21" s="32">
        <v>60.1</v>
      </c>
      <c r="G21" s="33" t="s">
        <v>104</v>
      </c>
      <c r="H21" s="33">
        <v>59.4</v>
      </c>
      <c r="I21" s="34" t="s">
        <v>104</v>
      </c>
      <c r="J21" s="34">
        <v>63.1</v>
      </c>
    </row>
    <row r="22" spans="1:10" x14ac:dyDescent="0.2">
      <c r="A22" s="13">
        <v>64.8</v>
      </c>
      <c r="B22" s="13">
        <v>65.400000000000006</v>
      </c>
      <c r="C22" s="13">
        <v>64.900000000000006</v>
      </c>
      <c r="E22" s="32" t="s">
        <v>105</v>
      </c>
      <c r="F22" s="32">
        <v>68.400000000000006</v>
      </c>
      <c r="G22" s="33" t="s">
        <v>105</v>
      </c>
      <c r="H22" s="33">
        <v>73.2</v>
      </c>
      <c r="I22" s="34" t="s">
        <v>105</v>
      </c>
      <c r="J22" s="34">
        <v>70.7</v>
      </c>
    </row>
    <row r="23" spans="1:10" x14ac:dyDescent="0.2">
      <c r="A23" s="13">
        <v>64.8</v>
      </c>
      <c r="B23" s="13">
        <v>66.900000000000006</v>
      </c>
      <c r="C23" s="13">
        <v>66</v>
      </c>
      <c r="E23" s="32" t="s">
        <v>106</v>
      </c>
      <c r="F23" s="32">
        <v>2538.2999999999993</v>
      </c>
      <c r="G23" s="33" t="s">
        <v>106</v>
      </c>
      <c r="H23" s="33">
        <v>2574.6999999999994</v>
      </c>
      <c r="I23" s="34" t="s">
        <v>106</v>
      </c>
      <c r="J23" s="34">
        <v>2556.8000000000006</v>
      </c>
    </row>
    <row r="24" spans="1:10" x14ac:dyDescent="0.2">
      <c r="A24" s="13">
        <v>66.5</v>
      </c>
      <c r="B24" s="13">
        <v>66.8</v>
      </c>
      <c r="C24" s="13">
        <v>64.900000000000006</v>
      </c>
      <c r="E24" s="32" t="s">
        <v>107</v>
      </c>
      <c r="F24" s="32">
        <v>39</v>
      </c>
      <c r="G24" s="33" t="s">
        <v>107</v>
      </c>
      <c r="H24" s="33">
        <v>39</v>
      </c>
      <c r="I24" s="34" t="s">
        <v>107</v>
      </c>
      <c r="J24" s="34">
        <v>39</v>
      </c>
    </row>
    <row r="25" spans="1:10" x14ac:dyDescent="0.2">
      <c r="A25" s="13">
        <v>65.099999999999994</v>
      </c>
      <c r="B25" s="13">
        <v>66.5</v>
      </c>
      <c r="C25" s="13">
        <v>65.3</v>
      </c>
      <c r="E25" s="32" t="s">
        <v>108</v>
      </c>
      <c r="F25" s="32">
        <v>68.400000000000006</v>
      </c>
      <c r="G25" s="33" t="s">
        <v>108</v>
      </c>
      <c r="H25" s="33">
        <v>73.2</v>
      </c>
      <c r="I25" s="34" t="s">
        <v>108</v>
      </c>
      <c r="J25" s="34">
        <v>70.7</v>
      </c>
    </row>
    <row r="26" spans="1:10" x14ac:dyDescent="0.2">
      <c r="A26" s="13">
        <v>65.599999999999994</v>
      </c>
      <c r="B26" s="13">
        <v>65.7</v>
      </c>
      <c r="C26" s="13">
        <v>65.7</v>
      </c>
      <c r="E26" s="32" t="s">
        <v>109</v>
      </c>
      <c r="F26" s="32">
        <v>60.1</v>
      </c>
      <c r="G26" s="33" t="s">
        <v>109</v>
      </c>
      <c r="H26" s="33">
        <v>59.4</v>
      </c>
      <c r="I26" s="34" t="s">
        <v>109</v>
      </c>
      <c r="J26" s="34">
        <v>63.1</v>
      </c>
    </row>
    <row r="27" spans="1:10" x14ac:dyDescent="0.2">
      <c r="A27" s="13">
        <v>65.2</v>
      </c>
      <c r="B27" s="13">
        <v>66.599999999999994</v>
      </c>
      <c r="C27" s="13">
        <v>65.7</v>
      </c>
      <c r="E27" s="32" t="s">
        <v>110</v>
      </c>
      <c r="F27" s="32">
        <v>0.51649823948255125</v>
      </c>
      <c r="G27" s="33" t="s">
        <v>110</v>
      </c>
      <c r="H27" s="33">
        <v>0.64115686044031261</v>
      </c>
      <c r="I27" s="34" t="s">
        <v>110</v>
      </c>
      <c r="J27" s="34">
        <v>0.43831188709750468</v>
      </c>
    </row>
    <row r="28" spans="1:10" x14ac:dyDescent="0.2">
      <c r="A28" s="13">
        <v>64.900000000000006</v>
      </c>
      <c r="B28" s="13">
        <v>66.099999999999994</v>
      </c>
      <c r="C28" s="13">
        <v>65.900000000000006</v>
      </c>
      <c r="I28" s="26" t="s">
        <v>81</v>
      </c>
      <c r="J28" s="27" t="s">
        <v>82</v>
      </c>
    </row>
    <row r="29" spans="1:10" x14ac:dyDescent="0.2">
      <c r="A29" s="13">
        <v>66.3</v>
      </c>
      <c r="B29" s="13">
        <v>66.099999999999994</v>
      </c>
      <c r="C29" s="13">
        <v>65</v>
      </c>
      <c r="E29" s="25" t="s">
        <v>117</v>
      </c>
      <c r="F29" s="23">
        <f>(_xlfn.STDEV.S(A2:A40)/F12)*100</f>
        <v>2.4480919717959395</v>
      </c>
      <c r="I29" s="25" t="s">
        <v>111</v>
      </c>
      <c r="J29" s="28">
        <f>(60-F12)/F16</f>
        <v>-3.1911853881151782</v>
      </c>
    </row>
    <row r="30" spans="1:10" x14ac:dyDescent="0.2">
      <c r="A30" s="13">
        <v>65.599999999999994</v>
      </c>
      <c r="B30" s="13">
        <v>67</v>
      </c>
      <c r="C30" s="13">
        <v>66.400000000000006</v>
      </c>
      <c r="E30" s="35" t="s">
        <v>115</v>
      </c>
      <c r="F30" s="23">
        <f>(_xlfn.STDEV.S(B2:B40)/F12)*100</f>
        <v>3.038947362682821</v>
      </c>
      <c r="I30" s="25" t="s">
        <v>113</v>
      </c>
      <c r="J30" s="47">
        <f>(73.2-H12)/H16</f>
        <v>3.6311733409725804</v>
      </c>
    </row>
    <row r="31" spans="1:10" x14ac:dyDescent="0.2">
      <c r="A31" s="13">
        <v>66.5</v>
      </c>
      <c r="B31" s="13">
        <v>66</v>
      </c>
      <c r="C31" s="13">
        <v>65.2</v>
      </c>
      <c r="E31" s="25" t="s">
        <v>116</v>
      </c>
      <c r="F31" s="23">
        <f>(_xlfn.STDEV.S(C2:C40)/F12)*100</f>
        <v>2.077505265112098</v>
      </c>
      <c r="I31" s="25" t="s">
        <v>113</v>
      </c>
      <c r="J31" s="49">
        <f>(59.4-H12)/H16</f>
        <v>-3.3459687229740003</v>
      </c>
    </row>
    <row r="32" spans="1:10" x14ac:dyDescent="0.2">
      <c r="A32" s="13">
        <v>65.599999999999994</v>
      </c>
      <c r="B32" s="13">
        <v>65.7</v>
      </c>
      <c r="C32" s="13">
        <v>64.599999999999994</v>
      </c>
      <c r="H32" s="24"/>
      <c r="I32" s="25" t="s">
        <v>112</v>
      </c>
      <c r="J32" s="28">
        <f>(70.7-J12)/J16</f>
        <v>3.8021504176068777</v>
      </c>
    </row>
    <row r="33" spans="1:3" x14ac:dyDescent="0.2">
      <c r="A33" s="13">
        <v>60.2</v>
      </c>
      <c r="B33" s="13">
        <v>59.4</v>
      </c>
      <c r="C33" s="13">
        <v>63.1</v>
      </c>
    </row>
    <row r="34" spans="1:3" x14ac:dyDescent="0.2">
      <c r="A34" s="13">
        <v>65.2</v>
      </c>
      <c r="B34" s="13">
        <v>66.099999999999994</v>
      </c>
      <c r="C34" s="13">
        <v>65.900000000000006</v>
      </c>
    </row>
    <row r="35" spans="1:3" x14ac:dyDescent="0.2">
      <c r="A35" s="13">
        <v>64.7</v>
      </c>
      <c r="B35" s="13">
        <v>65.5</v>
      </c>
      <c r="C35" s="13">
        <v>66.099999999999994</v>
      </c>
    </row>
    <row r="36" spans="1:3" x14ac:dyDescent="0.2">
      <c r="A36" s="13">
        <v>63.2</v>
      </c>
      <c r="B36" s="13">
        <v>64.900000000000006</v>
      </c>
      <c r="C36" s="13">
        <v>67.8</v>
      </c>
    </row>
    <row r="37" spans="1:3" x14ac:dyDescent="0.2">
      <c r="A37" s="13">
        <v>66.3</v>
      </c>
      <c r="B37" s="13">
        <v>65.5</v>
      </c>
      <c r="C37" s="13">
        <v>64.400000000000006</v>
      </c>
    </row>
    <row r="38" spans="1:3" x14ac:dyDescent="0.2">
      <c r="A38" s="13">
        <v>64.5</v>
      </c>
      <c r="B38" s="13">
        <v>67.5</v>
      </c>
      <c r="C38" s="13">
        <v>66.7</v>
      </c>
    </row>
    <row r="39" spans="1:3" x14ac:dyDescent="0.2">
      <c r="A39" s="13">
        <v>68.400000000000006</v>
      </c>
      <c r="B39" s="13">
        <v>73.2</v>
      </c>
      <c r="C39" s="13">
        <v>64</v>
      </c>
    </row>
    <row r="40" spans="1:3" x14ac:dyDescent="0.2">
      <c r="A40" s="13">
        <v>65.8</v>
      </c>
      <c r="B40" s="13">
        <v>67.099999999999994</v>
      </c>
      <c r="C40" s="13">
        <v>65.900000000000006</v>
      </c>
    </row>
  </sheetData>
  <mergeCells count="3">
    <mergeCell ref="E10:F11"/>
    <mergeCell ref="G10:H11"/>
    <mergeCell ref="I10:J11"/>
  </mergeCells>
  <printOptions gridLines="1"/>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0"/>
  <sheetViews>
    <sheetView topLeftCell="B1" zoomScale="136" workbookViewId="0">
      <selection activeCell="M35" sqref="M35"/>
    </sheetView>
  </sheetViews>
  <sheetFormatPr baseColWidth="10" defaultColWidth="8.83203125" defaultRowHeight="15" x14ac:dyDescent="0.2"/>
  <cols>
    <col min="1" max="1" width="11.6640625" bestFit="1" customWidth="1"/>
    <col min="2" max="2" width="8.33203125" bestFit="1" customWidth="1"/>
    <col min="3" max="3" width="7.6640625" bestFit="1" customWidth="1"/>
    <col min="4" max="4" width="7.5" bestFit="1" customWidth="1"/>
    <col min="5" max="5" width="7.1640625" bestFit="1" customWidth="1"/>
    <col min="7" max="7" width="20.33203125" bestFit="1" customWidth="1"/>
    <col min="8" max="8" width="16.33203125" bestFit="1" customWidth="1"/>
    <col min="9" max="9" width="19.83203125" bestFit="1" customWidth="1"/>
    <col min="10" max="10" width="21.33203125" bestFit="1" customWidth="1"/>
    <col min="11" max="11" width="19.83203125" bestFit="1" customWidth="1"/>
    <col min="12" max="12" width="12.1640625" bestFit="1" customWidth="1"/>
    <col min="13" max="13" width="21" bestFit="1" customWidth="1"/>
    <col min="14" max="14" width="16.6640625" bestFit="1" customWidth="1"/>
    <col min="15" max="15" width="12.1640625" bestFit="1" customWidth="1"/>
    <col min="16" max="16" width="21.33203125" bestFit="1" customWidth="1"/>
    <col min="17" max="17" width="10.5" bestFit="1" customWidth="1"/>
    <col min="19" max="19" width="5.6640625" bestFit="1" customWidth="1"/>
    <col min="20" max="20" width="6.6640625" bestFit="1" customWidth="1"/>
  </cols>
  <sheetData>
    <row r="1" spans="1:28" ht="48" x14ac:dyDescent="0.2">
      <c r="A1" s="16" t="s">
        <v>1</v>
      </c>
      <c r="B1" s="17" t="s">
        <v>53</v>
      </c>
      <c r="C1" s="17" t="s">
        <v>54</v>
      </c>
      <c r="D1" s="17" t="s">
        <v>55</v>
      </c>
      <c r="E1" s="17" t="s">
        <v>56</v>
      </c>
    </row>
    <row r="2" spans="1:28" x14ac:dyDescent="0.2">
      <c r="A2" t="s">
        <v>2</v>
      </c>
      <c r="B2" s="11">
        <v>128</v>
      </c>
      <c r="C2" s="11">
        <v>92</v>
      </c>
      <c r="D2" s="11">
        <v>7.2</v>
      </c>
      <c r="E2" s="11">
        <v>64.888999999999996</v>
      </c>
    </row>
    <row r="3" spans="1:28" x14ac:dyDescent="0.2">
      <c r="A3" t="s">
        <v>3</v>
      </c>
      <c r="B3" s="11">
        <v>70.599999999999994</v>
      </c>
      <c r="C3" s="11">
        <v>64</v>
      </c>
      <c r="D3" s="11">
        <v>7.3</v>
      </c>
      <c r="E3" s="11">
        <v>22.51</v>
      </c>
    </row>
    <row r="4" spans="1:28" x14ac:dyDescent="0.2">
      <c r="A4" t="s">
        <v>4</v>
      </c>
      <c r="B4" s="11">
        <v>101.2</v>
      </c>
      <c r="C4" s="11">
        <v>56</v>
      </c>
      <c r="D4" s="11">
        <v>4.5</v>
      </c>
      <c r="E4" s="11">
        <v>22.469000000000001</v>
      </c>
    </row>
    <row r="5" spans="1:28" x14ac:dyDescent="0.2">
      <c r="A5" t="s">
        <v>57</v>
      </c>
      <c r="B5" s="11">
        <v>101</v>
      </c>
      <c r="C5" s="11">
        <v>72</v>
      </c>
      <c r="D5" s="11">
        <v>6.7</v>
      </c>
      <c r="E5" s="11">
        <v>47.819000000000003</v>
      </c>
    </row>
    <row r="6" spans="1:28" x14ac:dyDescent="0.2">
      <c r="A6" t="s">
        <v>59</v>
      </c>
      <c r="B6" s="11">
        <v>14.2</v>
      </c>
      <c r="C6" s="11">
        <v>82</v>
      </c>
      <c r="D6" s="11">
        <v>9.4</v>
      </c>
      <c r="E6" s="11">
        <v>0.97199999999999998</v>
      </c>
    </row>
    <row r="7" spans="1:28" x14ac:dyDescent="0.2">
      <c r="A7" t="s">
        <v>5</v>
      </c>
      <c r="B7" s="11">
        <v>123.1</v>
      </c>
      <c r="C7" s="11">
        <v>59</v>
      </c>
      <c r="D7" s="11">
        <v>6.9</v>
      </c>
      <c r="E7" s="11">
        <v>39.090000000000003</v>
      </c>
      <c r="G7" s="37" t="s">
        <v>114</v>
      </c>
      <c r="H7" s="38" t="s">
        <v>53</v>
      </c>
      <c r="I7" s="39" t="s">
        <v>54</v>
      </c>
      <c r="J7" s="40" t="s">
        <v>55</v>
      </c>
      <c r="K7" s="41" t="s">
        <v>56</v>
      </c>
      <c r="L7" s="24" t="s">
        <v>80</v>
      </c>
    </row>
    <row r="8" spans="1:28" x14ac:dyDescent="0.2">
      <c r="A8" t="s">
        <v>6</v>
      </c>
      <c r="B8" s="11">
        <v>25.2</v>
      </c>
      <c r="C8" s="11">
        <v>92</v>
      </c>
      <c r="D8" s="11">
        <v>9.6</v>
      </c>
      <c r="E8" s="11">
        <v>3.7109999999999999</v>
      </c>
      <c r="G8" s="42" t="s">
        <v>85</v>
      </c>
      <c r="H8" s="43">
        <v>100.73451612903226</v>
      </c>
      <c r="I8" s="44">
        <v>70.354838709677423</v>
      </c>
      <c r="J8" s="45">
        <v>6.3903225806451598</v>
      </c>
      <c r="K8" s="46">
        <v>37.610677419354843</v>
      </c>
    </row>
    <row r="9" spans="1:28" x14ac:dyDescent="0.2">
      <c r="A9" t="s">
        <v>7</v>
      </c>
      <c r="B9" s="11">
        <v>124.2</v>
      </c>
      <c r="C9" s="11">
        <v>55</v>
      </c>
      <c r="D9" s="11">
        <v>3.9</v>
      </c>
      <c r="E9" s="11">
        <v>27.725999999999999</v>
      </c>
      <c r="G9" s="42" t="s">
        <v>98</v>
      </c>
      <c r="H9" s="43">
        <v>6.6991387640776399</v>
      </c>
      <c r="I9" s="44">
        <v>2.4589307874383972</v>
      </c>
      <c r="J9" s="45">
        <v>0.29871966355030299</v>
      </c>
      <c r="K9" s="46">
        <v>3.8931218549098277</v>
      </c>
    </row>
    <row r="10" spans="1:28" x14ac:dyDescent="0.2">
      <c r="A10" t="s">
        <v>8</v>
      </c>
      <c r="B10" s="11">
        <v>137.65</v>
      </c>
      <c r="C10" s="11">
        <v>78</v>
      </c>
      <c r="D10" s="11">
        <v>5</v>
      </c>
      <c r="E10" s="11">
        <v>94.424999999999997</v>
      </c>
      <c r="G10" s="42" t="s">
        <v>87</v>
      </c>
      <c r="H10" s="43">
        <v>105.5</v>
      </c>
      <c r="I10" s="44">
        <v>71</v>
      </c>
      <c r="J10" s="45">
        <v>6.8</v>
      </c>
      <c r="K10" s="46">
        <v>32.857999999999997</v>
      </c>
    </row>
    <row r="11" spans="1:28" x14ac:dyDescent="0.2">
      <c r="A11" t="s">
        <v>70</v>
      </c>
      <c r="B11" s="11">
        <v>104</v>
      </c>
      <c r="C11" s="11">
        <v>80</v>
      </c>
      <c r="D11" s="11">
        <v>7.1</v>
      </c>
      <c r="E11" s="11">
        <v>49.77</v>
      </c>
      <c r="G11" s="42" t="s">
        <v>99</v>
      </c>
      <c r="H11" s="43" t="e">
        <v>#N/A</v>
      </c>
      <c r="I11" s="44">
        <v>92</v>
      </c>
      <c r="J11" s="45">
        <v>4.5</v>
      </c>
      <c r="K11" s="46" t="e">
        <v>#N/A</v>
      </c>
    </row>
    <row r="12" spans="1:28" x14ac:dyDescent="0.2">
      <c r="A12" t="s">
        <v>66</v>
      </c>
      <c r="B12" s="11">
        <v>14</v>
      </c>
      <c r="C12" s="11">
        <v>84</v>
      </c>
      <c r="D12" s="11">
        <v>8.1</v>
      </c>
      <c r="E12" s="11">
        <v>1</v>
      </c>
      <c r="G12" s="42" t="s">
        <v>100</v>
      </c>
      <c r="H12" s="43">
        <v>37.29922607228464</v>
      </c>
      <c r="I12" s="44">
        <v>13.690747208965071</v>
      </c>
      <c r="J12" s="45">
        <v>1.6632006971919513</v>
      </c>
      <c r="K12" s="46">
        <v>21.675985123921649</v>
      </c>
    </row>
    <row r="13" spans="1:28" x14ac:dyDescent="0.2">
      <c r="A13" t="s">
        <v>68</v>
      </c>
      <c r="B13" s="11">
        <v>99.3</v>
      </c>
      <c r="C13" s="11">
        <v>71</v>
      </c>
      <c r="D13" s="11">
        <v>8.6</v>
      </c>
      <c r="E13" s="11">
        <v>28.07</v>
      </c>
      <c r="G13" s="42" t="s">
        <v>101</v>
      </c>
      <c r="H13" s="43">
        <v>1391.2322655913983</v>
      </c>
      <c r="I13" s="44">
        <v>187.43655913978486</v>
      </c>
      <c r="J13" s="45">
        <v>2.7662365591397928</v>
      </c>
      <c r="K13" s="46">
        <v>469.84833109247268</v>
      </c>
    </row>
    <row r="14" spans="1:28" x14ac:dyDescent="0.2">
      <c r="A14" t="s">
        <v>65</v>
      </c>
      <c r="B14" s="11">
        <v>102.8</v>
      </c>
      <c r="C14" s="11">
        <v>87</v>
      </c>
      <c r="D14" s="11">
        <v>5.0999999999999996</v>
      </c>
      <c r="E14" s="11">
        <v>60.552</v>
      </c>
      <c r="G14" s="42" t="s">
        <v>90</v>
      </c>
      <c r="H14" s="43">
        <v>0.5830234062276296</v>
      </c>
      <c r="I14" s="44">
        <v>-0.79328964601262841</v>
      </c>
      <c r="J14" s="45">
        <v>-0.77184429953076439</v>
      </c>
      <c r="K14" s="46">
        <v>1.0880370244763862</v>
      </c>
    </row>
    <row r="15" spans="1:28" x14ac:dyDescent="0.2">
      <c r="A15" t="s">
        <v>9</v>
      </c>
      <c r="B15" s="11">
        <v>110.4</v>
      </c>
      <c r="C15" s="11">
        <v>59</v>
      </c>
      <c r="D15" s="11">
        <v>4.5</v>
      </c>
      <c r="E15" s="11">
        <v>23.298999999999999</v>
      </c>
      <c r="G15" s="42" t="s">
        <v>102</v>
      </c>
      <c r="H15" s="43">
        <v>-1.0775192174661892</v>
      </c>
      <c r="I15" s="44">
        <v>0.19136608356048648</v>
      </c>
      <c r="J15" s="45">
        <v>0.1407559937244813</v>
      </c>
      <c r="K15" s="46">
        <v>0.71120714088964088</v>
      </c>
    </row>
    <row r="16" spans="1:28" x14ac:dyDescent="0.2">
      <c r="A16" t="s">
        <v>10</v>
      </c>
      <c r="B16" s="11">
        <v>35.700000000000003</v>
      </c>
      <c r="C16" s="11">
        <v>75</v>
      </c>
      <c r="D16" s="11">
        <v>8.9</v>
      </c>
      <c r="E16" s="11">
        <v>14.93</v>
      </c>
      <c r="G16" s="42" t="s">
        <v>103</v>
      </c>
      <c r="H16" s="43">
        <v>136</v>
      </c>
      <c r="I16" s="44">
        <v>53</v>
      </c>
      <c r="J16" s="45">
        <v>6.1</v>
      </c>
      <c r="K16" s="46">
        <v>93.453000000000003</v>
      </c>
      <c r="AB16" s="36"/>
    </row>
    <row r="17" spans="1:11" x14ac:dyDescent="0.2">
      <c r="A17" t="s">
        <v>63</v>
      </c>
      <c r="B17" s="11">
        <v>128.02000000000001</v>
      </c>
      <c r="C17" s="11">
        <v>74</v>
      </c>
      <c r="D17" s="11">
        <v>7</v>
      </c>
      <c r="E17" s="11">
        <v>29.704999999999998</v>
      </c>
      <c r="G17" s="42" t="s">
        <v>104</v>
      </c>
      <c r="H17" s="43">
        <v>14</v>
      </c>
      <c r="I17" s="44">
        <v>45</v>
      </c>
      <c r="J17" s="45">
        <v>3.5</v>
      </c>
      <c r="K17" s="46">
        <v>0.97199999999999998</v>
      </c>
    </row>
    <row r="18" spans="1:11" x14ac:dyDescent="0.2">
      <c r="A18" t="s">
        <v>67</v>
      </c>
      <c r="B18" s="11">
        <v>105.5</v>
      </c>
      <c r="C18" s="11">
        <v>49</v>
      </c>
      <c r="D18" s="11">
        <v>4.7</v>
      </c>
      <c r="E18" s="11">
        <v>27.86</v>
      </c>
      <c r="G18" s="42" t="s">
        <v>105</v>
      </c>
      <c r="H18" s="43">
        <v>150</v>
      </c>
      <c r="I18" s="44">
        <v>98</v>
      </c>
      <c r="J18" s="45">
        <v>9.6</v>
      </c>
      <c r="K18" s="46">
        <v>94.424999999999997</v>
      </c>
    </row>
    <row r="19" spans="1:11" x14ac:dyDescent="0.2">
      <c r="A19" t="s">
        <v>11</v>
      </c>
      <c r="B19" s="11">
        <v>78.900000000000006</v>
      </c>
      <c r="C19" s="11">
        <v>89</v>
      </c>
      <c r="D19" s="11">
        <v>7.1</v>
      </c>
      <c r="E19" s="11">
        <v>88.897999999999996</v>
      </c>
      <c r="G19" s="42" t="s">
        <v>106</v>
      </c>
      <c r="H19" s="43">
        <v>3122.77</v>
      </c>
      <c r="I19" s="44">
        <v>2181</v>
      </c>
      <c r="J19" s="45">
        <v>198.09999999999997</v>
      </c>
      <c r="K19" s="46">
        <v>1165.931</v>
      </c>
    </row>
    <row r="20" spans="1:11" x14ac:dyDescent="0.2">
      <c r="A20" t="s">
        <v>61</v>
      </c>
      <c r="B20" s="11">
        <v>91</v>
      </c>
      <c r="C20" s="11">
        <v>76</v>
      </c>
      <c r="D20" s="11">
        <v>6.8</v>
      </c>
      <c r="E20" s="11">
        <v>41.792000000000002</v>
      </c>
      <c r="G20" s="42" t="s">
        <v>107</v>
      </c>
      <c r="H20" s="43">
        <v>31</v>
      </c>
      <c r="I20" s="44">
        <v>31</v>
      </c>
      <c r="J20" s="45">
        <v>31</v>
      </c>
      <c r="K20" s="46">
        <v>31</v>
      </c>
    </row>
    <row r="21" spans="1:11" x14ac:dyDescent="0.2">
      <c r="A21" t="s">
        <v>71</v>
      </c>
      <c r="B21" s="11">
        <v>122</v>
      </c>
      <c r="C21" s="11">
        <v>62</v>
      </c>
      <c r="D21" s="11">
        <v>6.9</v>
      </c>
      <c r="E21" s="11">
        <v>49.94</v>
      </c>
      <c r="G21" s="42" t="s">
        <v>110</v>
      </c>
      <c r="H21" s="43">
        <v>13.68146657881568</v>
      </c>
      <c r="I21" s="44">
        <v>5.0218066191365525</v>
      </c>
      <c r="J21" s="45">
        <v>0.61006694102435666</v>
      </c>
      <c r="K21" s="46">
        <v>7.9508155333067245</v>
      </c>
    </row>
    <row r="22" spans="1:11" x14ac:dyDescent="0.2">
      <c r="A22" t="s">
        <v>12</v>
      </c>
      <c r="B22" s="11">
        <v>111.1</v>
      </c>
      <c r="C22" s="11">
        <v>61</v>
      </c>
      <c r="D22" s="11">
        <v>4.5</v>
      </c>
      <c r="E22" s="11">
        <v>25.094000000000001</v>
      </c>
      <c r="G22" s="42"/>
      <c r="H22" s="43"/>
      <c r="I22" s="44"/>
      <c r="J22" s="45"/>
      <c r="K22" s="46"/>
    </row>
    <row r="23" spans="1:11" x14ac:dyDescent="0.2">
      <c r="A23" t="s">
        <v>60</v>
      </c>
      <c r="B23" s="11">
        <v>140</v>
      </c>
      <c r="C23" s="11">
        <v>45</v>
      </c>
      <c r="D23" s="11">
        <v>3.5</v>
      </c>
      <c r="E23" s="11">
        <v>25</v>
      </c>
    </row>
    <row r="24" spans="1:11" x14ac:dyDescent="0.2">
      <c r="A24" t="s">
        <v>58</v>
      </c>
      <c r="B24" s="11">
        <v>112</v>
      </c>
      <c r="C24" s="11">
        <v>81</v>
      </c>
      <c r="D24" s="11">
        <v>6</v>
      </c>
      <c r="E24" s="11">
        <v>46.177</v>
      </c>
      <c r="G24" s="26" t="s">
        <v>81</v>
      </c>
      <c r="H24" s="27" t="s">
        <v>82</v>
      </c>
    </row>
    <row r="25" spans="1:11" x14ac:dyDescent="0.2">
      <c r="A25" t="s">
        <v>13</v>
      </c>
      <c r="B25" s="11">
        <v>79.400000000000006</v>
      </c>
      <c r="C25" s="11">
        <v>69</v>
      </c>
      <c r="D25" s="11">
        <v>6.8</v>
      </c>
      <c r="E25" s="11">
        <v>31.664999999999999</v>
      </c>
      <c r="G25" s="25">
        <v>88.897999999999996</v>
      </c>
      <c r="H25" s="48">
        <f>(G25-K8)/K12</f>
        <v>2.3660895819698817</v>
      </c>
    </row>
    <row r="26" spans="1:11" x14ac:dyDescent="0.2">
      <c r="A26" t="s">
        <v>14</v>
      </c>
      <c r="B26" s="11">
        <v>150</v>
      </c>
      <c r="C26" s="11">
        <v>60</v>
      </c>
      <c r="D26" s="11">
        <v>5.9</v>
      </c>
      <c r="E26" s="11">
        <v>37.49</v>
      </c>
      <c r="G26" s="25">
        <v>94.424999999999997</v>
      </c>
      <c r="H26" s="48">
        <f>(G26-K8)/K12</f>
        <v>2.6210722260528212</v>
      </c>
    </row>
    <row r="27" spans="1:11" x14ac:dyDescent="0.2">
      <c r="A27" t="s">
        <v>69</v>
      </c>
      <c r="B27" s="11">
        <v>131.6</v>
      </c>
      <c r="C27" s="11">
        <v>56</v>
      </c>
      <c r="D27" s="11">
        <v>4</v>
      </c>
      <c r="E27" s="11">
        <v>32.857999999999997</v>
      </c>
      <c r="G27" s="25"/>
      <c r="H27" s="23"/>
    </row>
    <row r="28" spans="1:11" x14ac:dyDescent="0.2">
      <c r="A28" t="s">
        <v>15</v>
      </c>
      <c r="B28" s="11">
        <v>143.5</v>
      </c>
      <c r="C28" s="11">
        <v>71</v>
      </c>
      <c r="D28" s="11">
        <v>7.2</v>
      </c>
      <c r="E28" s="11">
        <v>47.786999999999999</v>
      </c>
    </row>
    <row r="29" spans="1:11" x14ac:dyDescent="0.2">
      <c r="A29" t="s">
        <v>62</v>
      </c>
      <c r="B29" s="11">
        <v>70</v>
      </c>
      <c r="C29" s="11">
        <v>98</v>
      </c>
      <c r="D29" s="11">
        <v>8.5</v>
      </c>
      <c r="E29" s="11">
        <v>40</v>
      </c>
    </row>
    <row r="30" spans="1:11" x14ac:dyDescent="0.2">
      <c r="A30" t="s">
        <v>16</v>
      </c>
      <c r="B30" s="11">
        <v>101.3</v>
      </c>
      <c r="C30" s="11">
        <v>68</v>
      </c>
      <c r="D30" s="11">
        <v>5.0999999999999996</v>
      </c>
      <c r="E30" s="11">
        <v>60.189</v>
      </c>
    </row>
    <row r="31" spans="1:11" x14ac:dyDescent="0.2">
      <c r="A31" t="s">
        <v>17</v>
      </c>
      <c r="B31" s="11">
        <v>145.5</v>
      </c>
      <c r="C31" s="11">
        <v>55</v>
      </c>
      <c r="D31" s="11">
        <v>5.7</v>
      </c>
      <c r="E31" s="11">
        <v>32.72</v>
      </c>
    </row>
    <row r="32" spans="1:11" x14ac:dyDescent="0.2">
      <c r="A32" t="s">
        <v>64</v>
      </c>
      <c r="B32" s="11">
        <v>121.6</v>
      </c>
      <c r="C32" s="11">
        <v>61</v>
      </c>
      <c r="D32" s="11">
        <v>5.6</v>
      </c>
      <c r="E32" s="11">
        <v>47.524000000000001</v>
      </c>
    </row>
    <row r="35" spans="1:17" ht="16" thickBot="1" x14ac:dyDescent="0.25">
      <c r="G35" s="24" t="s">
        <v>83</v>
      </c>
      <c r="H35" s="24"/>
      <c r="I35" s="24"/>
      <c r="J35" s="24"/>
      <c r="K35" s="24"/>
      <c r="L35" s="24"/>
      <c r="M35" s="24" t="s">
        <v>84</v>
      </c>
    </row>
    <row r="36" spans="1:17" x14ac:dyDescent="0.2">
      <c r="A36" s="5"/>
      <c r="B36" s="5"/>
      <c r="C36" s="5"/>
      <c r="G36" s="31"/>
      <c r="H36" s="31" t="s">
        <v>53</v>
      </c>
      <c r="I36" s="31" t="s">
        <v>54</v>
      </c>
      <c r="J36" s="31" t="s">
        <v>55</v>
      </c>
      <c r="K36" s="31" t="s">
        <v>56</v>
      </c>
      <c r="M36" s="31"/>
      <c r="N36" s="31" t="s">
        <v>53</v>
      </c>
      <c r="O36" s="31" t="s">
        <v>54</v>
      </c>
      <c r="P36" s="31" t="s">
        <v>55</v>
      </c>
      <c r="Q36" s="31" t="s">
        <v>56</v>
      </c>
    </row>
    <row r="37" spans="1:17" x14ac:dyDescent="0.2">
      <c r="A37" s="5"/>
      <c r="B37" s="5"/>
      <c r="C37" s="5"/>
      <c r="G37" t="s">
        <v>53</v>
      </c>
      <c r="H37">
        <f>VARP('Ch3.3'!$B$2:$B$32)</f>
        <v>1346.3538054110313</v>
      </c>
      <c r="M37" t="s">
        <v>53</v>
      </c>
      <c r="N37">
        <v>1</v>
      </c>
    </row>
    <row r="38" spans="1:17" x14ac:dyDescent="0.2">
      <c r="A38" s="6"/>
      <c r="B38" s="6"/>
      <c r="C38" s="6"/>
      <c r="G38" t="s">
        <v>54</v>
      </c>
      <c r="H38">
        <v>-257.24515088449533</v>
      </c>
      <c r="I38">
        <f>VARP('Ch3.3'!$C$2:$C$32)</f>
        <v>181.39021852237252</v>
      </c>
      <c r="M38" t="s">
        <v>54</v>
      </c>
      <c r="N38">
        <v>-0.52054785817551297</v>
      </c>
      <c r="O38">
        <v>1</v>
      </c>
    </row>
    <row r="39" spans="1:17" x14ac:dyDescent="0.2">
      <c r="G39" t="s">
        <v>55</v>
      </c>
      <c r="H39">
        <v>-40.749278876170649</v>
      </c>
      <c r="I39">
        <v>14.97117585848075</v>
      </c>
      <c r="J39">
        <f>VARP('Ch3.3'!$D$2:$D$32)</f>
        <v>2.6770031217481849</v>
      </c>
      <c r="M39" t="s">
        <v>55</v>
      </c>
      <c r="N39">
        <v>-0.67875944782193887</v>
      </c>
      <c r="O39">
        <v>0.67939843322821403</v>
      </c>
      <c r="P39">
        <v>1</v>
      </c>
    </row>
    <row r="40" spans="1:17" ht="16" thickBot="1" x14ac:dyDescent="0.25">
      <c r="G40" s="30" t="s">
        <v>56</v>
      </c>
      <c r="H40" s="30">
        <v>389.8273879084287</v>
      </c>
      <c r="I40" s="30">
        <v>65.924662851196658</v>
      </c>
      <c r="J40" s="30">
        <v>-8.5672257023933422</v>
      </c>
      <c r="K40" s="30">
        <f>VARP('Ch3.3'!$E$2:$E$32)</f>
        <v>454.69193331529601</v>
      </c>
      <c r="M40" s="30" t="s">
        <v>56</v>
      </c>
      <c r="N40" s="30">
        <v>0.49823487318123938</v>
      </c>
      <c r="O40" s="30">
        <v>0.2295526764187715</v>
      </c>
      <c r="P40" s="30">
        <v>-0.24555972872480489</v>
      </c>
      <c r="Q40" s="30">
        <v>1</v>
      </c>
    </row>
  </sheetData>
  <sortState xmlns:xlrd2="http://schemas.microsoft.com/office/spreadsheetml/2017/richdata2" ref="A2:E32">
    <sortCondition ref="A2:A3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tabSelected="1" zoomScale="115" workbookViewId="0">
      <selection activeCell="G25" sqref="G25"/>
    </sheetView>
  </sheetViews>
  <sheetFormatPr baseColWidth="10" defaultColWidth="8.83203125" defaultRowHeight="15" x14ac:dyDescent="0.2"/>
  <cols>
    <col min="2" max="2" width="14.5" style="11" customWidth="1"/>
    <col min="4" max="4" width="13" customWidth="1"/>
  </cols>
  <sheetData>
    <row r="1" spans="1:8" x14ac:dyDescent="0.2">
      <c r="A1" t="s">
        <v>29</v>
      </c>
    </row>
    <row r="2" spans="1:8" ht="19" x14ac:dyDescent="0.25">
      <c r="A2" s="9">
        <v>4.0999999999999996</v>
      </c>
    </row>
    <row r="3" spans="1:8" ht="15.5" customHeight="1" x14ac:dyDescent="0.25">
      <c r="A3" s="10"/>
      <c r="B3" s="12"/>
      <c r="C3" s="7" t="s">
        <v>27</v>
      </c>
      <c r="D3" s="7" t="s">
        <v>28</v>
      </c>
      <c r="E3" s="7" t="s">
        <v>21</v>
      </c>
      <c r="G3" t="s">
        <v>0</v>
      </c>
      <c r="H3" s="50">
        <f>750/2367</f>
        <v>0.31685678073510776</v>
      </c>
    </row>
    <row r="4" spans="1:8" x14ac:dyDescent="0.2">
      <c r="B4" s="11" t="s">
        <v>24</v>
      </c>
      <c r="C4" s="8">
        <v>400</v>
      </c>
      <c r="D4" s="8">
        <v>350</v>
      </c>
      <c r="E4" s="8">
        <f>SUM(C4:D4)</f>
        <v>750</v>
      </c>
      <c r="G4" t="s">
        <v>18</v>
      </c>
      <c r="H4" s="50">
        <f>D4/E4</f>
        <v>0.46666666666666667</v>
      </c>
    </row>
    <row r="5" spans="1:8" x14ac:dyDescent="0.2">
      <c r="B5" s="11" t="s">
        <v>25</v>
      </c>
      <c r="C5" s="8">
        <v>717</v>
      </c>
      <c r="D5" s="8">
        <v>650</v>
      </c>
      <c r="E5" s="8">
        <f>SUM(C5:D5)</f>
        <v>1367</v>
      </c>
      <c r="G5" t="s">
        <v>19</v>
      </c>
      <c r="H5" s="50">
        <f>D7/E7+750/E7-D4/E7</f>
        <v>0.6539923954372624</v>
      </c>
    </row>
    <row r="6" spans="1:8" x14ac:dyDescent="0.2">
      <c r="B6" s="12" t="s">
        <v>26</v>
      </c>
      <c r="C6" s="7">
        <v>102</v>
      </c>
      <c r="D6" s="7">
        <v>148</v>
      </c>
      <c r="E6" s="7">
        <f t="shared" ref="E6:E7" si="0">SUM(C6:D6)</f>
        <v>250</v>
      </c>
    </row>
    <row r="7" spans="1:8" x14ac:dyDescent="0.2">
      <c r="B7" s="11" t="s">
        <v>21</v>
      </c>
      <c r="C7" s="8">
        <f>SUM(C4:C6)</f>
        <v>1219</v>
      </c>
      <c r="D7" s="8">
        <f>SUM(D4:D6)</f>
        <v>1148</v>
      </c>
      <c r="E7" s="8">
        <f t="shared" si="0"/>
        <v>2367</v>
      </c>
    </row>
    <row r="9" spans="1:8" ht="19" x14ac:dyDescent="0.25">
      <c r="A9" s="9">
        <v>4.2</v>
      </c>
    </row>
    <row r="10" spans="1:8" x14ac:dyDescent="0.2">
      <c r="B10" s="20"/>
      <c r="C10" s="6" t="s">
        <v>74</v>
      </c>
      <c r="D10" s="6" t="s">
        <v>75</v>
      </c>
      <c r="E10" s="21" t="s">
        <v>21</v>
      </c>
      <c r="G10" t="s">
        <v>0</v>
      </c>
      <c r="H10" s="4">
        <v>0.95</v>
      </c>
    </row>
    <row r="11" spans="1:8" x14ac:dyDescent="0.2">
      <c r="B11" s="19" t="s">
        <v>72</v>
      </c>
      <c r="C11">
        <v>0.04</v>
      </c>
      <c r="D11">
        <v>0.66</v>
      </c>
      <c r="E11" s="22">
        <v>0.7</v>
      </c>
      <c r="G11" t="s">
        <v>18</v>
      </c>
      <c r="H11" s="4">
        <v>0.66</v>
      </c>
    </row>
    <row r="12" spans="1:8" x14ac:dyDescent="0.2">
      <c r="B12" s="20" t="s">
        <v>73</v>
      </c>
      <c r="C12" s="6">
        <v>0.01</v>
      </c>
      <c r="D12" s="6">
        <v>0.28999999999999998</v>
      </c>
      <c r="E12" s="21">
        <v>0.3</v>
      </c>
      <c r="G12" t="s">
        <v>19</v>
      </c>
      <c r="H12" s="4">
        <f>C13+E11-C11</f>
        <v>0.71</v>
      </c>
    </row>
    <row r="13" spans="1:8" x14ac:dyDescent="0.2">
      <c r="B13" s="19"/>
      <c r="C13">
        <f>SUM(C11:C12)</f>
        <v>0.05</v>
      </c>
      <c r="D13">
        <f>SUM(D11:D12)</f>
        <v>0.95</v>
      </c>
      <c r="E13" s="22">
        <v>1</v>
      </c>
      <c r="G13" t="s">
        <v>20</v>
      </c>
      <c r="H13" s="4">
        <f>C13+E12-C12</f>
        <v>0.33999999999999997</v>
      </c>
    </row>
    <row r="17" spans="1:8" ht="19" x14ac:dyDescent="0.25">
      <c r="A17" s="9">
        <v>4.3</v>
      </c>
    </row>
    <row r="18" spans="1:8" x14ac:dyDescent="0.2">
      <c r="B18" s="12"/>
      <c r="C18" s="7" t="s">
        <v>22</v>
      </c>
      <c r="D18" s="7" t="s">
        <v>23</v>
      </c>
      <c r="E18" s="7" t="s">
        <v>21</v>
      </c>
      <c r="G18" t="s">
        <v>0</v>
      </c>
      <c r="H18" s="51">
        <f>C19/C21</f>
        <v>0.4642857142857143</v>
      </c>
    </row>
    <row r="19" spans="1:8" x14ac:dyDescent="0.2">
      <c r="B19" s="11" t="s">
        <v>27</v>
      </c>
      <c r="C19" s="8">
        <v>260</v>
      </c>
      <c r="D19" s="8">
        <v>495</v>
      </c>
      <c r="E19" s="8">
        <f>SUM(C19:D19)</f>
        <v>755</v>
      </c>
      <c r="G19" t="s">
        <v>18</v>
      </c>
      <c r="H19" s="51">
        <f>260/750</f>
        <v>0.34666666666666668</v>
      </c>
    </row>
    <row r="20" spans="1:8" x14ac:dyDescent="0.2">
      <c r="B20" s="12" t="s">
        <v>28</v>
      </c>
      <c r="C20" s="7">
        <v>300</v>
      </c>
      <c r="D20" s="7">
        <v>480</v>
      </c>
      <c r="E20" s="7">
        <f>SUM(C20:D20)</f>
        <v>780</v>
      </c>
      <c r="G20" t="s">
        <v>19</v>
      </c>
      <c r="H20" s="52" t="s">
        <v>23</v>
      </c>
    </row>
    <row r="21" spans="1:8" x14ac:dyDescent="0.2">
      <c r="B21" s="11" t="s">
        <v>21</v>
      </c>
      <c r="C21" s="8">
        <f>SUM(C19:C20)</f>
        <v>560</v>
      </c>
      <c r="D21" s="8">
        <f>SUM(D19:D20)</f>
        <v>975</v>
      </c>
      <c r="E21" s="8">
        <f t="shared" ref="E21" si="1">SUM(C21:D21)</f>
        <v>1535</v>
      </c>
      <c r="G21" t="s">
        <v>118</v>
      </c>
    </row>
    <row r="22" spans="1:8" x14ac:dyDescent="0.2">
      <c r="G22">
        <f>560/1535</f>
        <v>0.36482084690553745</v>
      </c>
    </row>
    <row r="23" spans="1:8" x14ac:dyDescent="0.2">
      <c r="B23"/>
      <c r="G23" t="s">
        <v>119</v>
      </c>
    </row>
    <row r="24" spans="1:8" x14ac:dyDescent="0.2">
      <c r="G24">
        <f>C20/E20</f>
        <v>0.38461538461538464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Excel Hints!!</vt:lpstr>
      <vt:lpstr>Ch3.1</vt:lpstr>
      <vt:lpstr>Ch3.2</vt:lpstr>
      <vt:lpstr>Ch3.3</vt:lpstr>
      <vt:lpstr>Chapter 4</vt:lpstr>
    </vt:vector>
  </TitlesOfParts>
  <Company>Quinnipiac Univeristy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Prof.</dc:creator>
  <cp:lastModifiedBy>Dhruv Khanna</cp:lastModifiedBy>
  <dcterms:created xsi:type="dcterms:W3CDTF">2017-01-26T16:44:40Z</dcterms:created>
  <dcterms:modified xsi:type="dcterms:W3CDTF">2024-09-27T00:07:06Z</dcterms:modified>
</cp:coreProperties>
</file>