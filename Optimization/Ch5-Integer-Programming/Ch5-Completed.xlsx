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mc:AlternateContent xmlns:mc="http://schemas.openxmlformats.org/markup-compatibility/2006">
    <mc:Choice Requires="x15">
      <x15ac:absPath xmlns:x15ac="http://schemas.microsoft.com/office/spreadsheetml/2010/11/ac" url="/Users/dhruv/Desktop/InfinityVoid/OPTIMIZATION/"/>
    </mc:Choice>
  </mc:AlternateContent>
  <xr:revisionPtr revIDLastSave="0" documentId="13_ncr:1_{8D2ED4B1-2074-184C-A167-5D188A416271}" xr6:coauthVersionLast="47" xr6:coauthVersionMax="47" xr10:uidLastSave="{00000000-0000-0000-0000-000000000000}"/>
  <bookViews>
    <workbookView xWindow="140" yWindow="900" windowWidth="29080" windowHeight="18060" activeTab="4" xr2:uid="{00000000-000D-0000-FFFF-FFFF00000000}"/>
  </bookViews>
  <sheets>
    <sheet name="1" sheetId="10" r:id="rId1"/>
    <sheet name="1C" sheetId="12" r:id="rId2"/>
    <sheet name="2" sheetId="8" r:id="rId3"/>
    <sheet name="3" sheetId="1" r:id="rId4"/>
    <sheet name="4" sheetId="9" r:id="rId5"/>
    <sheet name="5A" sheetId="15" r:id="rId6"/>
    <sheet name="5B" sheetId="4" r:id="rId7"/>
    <sheet name="5C" sheetId="13" r:id="rId8"/>
    <sheet name="5D" sheetId="14" r:id="rId9"/>
    <sheet name="6" sheetId="5" r:id="rId10"/>
    <sheet name="7" sheetId="11" r:id="rId11"/>
    <sheet name="SMDA" sheetId="2" state="veryHidden" r:id="rId12"/>
  </sheets>
  <definedNames>
    <definedName name="_Regression_Int" localSheetId="4" hidden="1">1</definedName>
    <definedName name="_Regression_Int" localSheetId="5" hidden="1">1</definedName>
    <definedName name="_Regression_Int" localSheetId="6" hidden="1">1</definedName>
    <definedName name="_Regression_Int" localSheetId="7" hidden="1">1</definedName>
    <definedName name="_Regression_Int" localSheetId="8" hidden="1">1</definedName>
    <definedName name="coin_cuttype" localSheetId="2" hidden="1">1</definedName>
    <definedName name="coin_cuttype" localSheetId="9" hidden="1">1</definedName>
    <definedName name="coin_dualtol" localSheetId="2" hidden="1">0.0000001</definedName>
    <definedName name="coin_dualtol" localSheetId="9" hidden="1">0.0000001</definedName>
    <definedName name="coin_heurs" localSheetId="2" hidden="1">1</definedName>
    <definedName name="coin_heurs" localSheetId="9" hidden="1">1</definedName>
    <definedName name="coin_integerpresolve" localSheetId="2" hidden="1">1</definedName>
    <definedName name="coin_integerpresolve" localSheetId="9" hidden="1">1</definedName>
    <definedName name="coin_presolve1" localSheetId="2" hidden="1">1</definedName>
    <definedName name="coin_presolve1" localSheetId="9" hidden="1">1</definedName>
    <definedName name="coin_primaltol" localSheetId="2" hidden="1">0.0000001</definedName>
    <definedName name="coin_primaltol" localSheetId="9" hidden="1">0.0000001</definedName>
    <definedName name="DATA" localSheetId="4">'4'!$F$2:$H$29</definedName>
    <definedName name="DATA" localSheetId="5">'5A'!$I$2:$K$17</definedName>
    <definedName name="DATA" localSheetId="7">'5C'!$I$2:$K$17</definedName>
    <definedName name="DATA" localSheetId="8">'5D'!$I$2:$K$17</definedName>
    <definedName name="grb_bariter" localSheetId="2" hidden="1">1E+100</definedName>
    <definedName name="grb_bartol" localSheetId="2" hidden="1">0.00000001</definedName>
    <definedName name="grb_crossover" localSheetId="2" hidden="1">-1</definedName>
    <definedName name="grb_cutoff" localSheetId="2" hidden="1">1E+100</definedName>
    <definedName name="grb_cuts" localSheetId="2" hidden="1">-1</definedName>
    <definedName name="grb_focus" localSheetId="2" hidden="1">0</definedName>
    <definedName name="grb_heur" localSheetId="2" hidden="1">0.05</definedName>
    <definedName name="grb_infeas" localSheetId="2" hidden="1">0.000001</definedName>
    <definedName name="grb_inttol" localSheetId="2" hidden="1">0.00001</definedName>
    <definedName name="grb_method" localSheetId="2" hidden="1">1</definedName>
    <definedName name="grb_nodefilestart" localSheetId="2" hidden="1">1E+100</definedName>
    <definedName name="grb_optimal" localSheetId="2" hidden="1">0.000001</definedName>
    <definedName name="grb_order" localSheetId="2" hidden="1">-1</definedName>
    <definedName name="grb_presolve" localSheetId="2" hidden="1">-1</definedName>
    <definedName name="grb_pricing" localSheetId="2" hidden="1">-1</definedName>
    <definedName name="grb_psdtol" localSheetId="2" hidden="1">0.000001</definedName>
    <definedName name="grb_relmip" localSheetId="2" hidden="1">0.0001</definedName>
    <definedName name="grb_submip" localSheetId="2" hidden="1">500</definedName>
    <definedName name="grb_symmetry" localSheetId="2" hidden="1">-1</definedName>
    <definedName name="grb_threads" localSheetId="2" hidden="1">0</definedName>
    <definedName name="grb_var" localSheetId="2" hidden="1">-1</definedName>
    <definedName name="gurobi_qp" localSheetId="2" hidden="1">2</definedName>
    <definedName name="LSGRGeng_RelaxBounds" localSheetId="2" hidden="1">0</definedName>
    <definedName name="solver_acc" localSheetId="2" hidden="1">0.001</definedName>
    <definedName name="solver_adj" localSheetId="0" hidden="1">'1'!$A$7:$A$18</definedName>
    <definedName name="solver_adj" localSheetId="1" hidden="1">'1C'!$A$7:$A$18</definedName>
    <definedName name="solver_adj" localSheetId="2" hidden="1">'2'!$C$21:$Q$25</definedName>
    <definedName name="solver_adj" localSheetId="3" hidden="1">'3'!$A$7:$A$14</definedName>
    <definedName name="solver_adj" localSheetId="4" hidden="1">'4'!$B$20:$E$20</definedName>
    <definedName name="solver_adj" localSheetId="5" hidden="1">'5A'!$A$9:$A$28</definedName>
    <definedName name="solver_adj" localSheetId="6" hidden="1">'5B'!$A$9:$A$28</definedName>
    <definedName name="solver_adj" localSheetId="7" hidden="1">'5C'!$A$9:$A$28</definedName>
    <definedName name="solver_adj" localSheetId="8" hidden="1">'5D'!$A$9:$A$29</definedName>
    <definedName name="solver_adj" localSheetId="9" hidden="1">'6'!$A$40:$A$49</definedName>
    <definedName name="solver_adj_ob" localSheetId="2" hidden="1">1</definedName>
    <definedName name="solver_adj_ob" localSheetId="3" hidden="1">1</definedName>
    <definedName name="solver_adj_ob" localSheetId="4" hidden="1">1</definedName>
    <definedName name="solver_adj_ob" localSheetId="5" hidden="1">1</definedName>
    <definedName name="solver_adj_ob" localSheetId="6" hidden="1">1</definedName>
    <definedName name="solver_adj_ob" localSheetId="7" hidden="1">1</definedName>
    <definedName name="solver_adj_ob" localSheetId="8" hidden="1">1</definedName>
    <definedName name="solver_adj_ob" localSheetId="9" hidden="1">1</definedName>
    <definedName name="solver_ars" localSheetId="2" hidden="1">1</definedName>
    <definedName name="solver_bigm" localSheetId="2" hidden="1">1000000</definedName>
    <definedName name="solver_bnd" localSheetId="2" hidden="1">1</definedName>
    <definedName name="solver_cha" localSheetId="2" hidden="1">0</definedName>
    <definedName name="solver_cha" localSheetId="3" hidden="1">0</definedName>
    <definedName name="solver_cha" localSheetId="4" hidden="1">0</definedName>
    <definedName name="solver_cha" localSheetId="5" hidden="1">0</definedName>
    <definedName name="solver_cha" localSheetId="6" hidden="1">0</definedName>
    <definedName name="solver_cha" localSheetId="7" hidden="1">0</definedName>
    <definedName name="solver_cha" localSheetId="8" hidden="1">0</definedName>
    <definedName name="solver_cha" localSheetId="9" hidden="1">0</definedName>
    <definedName name="solver_chc1" localSheetId="2" hidden="1">0</definedName>
    <definedName name="solver_chc1" localSheetId="3" hidden="1">0</definedName>
    <definedName name="solver_chc1" localSheetId="4" hidden="1">0</definedName>
    <definedName name="solver_chc1" localSheetId="5" hidden="1">0</definedName>
    <definedName name="solver_chc1" localSheetId="6" hidden="1">0</definedName>
    <definedName name="solver_chc1" localSheetId="7" hidden="1">0</definedName>
    <definedName name="solver_chc1" localSheetId="8" hidden="1">0</definedName>
    <definedName name="solver_chc1" localSheetId="9" hidden="1">0</definedName>
    <definedName name="solver_chc2" localSheetId="2" hidden="1">0</definedName>
    <definedName name="solver_chc2" localSheetId="3" hidden="1">0</definedName>
    <definedName name="solver_chc2" localSheetId="4" hidden="1">0</definedName>
    <definedName name="solver_chc2" localSheetId="5" hidden="1">0</definedName>
    <definedName name="solver_chc2" localSheetId="6" hidden="1">0</definedName>
    <definedName name="solver_chc2" localSheetId="7" hidden="1">0</definedName>
    <definedName name="solver_chc2" localSheetId="8" hidden="1">0</definedName>
    <definedName name="solver_chc2" localSheetId="9" hidden="1">0</definedName>
    <definedName name="solver_chc3" localSheetId="2" hidden="1">0</definedName>
    <definedName name="solver_chc3" localSheetId="9" hidden="1">0</definedName>
    <definedName name="solver_chn" localSheetId="2" hidden="1">4</definedName>
    <definedName name="solver_chn" localSheetId="3" hidden="1">4</definedName>
    <definedName name="solver_chn" localSheetId="4" hidden="1">4</definedName>
    <definedName name="solver_chn" localSheetId="5" hidden="1">4</definedName>
    <definedName name="solver_chn" localSheetId="6" hidden="1">4</definedName>
    <definedName name="solver_chn" localSheetId="7" hidden="1">4</definedName>
    <definedName name="solver_chn" localSheetId="8" hidden="1">4</definedName>
    <definedName name="solver_chn" localSheetId="9" hidden="1">4</definedName>
    <definedName name="solver_chp1" localSheetId="2" hidden="1">0</definedName>
    <definedName name="solver_chp1" localSheetId="3" hidden="1">0</definedName>
    <definedName name="solver_chp1" localSheetId="4" hidden="1">0</definedName>
    <definedName name="solver_chp1" localSheetId="5" hidden="1">0</definedName>
    <definedName name="solver_chp1" localSheetId="6" hidden="1">0</definedName>
    <definedName name="solver_chp1" localSheetId="7" hidden="1">0</definedName>
    <definedName name="solver_chp1" localSheetId="8" hidden="1">0</definedName>
    <definedName name="solver_chp1" localSheetId="9" hidden="1">0</definedName>
    <definedName name="solver_chp2" localSheetId="2" hidden="1">0</definedName>
    <definedName name="solver_chp2" localSheetId="3" hidden="1">0</definedName>
    <definedName name="solver_chp2" localSheetId="4" hidden="1">0</definedName>
    <definedName name="solver_chp2" localSheetId="5" hidden="1">0</definedName>
    <definedName name="solver_chp2" localSheetId="6" hidden="1">0</definedName>
    <definedName name="solver_chp2" localSheetId="7" hidden="1">0</definedName>
    <definedName name="solver_chp2" localSheetId="8" hidden="1">0</definedName>
    <definedName name="solver_chp2" localSheetId="9" hidden="1">0</definedName>
    <definedName name="solver_chp3" localSheetId="2" hidden="1">0</definedName>
    <definedName name="solver_chp3" localSheetId="9" hidden="1">0</definedName>
    <definedName name="solver_cht" localSheetId="2" hidden="1">0</definedName>
    <definedName name="solver_cht" localSheetId="3" hidden="1">0</definedName>
    <definedName name="solver_cht" localSheetId="4" hidden="1">0</definedName>
    <definedName name="solver_cht" localSheetId="5" hidden="1">0</definedName>
    <definedName name="solver_cht" localSheetId="6" hidden="1">0</definedName>
    <definedName name="solver_cht" localSheetId="7" hidden="1">0</definedName>
    <definedName name="solver_cht" localSheetId="8" hidden="1">0</definedName>
    <definedName name="solver_cht" localSheetId="9" hidden="1">0</definedName>
    <definedName name="solver_cir1" localSheetId="2" hidden="1">1</definedName>
    <definedName name="solver_cir1" localSheetId="3" hidden="1">1</definedName>
    <definedName name="solver_cir1" localSheetId="4" hidden="1">1</definedName>
    <definedName name="solver_cir1" localSheetId="5" hidden="1">1</definedName>
    <definedName name="solver_cir1" localSheetId="6" hidden="1">1</definedName>
    <definedName name="solver_cir1" localSheetId="7" hidden="1">1</definedName>
    <definedName name="solver_cir1" localSheetId="8" hidden="1">1</definedName>
    <definedName name="solver_cir1" localSheetId="9" hidden="1">1</definedName>
    <definedName name="solver_cir2" localSheetId="2" hidden="1">1</definedName>
    <definedName name="solver_cir2" localSheetId="3" hidden="1">1</definedName>
    <definedName name="solver_cir2" localSheetId="4" hidden="1">1</definedName>
    <definedName name="solver_cir2" localSheetId="5" hidden="1">1</definedName>
    <definedName name="solver_cir2" localSheetId="6" hidden="1">1</definedName>
    <definedName name="solver_cir2" localSheetId="7" hidden="1">1</definedName>
    <definedName name="solver_cir2" localSheetId="8" hidden="1">1</definedName>
    <definedName name="solver_cir2" localSheetId="9" hidden="1">1</definedName>
    <definedName name="solver_cir3" localSheetId="2" hidden="1">1</definedName>
    <definedName name="solver_cir3" localSheetId="9" hidden="1">1</definedName>
    <definedName name="solver_con" localSheetId="2" hidden="1">" "</definedName>
    <definedName name="solver_con" localSheetId="3" hidden="1">" "</definedName>
    <definedName name="solver_con" localSheetId="4" hidden="1">" "</definedName>
    <definedName name="solver_con" localSheetId="5" hidden="1">" "</definedName>
    <definedName name="solver_con" localSheetId="6" hidden="1">" "</definedName>
    <definedName name="solver_con" localSheetId="7" hidden="1">" "</definedName>
    <definedName name="solver_con" localSheetId="8" hidden="1">" "</definedName>
    <definedName name="solver_con" localSheetId="9" hidden="1">" "</definedName>
    <definedName name="solver_con1" localSheetId="2" hidden="1">" "</definedName>
    <definedName name="solver_con1" localSheetId="3" hidden="1">" "</definedName>
    <definedName name="solver_con1" localSheetId="4" hidden="1">" "</definedName>
    <definedName name="solver_con1" localSheetId="5" hidden="1">" "</definedName>
    <definedName name="solver_con1" localSheetId="6" hidden="1">" "</definedName>
    <definedName name="solver_con1" localSheetId="7" hidden="1">" "</definedName>
    <definedName name="solver_con1" localSheetId="8" hidden="1">" "</definedName>
    <definedName name="solver_con1" localSheetId="9" hidden="1">" "</definedName>
    <definedName name="solver_con2" localSheetId="2" hidden="1">" "</definedName>
    <definedName name="solver_con2" localSheetId="3" hidden="1">" "</definedName>
    <definedName name="solver_con2" localSheetId="4" hidden="1">" "</definedName>
    <definedName name="solver_con2" localSheetId="5" hidden="1">" "</definedName>
    <definedName name="solver_con2" localSheetId="6" hidden="1">" "</definedName>
    <definedName name="solver_con2" localSheetId="7" hidden="1">" "</definedName>
    <definedName name="solver_con2" localSheetId="8" hidden="1">" "</definedName>
    <definedName name="solver_con2" localSheetId="9" hidden="1">" "</definedName>
    <definedName name="solver_con3" localSheetId="2" hidden="1">" "</definedName>
    <definedName name="solver_con3" localSheetId="9" hidden="1">" "</definedName>
    <definedName name="solver_corr" hidden="1">1</definedName>
    <definedName name="solver_ctp1" hidden="1">0</definedName>
    <definedName name="solver_ctp2" hidden="1">0</definedName>
    <definedName name="solver_cvg" localSheetId="0" hidden="1">0.0001</definedName>
    <definedName name="solver_cvg" localSheetId="1" hidden="1">0.0001</definedName>
    <definedName name="solver_cvg" localSheetId="2" hidden="1">0.0001</definedName>
    <definedName name="solver_cvg" localSheetId="3" hidden="1">0.0001</definedName>
    <definedName name="solver_cvg" localSheetId="4" hidden="1">0.0001</definedName>
    <definedName name="solver_cvg" localSheetId="5" hidden="1">0.0001</definedName>
    <definedName name="solver_cvg" localSheetId="6" hidden="1">0.0001</definedName>
    <definedName name="solver_cvg" localSheetId="7" hidden="1">0.0001</definedName>
    <definedName name="solver_cvg" localSheetId="8" hidden="1">0.0001</definedName>
    <definedName name="solver_cvg" localSheetId="9" hidden="1">0.0001</definedName>
    <definedName name="solver_dia" localSheetId="2" hidden="1">5</definedName>
    <definedName name="solver_dia" localSheetId="3" hidden="1">5</definedName>
    <definedName name="solver_dia" localSheetId="4" hidden="1">5</definedName>
    <definedName name="solver_dia" localSheetId="5" hidden="1">5</definedName>
    <definedName name="solver_dia" localSheetId="6" hidden="1">5</definedName>
    <definedName name="solver_dia" localSheetId="7" hidden="1">5</definedName>
    <definedName name="solver_dia" localSheetId="8" hidden="1">5</definedName>
    <definedName name="solver_dia" localSheetId="9" hidden="1">5</definedName>
    <definedName name="solver_disp" hidden="1">0</definedName>
    <definedName name="solver_drv" localSheetId="0" hidden="1">1</definedName>
    <definedName name="solver_drv" localSheetId="1" hidden="1">1</definedName>
    <definedName name="solver_drv" localSheetId="2" hidden="1">1</definedName>
    <definedName name="solver_drv" localSheetId="3" hidden="1">1</definedName>
    <definedName name="solver_drv" localSheetId="4" hidden="1">1</definedName>
    <definedName name="solver_drv" localSheetId="5" hidden="1">1</definedName>
    <definedName name="solver_drv" localSheetId="6" hidden="1">1</definedName>
    <definedName name="solver_drv" localSheetId="7" hidden="1">1</definedName>
    <definedName name="solver_drv" localSheetId="8" hidden="1">1</definedName>
    <definedName name="solver_drv" localSheetId="9" hidden="1">1</definedName>
    <definedName name="solver_eng" localSheetId="0" hidden="1">2</definedName>
    <definedName name="solver_eng" localSheetId="1" hidden="1">2</definedName>
    <definedName name="solver_eng" localSheetId="2" hidden="1">2</definedName>
    <definedName name="solver_eng" localSheetId="3" hidden="1">2</definedName>
    <definedName name="solver_eng" localSheetId="4" hidden="1">2</definedName>
    <definedName name="solver_eng" localSheetId="5" hidden="1">2</definedName>
    <definedName name="solver_eng" localSheetId="6" hidden="1">2</definedName>
    <definedName name="solver_eng" localSheetId="7" hidden="1">2</definedName>
    <definedName name="solver_eng" localSheetId="8" hidden="1">2</definedName>
    <definedName name="solver_eng" localSheetId="9" hidden="1">2</definedName>
    <definedName name="solver_est" localSheetId="2" hidden="1">1</definedName>
    <definedName name="solver_est" localSheetId="3" hidden="1">1</definedName>
    <definedName name="solver_est" localSheetId="4" hidden="1">1</definedName>
    <definedName name="solver_est" localSheetId="5" hidden="1">1</definedName>
    <definedName name="solver_est" localSheetId="6" hidden="1">1</definedName>
    <definedName name="solver_est" localSheetId="7" hidden="1">1</definedName>
    <definedName name="solver_est" localSheetId="8" hidden="1">1</definedName>
    <definedName name="solver_est" localSheetId="9" hidden="1">1</definedName>
    <definedName name="solver_eval" hidden="1">0</definedName>
    <definedName name="solver_fea" localSheetId="2" hidden="1">0.000001</definedName>
    <definedName name="solver_fns" localSheetId="2" hidden="1">0</definedName>
    <definedName name="solver_gap" localSheetId="2" hidden="1">0.0000001</definedName>
    <definedName name="solver_glb" localSheetId="2" hidden="1">-1E+30</definedName>
    <definedName name="solver_gub" localSheetId="2" hidden="1">1E+30</definedName>
    <definedName name="solver_iao" localSheetId="2" hidden="1">0</definedName>
    <definedName name="solver_iao" localSheetId="3" hidden="1">0</definedName>
    <definedName name="solver_iao" localSheetId="4" hidden="1">0</definedName>
    <definedName name="solver_iao" localSheetId="5" hidden="1">0</definedName>
    <definedName name="solver_iao" localSheetId="6" hidden="1">0</definedName>
    <definedName name="solver_iao" localSheetId="7" hidden="1">0</definedName>
    <definedName name="solver_iao" localSheetId="8" hidden="1">0</definedName>
    <definedName name="solver_iao" localSheetId="9" hidden="1">0</definedName>
    <definedName name="solver_inc" localSheetId="2" hidden="1">0</definedName>
    <definedName name="solver_int" localSheetId="2" hidden="1">0</definedName>
    <definedName name="solver_int" localSheetId="3" hidden="1">0</definedName>
    <definedName name="solver_int" localSheetId="4" hidden="1">0</definedName>
    <definedName name="solver_int" localSheetId="5" hidden="1">0</definedName>
    <definedName name="solver_int" localSheetId="6" hidden="1">0</definedName>
    <definedName name="solver_int" localSheetId="7" hidden="1">0</definedName>
    <definedName name="solver_int" localSheetId="8" hidden="1">0</definedName>
    <definedName name="solver_int" localSheetId="9" hidden="1">0</definedName>
    <definedName name="solver_ipd" localSheetId="2" hidden="1">3</definedName>
    <definedName name="solver_ipi" localSheetId="2" hidden="1">1</definedName>
    <definedName name="solver_ips" localSheetId="2" hidden="1">0.99</definedName>
    <definedName name="solver_irs" localSheetId="2" hidden="1">0</definedName>
    <definedName name="solver_irs" localSheetId="3" hidden="1">0</definedName>
    <definedName name="solver_irs" localSheetId="4" hidden="1">0</definedName>
    <definedName name="solver_irs" localSheetId="5" hidden="1">0</definedName>
    <definedName name="solver_irs" localSheetId="6" hidden="1">0</definedName>
    <definedName name="solver_irs" localSheetId="7" hidden="1">0</definedName>
    <definedName name="solver_irs" localSheetId="8" hidden="1">0</definedName>
    <definedName name="solver_irs" localSheetId="9" hidden="1">0</definedName>
    <definedName name="solver_ism" localSheetId="2" hidden="1">0</definedName>
    <definedName name="solver_ism" localSheetId="3" hidden="1">0</definedName>
    <definedName name="solver_ism" localSheetId="4" hidden="1">0</definedName>
    <definedName name="solver_ism" localSheetId="5" hidden="1">0</definedName>
    <definedName name="solver_ism" localSheetId="6" hidden="1">0</definedName>
    <definedName name="solver_ism" localSheetId="7" hidden="1">0</definedName>
    <definedName name="solver_ism" localSheetId="8" hidden="1">0</definedName>
    <definedName name="solver_ism" localSheetId="9" hidden="1">0</definedName>
    <definedName name="solver_itr" localSheetId="0" hidden="1">2147483647</definedName>
    <definedName name="solver_itr" localSheetId="1" hidden="1">2147483647</definedName>
    <definedName name="solver_itr" localSheetId="2" hidden="1">2147483647</definedName>
    <definedName name="solver_itr" localSheetId="3" hidden="1">100</definedName>
    <definedName name="solver_itr" localSheetId="4" hidden="1">100</definedName>
    <definedName name="solver_itr" localSheetId="5" hidden="1">100</definedName>
    <definedName name="solver_itr" localSheetId="6" hidden="1">100</definedName>
    <definedName name="solver_itr" localSheetId="7" hidden="1">100</definedName>
    <definedName name="solver_itr" localSheetId="8" hidden="1">100</definedName>
    <definedName name="solver_itr" localSheetId="9" hidden="1">100</definedName>
    <definedName name="solver_kiv" localSheetId="2" hidden="1">2E+30</definedName>
    <definedName name="solver_kiv" localSheetId="9" hidden="1">2E+30</definedName>
    <definedName name="solver_lcens" hidden="1">-1E+30</definedName>
    <definedName name="solver_lcut" hidden="1">-1E+30</definedName>
    <definedName name="solver_legacy" localSheetId="2" hidden="1">1</definedName>
    <definedName name="solver_lhs_ob1" localSheetId="2" hidden="1">0</definedName>
    <definedName name="solver_lhs_ob1" localSheetId="3" hidden="1">0</definedName>
    <definedName name="solver_lhs_ob1" localSheetId="4" hidden="1">0</definedName>
    <definedName name="solver_lhs_ob1" localSheetId="5" hidden="1">0</definedName>
    <definedName name="solver_lhs_ob1" localSheetId="6" hidden="1">0</definedName>
    <definedName name="solver_lhs_ob1" localSheetId="7" hidden="1">0</definedName>
    <definedName name="solver_lhs_ob1" localSheetId="8" hidden="1">0</definedName>
    <definedName name="solver_lhs_ob1" localSheetId="9" hidden="1">0</definedName>
    <definedName name="solver_lhs_ob2" localSheetId="2" hidden="1">0</definedName>
    <definedName name="solver_lhs_ob2" localSheetId="3" hidden="1">0</definedName>
    <definedName name="solver_lhs_ob2" localSheetId="4" hidden="1">0</definedName>
    <definedName name="solver_lhs_ob2" localSheetId="5" hidden="1">0</definedName>
    <definedName name="solver_lhs_ob2" localSheetId="6" hidden="1">0</definedName>
    <definedName name="solver_lhs_ob2" localSheetId="7" hidden="1">0</definedName>
    <definedName name="solver_lhs_ob2" localSheetId="8" hidden="1">0</definedName>
    <definedName name="solver_lhs_ob2" localSheetId="9" hidden="1">0</definedName>
    <definedName name="solver_lhs_ob3" localSheetId="2" hidden="1">0</definedName>
    <definedName name="solver_lhs_ob3" localSheetId="9" hidden="1">0</definedName>
    <definedName name="solver_lhs1" localSheetId="0" hidden="1">'1'!$A$7:$A$18</definedName>
    <definedName name="solver_lhs1" localSheetId="1" hidden="1">'1C'!$A$7:$A$18</definedName>
    <definedName name="solver_lhs1" localSheetId="2" hidden="1">'2'!$C$21:$Q$25</definedName>
    <definedName name="solver_lhs1" localSheetId="3" hidden="1">'3'!$A$7:$A$14</definedName>
    <definedName name="solver_lhs1" localSheetId="4" hidden="1">'4'!$B$20:$E$20</definedName>
    <definedName name="solver_lhs1" localSheetId="5" hidden="1">'5A'!$A$9:$A$28</definedName>
    <definedName name="solver_lhs1" localSheetId="6" hidden="1">'5B'!$A$9:$A$28</definedName>
    <definedName name="solver_lhs1" localSheetId="7" hidden="1">'5C'!$A$9:$A$28</definedName>
    <definedName name="solver_lhs1" localSheetId="8" hidden="1">'5D'!$A$9:$A$29</definedName>
    <definedName name="solver_lhs1" localSheetId="9" hidden="1">'6'!$A$40:$A$49</definedName>
    <definedName name="solver_lhs2" localSheetId="0" hidden="1">'1'!$J$7:$J$13</definedName>
    <definedName name="solver_lhs2" localSheetId="1" hidden="1">'1C'!$A$7:$A$18</definedName>
    <definedName name="solver_lhs2" localSheetId="2" hidden="1">'2'!$C$26:$Q$26</definedName>
    <definedName name="solver_lhs2" localSheetId="3" hidden="1">'3'!$A$7:$A$14</definedName>
    <definedName name="solver_lhs2" localSheetId="4" hidden="1">'4'!$B$20:$E$20</definedName>
    <definedName name="solver_lhs2" localSheetId="5" hidden="1">'5A'!$L$7:$L$18</definedName>
    <definedName name="solver_lhs2" localSheetId="6" hidden="1">'5B'!$L$7:$L$18</definedName>
    <definedName name="solver_lhs2" localSheetId="7" hidden="1">'5C'!$L$7:$L$18</definedName>
    <definedName name="solver_lhs2" localSheetId="8" hidden="1">'5D'!$L$7:$L$18</definedName>
    <definedName name="solver_lhs2" localSheetId="9" hidden="1">'6'!$A$40:$A$49</definedName>
    <definedName name="solver_lhs3" localSheetId="0" hidden="1">'1'!$J$7:$J$13</definedName>
    <definedName name="solver_lhs3" localSheetId="1" hidden="1">'1C'!$J$7:$J$13</definedName>
    <definedName name="solver_lhs3" localSheetId="2" hidden="1">'2'!$R$21:$R$25</definedName>
    <definedName name="solver_lhs3" localSheetId="3" hidden="1">'3'!$H$6:$H$10</definedName>
    <definedName name="solver_lhs3" localSheetId="4" hidden="1">'4'!$B$22:$E$22</definedName>
    <definedName name="solver_lhs3" localSheetId="9" hidden="1">'6'!$K$38:$K$43</definedName>
    <definedName name="solver_lhs4" localSheetId="4" hidden="1">'4'!$B$22:$E$22</definedName>
    <definedName name="solver_lin" localSheetId="0" hidden="1">1</definedName>
    <definedName name="solver_lin" localSheetId="1" hidden="1">1</definedName>
    <definedName name="solver_lin" localSheetId="2" hidden="1">1</definedName>
    <definedName name="solver_lin" localSheetId="3" hidden="1">1</definedName>
    <definedName name="solver_lin" localSheetId="4" hidden="1">1</definedName>
    <definedName name="solver_lin" localSheetId="5" hidden="1">1</definedName>
    <definedName name="solver_lin" localSheetId="6" hidden="1">1</definedName>
    <definedName name="solver_lin" localSheetId="7" hidden="1">1</definedName>
    <definedName name="solver_lin" localSheetId="8" hidden="1">1</definedName>
    <definedName name="solver_lin" localSheetId="9" hidden="1">1</definedName>
    <definedName name="solver_loc" localSheetId="2" hidden="1">4</definedName>
    <definedName name="solver_log" localSheetId="2" hidden="1">1</definedName>
    <definedName name="solver_lpp" localSheetId="2" hidden="1">0</definedName>
    <definedName name="solver_lpt" localSheetId="2" hidden="1">0</definedName>
    <definedName name="solver_lva" localSheetId="2" hidden="1">0</definedName>
    <definedName name="solver_mda" localSheetId="2" hidden="1">4</definedName>
    <definedName name="solver_mda" localSheetId="3" hidden="1">4</definedName>
    <definedName name="solver_mda" localSheetId="4" hidden="1">4</definedName>
    <definedName name="solver_mda" localSheetId="5" hidden="1">4</definedName>
    <definedName name="solver_mda" localSheetId="6" hidden="1">4</definedName>
    <definedName name="solver_mda" localSheetId="7" hidden="1">4</definedName>
    <definedName name="solver_mda" localSheetId="8" hidden="1">4</definedName>
    <definedName name="solver_mda" localSheetId="9" hidden="1">4</definedName>
    <definedName name="solver_met" localSheetId="2" hidden="1">1</definedName>
    <definedName name="solver_mip" localSheetId="0" hidden="1">2147483647</definedName>
    <definedName name="solver_mip" localSheetId="1" hidden="1">2147483647</definedName>
    <definedName name="solver_mip" localSheetId="2" hidden="1">2147483647</definedName>
    <definedName name="solver_mip" localSheetId="3" hidden="1">2147483647</definedName>
    <definedName name="solver_mip" localSheetId="4" hidden="1">2147483647</definedName>
    <definedName name="solver_mip" localSheetId="5" hidden="1">2147483647</definedName>
    <definedName name="solver_mip" localSheetId="6" hidden="1">2147483647</definedName>
    <definedName name="solver_mip" localSheetId="7" hidden="1">2147483647</definedName>
    <definedName name="solver_mip" localSheetId="8" hidden="1">2147483647</definedName>
    <definedName name="solver_mip" localSheetId="9" hidden="1">2147483647</definedName>
    <definedName name="solver_mni" localSheetId="0" hidden="1">30</definedName>
    <definedName name="solver_mni" localSheetId="1" hidden="1">30</definedName>
    <definedName name="solver_mni" localSheetId="2" hidden="1">30</definedName>
    <definedName name="solver_mni" localSheetId="3" hidden="1">30</definedName>
    <definedName name="solver_mni" localSheetId="4" hidden="1">30</definedName>
    <definedName name="solver_mni" localSheetId="5" hidden="1">30</definedName>
    <definedName name="solver_mni" localSheetId="6" hidden="1">30</definedName>
    <definedName name="solver_mni" localSheetId="7" hidden="1">30</definedName>
    <definedName name="solver_mni" localSheetId="8" hidden="1">30</definedName>
    <definedName name="solver_mni" localSheetId="9" hidden="1">30</definedName>
    <definedName name="solver_mod" localSheetId="2" hidden="1">1</definedName>
    <definedName name="solver_mod" localSheetId="3" hidden="1">3</definedName>
    <definedName name="solver_mod" localSheetId="4" hidden="1">3</definedName>
    <definedName name="solver_mod" localSheetId="5" hidden="1">3</definedName>
    <definedName name="solver_mod" localSheetId="6" hidden="1">3</definedName>
    <definedName name="solver_mod" localSheetId="7" hidden="1">3</definedName>
    <definedName name="solver_mod" localSheetId="8" hidden="1">3</definedName>
    <definedName name="solver_mod" localSheetId="9" hidden="1">3</definedName>
    <definedName name="solver_mrt" localSheetId="0" hidden="1">0.075</definedName>
    <definedName name="solver_mrt" localSheetId="1" hidden="1">0.075</definedName>
    <definedName name="solver_mrt" localSheetId="2" hidden="1">0.075</definedName>
    <definedName name="solver_mrt" localSheetId="3" hidden="1">0.075</definedName>
    <definedName name="solver_mrt" localSheetId="4" hidden="1">0.075</definedName>
    <definedName name="solver_mrt" localSheetId="5" hidden="1">0.075</definedName>
    <definedName name="solver_mrt" localSheetId="6" hidden="1">0.075</definedName>
    <definedName name="solver_mrt" localSheetId="7" hidden="1">0.075</definedName>
    <definedName name="solver_mrt" localSheetId="8" hidden="1">0.075</definedName>
    <definedName name="solver_mrt" localSheetId="9" hidden="1">0.075</definedName>
    <definedName name="solver_msl" localSheetId="0" hidden="1">2</definedName>
    <definedName name="solver_msl" localSheetId="1" hidden="1">2</definedName>
    <definedName name="solver_msl" localSheetId="2" hidden="1">2</definedName>
    <definedName name="solver_msl" localSheetId="3" hidden="1">2</definedName>
    <definedName name="solver_msl" localSheetId="4" hidden="1">2</definedName>
    <definedName name="solver_msl" localSheetId="5" hidden="1">2</definedName>
    <definedName name="solver_msl" localSheetId="6" hidden="1">2</definedName>
    <definedName name="solver_msl" localSheetId="7" hidden="1">2</definedName>
    <definedName name="solver_msl" localSheetId="8" hidden="1">2</definedName>
    <definedName name="solver_msl" localSheetId="9" hidden="1">2</definedName>
    <definedName name="solver_neg" localSheetId="0" hidden="1">1</definedName>
    <definedName name="solver_neg" localSheetId="1" hidden="1">1</definedName>
    <definedName name="solver_neg" localSheetId="2" hidden="1">1</definedName>
    <definedName name="solver_neg" localSheetId="3" hidden="1">1</definedName>
    <definedName name="solver_neg" localSheetId="4" hidden="1">1</definedName>
    <definedName name="solver_neg" localSheetId="5" hidden="1">1</definedName>
    <definedName name="solver_neg" localSheetId="6" hidden="1">1</definedName>
    <definedName name="solver_neg" localSheetId="7" hidden="1">1</definedName>
    <definedName name="solver_neg" localSheetId="8" hidden="1">1</definedName>
    <definedName name="solver_neg" localSheetId="9" hidden="1">1</definedName>
    <definedName name="solver_nod" localSheetId="0" hidden="1">2147483647</definedName>
    <definedName name="solver_nod" localSheetId="1" hidden="1">2147483647</definedName>
    <definedName name="solver_nod" localSheetId="2" hidden="1">2147483647</definedName>
    <definedName name="solver_nod" localSheetId="3" hidden="1">2147483647</definedName>
    <definedName name="solver_nod" localSheetId="4" hidden="1">2147483647</definedName>
    <definedName name="solver_nod" localSheetId="5" hidden="1">2147483647</definedName>
    <definedName name="solver_nod" localSheetId="6" hidden="1">2147483647</definedName>
    <definedName name="solver_nod" localSheetId="7" hidden="1">2147483647</definedName>
    <definedName name="solver_nod" localSheetId="8" hidden="1">2147483647</definedName>
    <definedName name="solver_nod" localSheetId="9" hidden="1">2147483647</definedName>
    <definedName name="solver_nopt" localSheetId="2" hidden="1">1</definedName>
    <definedName name="solver_nsim" hidden="1">1</definedName>
    <definedName name="solver_nsopt" localSheetId="2" hidden="1">-1</definedName>
    <definedName name="solver_nssim" hidden="1">-1</definedName>
    <definedName name="solver_ntr" localSheetId="2" hidden="1">0</definedName>
    <definedName name="solver_ntr" localSheetId="3" hidden="1">0</definedName>
    <definedName name="solver_ntr" localSheetId="4" hidden="1">0</definedName>
    <definedName name="solver_ntr" localSheetId="5" hidden="1">0</definedName>
    <definedName name="solver_ntr" localSheetId="6" hidden="1">0</definedName>
    <definedName name="solver_ntr" localSheetId="7" hidden="1">0</definedName>
    <definedName name="solver_ntr" localSheetId="8" hidden="1">0</definedName>
    <definedName name="solver_ntr" localSheetId="9" hidden="1">0</definedName>
    <definedName name="solver_ntri" hidden="1">1000</definedName>
    <definedName name="solver_num" localSheetId="0" hidden="1">2</definedName>
    <definedName name="solver_num" localSheetId="1" hidden="1">3</definedName>
    <definedName name="solver_num" localSheetId="2" hidden="1">3</definedName>
    <definedName name="solver_num" localSheetId="3" hidden="1">3</definedName>
    <definedName name="solver_num" localSheetId="4" hidden="1">4</definedName>
    <definedName name="solver_num" localSheetId="5" hidden="1">2</definedName>
    <definedName name="solver_num" localSheetId="6" hidden="1">2</definedName>
    <definedName name="solver_num" localSheetId="7" hidden="1">2</definedName>
    <definedName name="solver_num" localSheetId="8" hidden="1">2</definedName>
    <definedName name="solver_num" localSheetId="9" hidden="1">3</definedName>
    <definedName name="solver_nwt" localSheetId="2" hidden="1">1</definedName>
    <definedName name="solver_nwt" localSheetId="3" hidden="1">1</definedName>
    <definedName name="solver_nwt" localSheetId="4" hidden="1">1</definedName>
    <definedName name="solver_nwt" localSheetId="5" hidden="1">1</definedName>
    <definedName name="solver_nwt" localSheetId="6" hidden="1">1</definedName>
    <definedName name="solver_nwt" localSheetId="7" hidden="1">1</definedName>
    <definedName name="solver_nwt" localSheetId="8" hidden="1">1</definedName>
    <definedName name="solver_nwt" localSheetId="9" hidden="1">1</definedName>
    <definedName name="solver_obc" localSheetId="2" hidden="1">0</definedName>
    <definedName name="solver_obc" localSheetId="3" hidden="1">0</definedName>
    <definedName name="solver_obc" localSheetId="4" hidden="1">0</definedName>
    <definedName name="solver_obc" localSheetId="5" hidden="1">0</definedName>
    <definedName name="solver_obc" localSheetId="6" hidden="1">0</definedName>
    <definedName name="solver_obc" localSheetId="7" hidden="1">0</definedName>
    <definedName name="solver_obc" localSheetId="8" hidden="1">0</definedName>
    <definedName name="solver_obc" localSheetId="9" hidden="1">0</definedName>
    <definedName name="solver_obp" localSheetId="2" hidden="1">0</definedName>
    <definedName name="solver_obp" localSheetId="3" hidden="1">0</definedName>
    <definedName name="solver_obp" localSheetId="4" hidden="1">0</definedName>
    <definedName name="solver_obp" localSheetId="5" hidden="1">0</definedName>
    <definedName name="solver_obp" localSheetId="6" hidden="1">0</definedName>
    <definedName name="solver_obp" localSheetId="7" hidden="1">0</definedName>
    <definedName name="solver_obp" localSheetId="8" hidden="1">0</definedName>
    <definedName name="solver_obp" localSheetId="9" hidden="1">0</definedName>
    <definedName name="solver_opt" localSheetId="0" hidden="1">'1'!$F$20</definedName>
    <definedName name="solver_opt" localSheetId="1" hidden="1">'1C'!$F$20</definedName>
    <definedName name="solver_opt" localSheetId="2" hidden="1">'2'!$R$29</definedName>
    <definedName name="solver_opt" localSheetId="3" hidden="1">'3'!$D$16</definedName>
    <definedName name="solver_opt" localSheetId="4" hidden="1">'4'!$G$35</definedName>
    <definedName name="solver_opt" localSheetId="5" hidden="1">'5A'!$F$30</definedName>
    <definedName name="solver_opt" localSheetId="6" hidden="1">'5B'!$F$30</definedName>
    <definedName name="solver_opt" localSheetId="7" hidden="1">'5C'!$F$30</definedName>
    <definedName name="solver_opt" localSheetId="8" hidden="1">'5D'!$F$31</definedName>
    <definedName name="solver_opt" localSheetId="9" hidden="1">'6'!$C$52</definedName>
    <definedName name="solver_opt_ob" localSheetId="2" hidden="1">1</definedName>
    <definedName name="solver_opt_ob" localSheetId="3" hidden="1">1</definedName>
    <definedName name="solver_opt_ob" localSheetId="4" hidden="1">1</definedName>
    <definedName name="solver_opt_ob" localSheetId="5" hidden="1">1</definedName>
    <definedName name="solver_opt_ob" localSheetId="6" hidden="1">1</definedName>
    <definedName name="solver_opt_ob" localSheetId="7" hidden="1">1</definedName>
    <definedName name="solver_opt_ob" localSheetId="8" hidden="1">1</definedName>
    <definedName name="solver_opt_ob" localSheetId="9" hidden="1">1</definedName>
    <definedName name="solver_pre" localSheetId="0" hidden="1">0.000001</definedName>
    <definedName name="solver_pre" localSheetId="1" hidden="1">0.000001</definedName>
    <definedName name="solver_pre" localSheetId="2" hidden="1">0.000001</definedName>
    <definedName name="solver_pre" localSheetId="3" hidden="1">0.000001</definedName>
    <definedName name="solver_pre" localSheetId="4" hidden="1">0.000001</definedName>
    <definedName name="solver_pre" localSheetId="5" hidden="1">0.000001</definedName>
    <definedName name="solver_pre" localSheetId="6" hidden="1">0.000001</definedName>
    <definedName name="solver_pre" localSheetId="7" hidden="1">0.000001</definedName>
    <definedName name="solver_pre" localSheetId="8" hidden="1">0.000001</definedName>
    <definedName name="solver_pre" localSheetId="9" hidden="1">0.000001</definedName>
    <definedName name="solver_psi" localSheetId="2" hidden="1">0</definedName>
    <definedName name="solver_psi" localSheetId="3" hidden="1">0</definedName>
    <definedName name="solver_psi" localSheetId="4" hidden="1">0</definedName>
    <definedName name="solver_psi" localSheetId="5" hidden="1">0</definedName>
    <definedName name="solver_psi" localSheetId="6" hidden="1">0</definedName>
    <definedName name="solver_psi" localSheetId="7" hidden="1">0</definedName>
    <definedName name="solver_psi" localSheetId="8" hidden="1">0</definedName>
    <definedName name="solver_psi" localSheetId="9" hidden="1">0</definedName>
    <definedName name="solver_rbv" localSheetId="0" hidden="1">1</definedName>
    <definedName name="solver_rbv" localSheetId="1" hidden="1">1</definedName>
    <definedName name="solver_rbv" localSheetId="2" hidden="1">1</definedName>
    <definedName name="solver_rbv" localSheetId="3" hidden="1">1</definedName>
    <definedName name="solver_rbv" localSheetId="4" hidden="1">1</definedName>
    <definedName name="solver_rbv" localSheetId="5" hidden="1">1</definedName>
    <definedName name="solver_rbv" localSheetId="6" hidden="1">1</definedName>
    <definedName name="solver_rbv" localSheetId="7" hidden="1">1</definedName>
    <definedName name="solver_rbv" localSheetId="8" hidden="1">1</definedName>
    <definedName name="solver_rbv" localSheetId="9" hidden="1">1</definedName>
    <definedName name="solver_rdp" localSheetId="2" hidden="1">1</definedName>
    <definedName name="solver_rdp" localSheetId="3" hidden="1">0</definedName>
    <definedName name="solver_rdp" localSheetId="4" hidden="1">0</definedName>
    <definedName name="solver_rdp" localSheetId="5" hidden="1">0</definedName>
    <definedName name="solver_rdp" localSheetId="6" hidden="1">0</definedName>
    <definedName name="solver_rdp" localSheetId="7" hidden="1">0</definedName>
    <definedName name="solver_rdp" localSheetId="8" hidden="1">0</definedName>
    <definedName name="solver_rdp" localSheetId="9" hidden="1">0</definedName>
    <definedName name="solver_reco1" localSheetId="2" hidden="1">0</definedName>
    <definedName name="solver_reco2" localSheetId="2" hidden="1">0</definedName>
    <definedName name="solver_reco3" localSheetId="2" hidden="1">0</definedName>
    <definedName name="solver_rel1" localSheetId="0" hidden="1">4</definedName>
    <definedName name="solver_rel1" localSheetId="1" hidden="1">1</definedName>
    <definedName name="solver_rel1" localSheetId="2" hidden="1">5</definedName>
    <definedName name="solver_rel1" localSheetId="3" hidden="1">1</definedName>
    <definedName name="solver_rel1" localSheetId="4" hidden="1">1</definedName>
    <definedName name="solver_rel1" localSheetId="5" hidden="1">5</definedName>
    <definedName name="solver_rel1" localSheetId="6" hidden="1">5</definedName>
    <definedName name="solver_rel1" localSheetId="7" hidden="1">5</definedName>
    <definedName name="solver_rel1" localSheetId="8" hidden="1">5</definedName>
    <definedName name="solver_rel1" localSheetId="9" hidden="1">1</definedName>
    <definedName name="solver_rel2" localSheetId="0" hidden="1">3</definedName>
    <definedName name="solver_rel2" localSheetId="1" hidden="1">4</definedName>
    <definedName name="solver_rel2" localSheetId="2" hidden="1">1</definedName>
    <definedName name="solver_rel2" localSheetId="3" hidden="1">4</definedName>
    <definedName name="solver_rel2" localSheetId="4" hidden="1">3</definedName>
    <definedName name="solver_rel2" localSheetId="5" hidden="1">2</definedName>
    <definedName name="solver_rel2" localSheetId="6" hidden="1">2</definedName>
    <definedName name="solver_rel2" localSheetId="7" hidden="1">2</definedName>
    <definedName name="solver_rel2" localSheetId="8" hidden="1">2</definedName>
    <definedName name="solver_rel2" localSheetId="9" hidden="1">3</definedName>
    <definedName name="solver_rel3" localSheetId="0" hidden="1">3</definedName>
    <definedName name="solver_rel3" localSheetId="1" hidden="1">3</definedName>
    <definedName name="solver_rel3" localSheetId="2" hidden="1">2</definedName>
    <definedName name="solver_rel3" localSheetId="3" hidden="1">2</definedName>
    <definedName name="solver_rel3" localSheetId="4" hidden="1">1</definedName>
    <definedName name="solver_rel3" localSheetId="9" hidden="1">3</definedName>
    <definedName name="solver_rel4" localSheetId="4" hidden="1">3</definedName>
    <definedName name="solver_rep" localSheetId="2" hidden="1">0</definedName>
    <definedName name="solver_rep" localSheetId="9" hidden="1">0</definedName>
    <definedName name="solver_res" localSheetId="2" hidden="1">0.05</definedName>
    <definedName name="solver_rhs1" localSheetId="0" hidden="1">"integer"</definedName>
    <definedName name="solver_rhs1" localSheetId="1" hidden="1">1000</definedName>
    <definedName name="solver_rhs1" localSheetId="2" hidden="1">"binary"</definedName>
    <definedName name="solver_rhs1" localSheetId="3" hidden="1">10</definedName>
    <definedName name="solver_rhs1" localSheetId="4" hidden="1">'4'!$B$25:$E$25</definedName>
    <definedName name="solver_rhs1" localSheetId="5" hidden="1">"binary"</definedName>
    <definedName name="solver_rhs1" localSheetId="6" hidden="1">"binary"</definedName>
    <definedName name="solver_rhs1" localSheetId="7" hidden="1">"binary"</definedName>
    <definedName name="solver_rhs1" localSheetId="8" hidden="1">"binary"</definedName>
    <definedName name="solver_rhs1" localSheetId="9" hidden="1">'6'!$F$40:$F$49</definedName>
    <definedName name="solver_rhs2" localSheetId="0" hidden="1">'1'!$K$7:$K$13</definedName>
    <definedName name="solver_rhs2" localSheetId="1" hidden="1">"integer"</definedName>
    <definedName name="solver_rhs2" localSheetId="2" hidden="1">'2'!$C$27:$Q$27</definedName>
    <definedName name="solver_rhs2" localSheetId="3" hidden="1">"integer"</definedName>
    <definedName name="solver_rhs2" localSheetId="4" hidden="1">'4'!$B$24:$E$24</definedName>
    <definedName name="solver_rhs2" localSheetId="5" hidden="1">'5A'!$M$7:$M$18</definedName>
    <definedName name="solver_rhs2" localSheetId="6" hidden="1">'5B'!$M$7:$M$18</definedName>
    <definedName name="solver_rhs2" localSheetId="7" hidden="1">'5C'!$M$7:$M$18</definedName>
    <definedName name="solver_rhs2" localSheetId="8" hidden="1">'5D'!$M$7:$M$18</definedName>
    <definedName name="solver_rhs2" localSheetId="9" hidden="1">0</definedName>
    <definedName name="solver_rhs3" localSheetId="0" hidden="1">'1'!$K$7:$K$13</definedName>
    <definedName name="solver_rhs3" localSheetId="1" hidden="1">'1C'!$K$7:$K$13</definedName>
    <definedName name="solver_rhs3" localSheetId="2" hidden="1">'2'!$S$21:$S$25</definedName>
    <definedName name="solver_rhs3" localSheetId="3" hidden="1">'3'!$I$6:$I$10</definedName>
    <definedName name="solver_rhs3" localSheetId="4" hidden="1">'4'!$B$28:$E$28</definedName>
    <definedName name="solver_rhs3" localSheetId="9" hidden="1">'6'!$L$38:$L$43</definedName>
    <definedName name="solver_rhs4" localSheetId="4" hidden="1">'4'!$B$27:$E$27</definedName>
    <definedName name="solver_rlx" localSheetId="0" hidden="1">2</definedName>
    <definedName name="solver_rlx" localSheetId="1" hidden="1">2</definedName>
    <definedName name="solver_rlx" localSheetId="2" hidden="1">2</definedName>
    <definedName name="solver_rlx" localSheetId="3" hidden="1">2</definedName>
    <definedName name="solver_rlx" localSheetId="4" hidden="1">2</definedName>
    <definedName name="solver_rlx" localSheetId="5" hidden="1">2</definedName>
    <definedName name="solver_rlx" localSheetId="6" hidden="1">2</definedName>
    <definedName name="solver_rlx" localSheetId="7" hidden="1">2</definedName>
    <definedName name="solver_rlx" localSheetId="8" hidden="1">2</definedName>
    <definedName name="solver_rlx" localSheetId="9" hidden="1">2</definedName>
    <definedName name="solver_rsd" localSheetId="0" hidden="1">0</definedName>
    <definedName name="solver_rsd" localSheetId="1" hidden="1">0</definedName>
    <definedName name="solver_rsd" localSheetId="2" hidden="1">0</definedName>
    <definedName name="solver_rsd" localSheetId="3" hidden="1">0</definedName>
    <definedName name="solver_rsd" localSheetId="4" hidden="1">0</definedName>
    <definedName name="solver_rsd" localSheetId="5" hidden="1">0</definedName>
    <definedName name="solver_rsd" localSheetId="6" hidden="1">0</definedName>
    <definedName name="solver_rsd" localSheetId="7" hidden="1">0</definedName>
    <definedName name="solver_rsd" localSheetId="8" hidden="1">0</definedName>
    <definedName name="solver_rsd" localSheetId="9" hidden="1">0</definedName>
    <definedName name="solver_rsmp" hidden="1">2</definedName>
    <definedName name="solver_rtr" localSheetId="2" hidden="1">0</definedName>
    <definedName name="solver_rtr" localSheetId="3" hidden="1">0</definedName>
    <definedName name="solver_rtr" localSheetId="4" hidden="1">0</definedName>
    <definedName name="solver_rtr" localSheetId="5" hidden="1">0</definedName>
    <definedName name="solver_rtr" localSheetId="6" hidden="1">0</definedName>
    <definedName name="solver_rtr" localSheetId="7" hidden="1">0</definedName>
    <definedName name="solver_rtr" localSheetId="8" hidden="1">0</definedName>
    <definedName name="solver_rtr" localSheetId="9" hidden="1">0</definedName>
    <definedName name="solver_rxc1" localSheetId="2" hidden="1">1</definedName>
    <definedName name="solver_rxc1" localSheetId="3" hidden="1">1</definedName>
    <definedName name="solver_rxc1" localSheetId="4" hidden="1">1</definedName>
    <definedName name="solver_rxc1" localSheetId="5" hidden="1">1</definedName>
    <definedName name="solver_rxc1" localSheetId="6" hidden="1">1</definedName>
    <definedName name="solver_rxc1" localSheetId="7" hidden="1">1</definedName>
    <definedName name="solver_rxc1" localSheetId="8" hidden="1">1</definedName>
    <definedName name="solver_rxc1" localSheetId="9" hidden="1">1</definedName>
    <definedName name="solver_rxc2" localSheetId="2" hidden="1">1</definedName>
    <definedName name="solver_rxc2" localSheetId="3" hidden="1">1</definedName>
    <definedName name="solver_rxc2" localSheetId="4" hidden="1">1</definedName>
    <definedName name="solver_rxc2" localSheetId="5" hidden="1">1</definedName>
    <definedName name="solver_rxc2" localSheetId="6" hidden="1">1</definedName>
    <definedName name="solver_rxc2" localSheetId="7" hidden="1">1</definedName>
    <definedName name="solver_rxc2" localSheetId="8" hidden="1">1</definedName>
    <definedName name="solver_rxc2" localSheetId="9" hidden="1">1</definedName>
    <definedName name="solver_rxc3" localSheetId="2" hidden="1">1</definedName>
    <definedName name="solver_rxc3" localSheetId="9" hidden="1">1</definedName>
    <definedName name="solver_rxv" localSheetId="2" hidden="1">1</definedName>
    <definedName name="solver_rxv" localSheetId="3" hidden="1">1</definedName>
    <definedName name="solver_rxv" localSheetId="4" hidden="1">1</definedName>
    <definedName name="solver_rxv" localSheetId="5" hidden="1">1</definedName>
    <definedName name="solver_rxv" localSheetId="6" hidden="1">1</definedName>
    <definedName name="solver_rxv" localSheetId="7" hidden="1">1</definedName>
    <definedName name="solver_rxv" localSheetId="8" hidden="1">1</definedName>
    <definedName name="solver_rxv" localSheetId="9" hidden="1">1</definedName>
    <definedName name="solver_scl" localSheetId="0" hidden="1">1</definedName>
    <definedName name="solver_scl" localSheetId="1" hidden="1">1</definedName>
    <definedName name="solver_scl" localSheetId="2" hidden="1">1</definedName>
    <definedName name="solver_scl" localSheetId="3" hidden="1">2</definedName>
    <definedName name="solver_scl" localSheetId="4" hidden="1">1</definedName>
    <definedName name="solver_scl" localSheetId="5" hidden="1">1</definedName>
    <definedName name="solver_scl" localSheetId="6" hidden="1">1</definedName>
    <definedName name="solver_scl" localSheetId="7" hidden="1">1</definedName>
    <definedName name="solver_scl" localSheetId="8" hidden="1">1</definedName>
    <definedName name="solver_scl" localSheetId="9" hidden="1">2</definedName>
    <definedName name="solver_seed" hidden="1">0</definedName>
    <definedName name="solver_sel" localSheetId="2" hidden="1">1</definedName>
    <definedName name="solver_sel" localSheetId="3" hidden="1">1</definedName>
    <definedName name="solver_sel" localSheetId="4" hidden="1">1</definedName>
    <definedName name="solver_sel" localSheetId="5" hidden="1">1</definedName>
    <definedName name="solver_sel" localSheetId="6" hidden="1">1</definedName>
    <definedName name="solver_sel" localSheetId="7" hidden="1">1</definedName>
    <definedName name="solver_sel" localSheetId="8" hidden="1">1</definedName>
    <definedName name="solver_sel" localSheetId="9" hidden="1">1</definedName>
    <definedName name="solver_sho" localSheetId="0" hidden="1">2</definedName>
    <definedName name="solver_sho" localSheetId="1" hidden="1">2</definedName>
    <definedName name="solver_sho" localSheetId="2" hidden="1">2</definedName>
    <definedName name="solver_sho" localSheetId="3" hidden="1">2</definedName>
    <definedName name="solver_sho" localSheetId="4" hidden="1">2</definedName>
    <definedName name="solver_sho" localSheetId="5" hidden="1">2</definedName>
    <definedName name="solver_sho" localSheetId="6" hidden="1">2</definedName>
    <definedName name="solver_sho" localSheetId="7" hidden="1">2</definedName>
    <definedName name="solver_sho" localSheetId="8" hidden="1">2</definedName>
    <definedName name="solver_sho" localSheetId="9" hidden="1">2</definedName>
    <definedName name="solver_slv" localSheetId="2" hidden="1">0</definedName>
    <definedName name="solver_slv" localSheetId="3" hidden="1">0</definedName>
    <definedName name="solver_slv" localSheetId="4" hidden="1">0</definedName>
    <definedName name="solver_slv" localSheetId="5" hidden="1">0</definedName>
    <definedName name="solver_slv" localSheetId="6" hidden="1">0</definedName>
    <definedName name="solver_slv" localSheetId="7" hidden="1">0</definedName>
    <definedName name="solver_slv" localSheetId="8" hidden="1">0</definedName>
    <definedName name="solver_slv" localSheetId="9" hidden="1">0</definedName>
    <definedName name="solver_slvu" localSheetId="2" hidden="1">0</definedName>
    <definedName name="solver_slvu" localSheetId="3" hidden="1">0</definedName>
    <definedName name="solver_slvu" localSheetId="4" hidden="1">0</definedName>
    <definedName name="solver_slvu" localSheetId="5" hidden="1">0</definedName>
    <definedName name="solver_slvu" localSheetId="6" hidden="1">0</definedName>
    <definedName name="solver_slvu" localSheetId="7" hidden="1">0</definedName>
    <definedName name="solver_slvu" localSheetId="8" hidden="1">0</definedName>
    <definedName name="solver_slvu" localSheetId="9" hidden="1">0</definedName>
    <definedName name="solver_soc" localSheetId="2" hidden="1">0</definedName>
    <definedName name="solver_spid" localSheetId="2" hidden="1">" "</definedName>
    <definedName name="solver_srvr" localSheetId="2" hidden="1">" "</definedName>
    <definedName name="solver_ssz" localSheetId="0" hidden="1">100</definedName>
    <definedName name="solver_ssz" localSheetId="1" hidden="1">100</definedName>
    <definedName name="solver_ssz" localSheetId="2" hidden="1">100</definedName>
    <definedName name="solver_ssz" localSheetId="3" hidden="1">100</definedName>
    <definedName name="solver_ssz" localSheetId="4" hidden="1">100</definedName>
    <definedName name="solver_ssz" localSheetId="5" hidden="1">100</definedName>
    <definedName name="solver_ssz" localSheetId="6" hidden="1">100</definedName>
    <definedName name="solver_ssz" localSheetId="7" hidden="1">100</definedName>
    <definedName name="solver_ssz" localSheetId="8" hidden="1">100</definedName>
    <definedName name="solver_ssz" localSheetId="9" hidden="1">100</definedName>
    <definedName name="solver_sta" localSheetId="2" hidden="1">0</definedName>
    <definedName name="solver_sthr" hidden="1">0</definedName>
    <definedName name="solver_thr" localSheetId="2" hidden="1">0</definedName>
    <definedName name="solver_tim" localSheetId="0" hidden="1">2147483647</definedName>
    <definedName name="solver_tim" localSheetId="1" hidden="1">2147483647</definedName>
    <definedName name="solver_tim" localSheetId="2" hidden="1">2147483647</definedName>
    <definedName name="solver_tim" localSheetId="3" hidden="1">100</definedName>
    <definedName name="solver_tim" localSheetId="4" hidden="1">100</definedName>
    <definedName name="solver_tim" localSheetId="5" hidden="1">100</definedName>
    <definedName name="solver_tim" localSheetId="6" hidden="1">100</definedName>
    <definedName name="solver_tim" localSheetId="7" hidden="1">100</definedName>
    <definedName name="solver_tim" localSheetId="8" hidden="1">100</definedName>
    <definedName name="solver_tim" localSheetId="9" hidden="1">100</definedName>
    <definedName name="solver_tms" localSheetId="2" hidden="1">0</definedName>
    <definedName name="solver_tol" localSheetId="0" hidden="1">0.01</definedName>
    <definedName name="solver_tol" localSheetId="1" hidden="1">0.01</definedName>
    <definedName name="solver_tol" localSheetId="2" hidden="1">0.01</definedName>
    <definedName name="solver_tol" localSheetId="3" hidden="1">0.05</definedName>
    <definedName name="solver_tol" localSheetId="4" hidden="1">0.05</definedName>
    <definedName name="solver_tol" localSheetId="5" hidden="1">0.05</definedName>
    <definedName name="solver_tol" localSheetId="6" hidden="1">0.05</definedName>
    <definedName name="solver_tol" localSheetId="7" hidden="1">0.05</definedName>
    <definedName name="solver_tol" localSheetId="8" hidden="1">0.05</definedName>
    <definedName name="solver_tol" localSheetId="9" hidden="1">0.05</definedName>
    <definedName name="solver_tree_a" localSheetId="2" hidden="1">1</definedName>
    <definedName name="solver_tree_b" localSheetId="2" hidden="1">1</definedName>
    <definedName name="solver_tree_ce" localSheetId="2" hidden="1">1</definedName>
    <definedName name="solver_tree_dn" localSheetId="2" hidden="1">1</definedName>
    <definedName name="solver_tree_rt" localSheetId="2" hidden="1">999999999999</definedName>
    <definedName name="solver_typ" localSheetId="0" hidden="1">2</definedName>
    <definedName name="solver_typ" localSheetId="1" hidden="1">2</definedName>
    <definedName name="solver_typ" localSheetId="2" hidden="1">1</definedName>
    <definedName name="solver_typ" localSheetId="3" hidden="1">2</definedName>
    <definedName name="solver_typ" localSheetId="4" hidden="1">2</definedName>
    <definedName name="solver_typ" localSheetId="5" hidden="1">2</definedName>
    <definedName name="solver_typ" localSheetId="6" hidden="1">2</definedName>
    <definedName name="solver_typ" localSheetId="7" hidden="1">1</definedName>
    <definedName name="solver_typ" localSheetId="8" hidden="1">2</definedName>
    <definedName name="solver_typ" localSheetId="9" hidden="1">1</definedName>
    <definedName name="solver_ubigm" localSheetId="2" hidden="1">1000000</definedName>
    <definedName name="solver_ucens" hidden="1">1E+30</definedName>
    <definedName name="solver_ucut" hidden="1">1E+30</definedName>
    <definedName name="solver_umod" localSheetId="2" hidden="1">1</definedName>
    <definedName name="solver_umod" localSheetId="3" hidden="1">1</definedName>
    <definedName name="solver_umod" localSheetId="4" hidden="1">1</definedName>
    <definedName name="solver_umod" localSheetId="5" hidden="1">1</definedName>
    <definedName name="solver_umod" localSheetId="6" hidden="1">1</definedName>
    <definedName name="solver_umod" localSheetId="7" hidden="1">1</definedName>
    <definedName name="solver_umod" localSheetId="8" hidden="1">1</definedName>
    <definedName name="solver_umod" localSheetId="9" hidden="1">1</definedName>
    <definedName name="solver_urs" localSheetId="2" hidden="1">0</definedName>
    <definedName name="solver_urs" localSheetId="3" hidden="1">0</definedName>
    <definedName name="solver_urs" localSheetId="4" hidden="1">0</definedName>
    <definedName name="solver_urs" localSheetId="5" hidden="1">0</definedName>
    <definedName name="solver_urs" localSheetId="6" hidden="1">0</definedName>
    <definedName name="solver_urs" localSheetId="7" hidden="1">0</definedName>
    <definedName name="solver_urs" localSheetId="8" hidden="1">0</definedName>
    <definedName name="solver_urs" localSheetId="9" hidden="1">0</definedName>
    <definedName name="solver_val" localSheetId="0" hidden="1">0</definedName>
    <definedName name="solver_val" localSheetId="1" hidden="1">0</definedName>
    <definedName name="solver_val" localSheetId="2" hidden="1">0</definedName>
    <definedName name="solver_val" localSheetId="3" hidden="1">0</definedName>
    <definedName name="solver_val" localSheetId="4" hidden="1">0</definedName>
    <definedName name="solver_val" localSheetId="5" hidden="1">0</definedName>
    <definedName name="solver_val" localSheetId="6" hidden="1">0</definedName>
    <definedName name="solver_val" localSheetId="7" hidden="1">0</definedName>
    <definedName name="solver_val" localSheetId="8" hidden="1">0</definedName>
    <definedName name="solver_val" localSheetId="9" hidden="1">0</definedName>
    <definedName name="solver_var" localSheetId="2" hidden="1">" "</definedName>
    <definedName name="solver_var" localSheetId="3" hidden="1">" "</definedName>
    <definedName name="solver_var" localSheetId="4" hidden="1">" "</definedName>
    <definedName name="solver_var" localSheetId="5" hidden="1">" "</definedName>
    <definedName name="solver_var" localSheetId="6" hidden="1">" "</definedName>
    <definedName name="solver_var" localSheetId="7" hidden="1">" "</definedName>
    <definedName name="solver_var" localSheetId="8" hidden="1">" "</definedName>
    <definedName name="solver_var" localSheetId="9" hidden="1">" "</definedName>
    <definedName name="solver_ver" localSheetId="0" hidden="1">2</definedName>
    <definedName name="solver_ver" localSheetId="1" hidden="1">2</definedName>
    <definedName name="solver_ver" localSheetId="2" hidden="1">2</definedName>
    <definedName name="solver_ver" localSheetId="3" hidden="1">3</definedName>
    <definedName name="solver_ver" localSheetId="4" hidden="1">2</definedName>
    <definedName name="solver_ver" localSheetId="5" hidden="1">2</definedName>
    <definedName name="solver_ver" localSheetId="6" hidden="1">3</definedName>
    <definedName name="solver_ver" localSheetId="7" hidden="1">3</definedName>
    <definedName name="solver_ver" localSheetId="8" hidden="1">2</definedName>
    <definedName name="solver_ver" localSheetId="9" hidden="1">2</definedName>
    <definedName name="solver_vir" localSheetId="2" hidden="1">1</definedName>
    <definedName name="solver_vir" localSheetId="3" hidden="1">1</definedName>
    <definedName name="solver_vir" localSheetId="4" hidden="1">1</definedName>
    <definedName name="solver_vir" localSheetId="5" hidden="1">1</definedName>
    <definedName name="solver_vir" localSheetId="6" hidden="1">1</definedName>
    <definedName name="solver_vir" localSheetId="7" hidden="1">1</definedName>
    <definedName name="solver_vir" localSheetId="8" hidden="1">1</definedName>
    <definedName name="solver_vir" localSheetId="9" hidden="1">1</definedName>
    <definedName name="solver_vol" localSheetId="2" hidden="1">0</definedName>
    <definedName name="solver_vol" localSheetId="3" hidden="1">0</definedName>
    <definedName name="solver_vol" localSheetId="4" hidden="1">0</definedName>
    <definedName name="solver_vol" localSheetId="5" hidden="1">0</definedName>
    <definedName name="solver_vol" localSheetId="6" hidden="1">0</definedName>
    <definedName name="solver_vol" localSheetId="7" hidden="1">0</definedName>
    <definedName name="solver_vol" localSheetId="8" hidden="1">0</definedName>
    <definedName name="solver_vol" localSheetId="9" hidden="1">0</definedName>
    <definedName name="solver_vst" localSheetId="2" hidden="1">0</definedName>
    <definedName name="solver_vst" localSheetId="3" hidden="1">0</definedName>
    <definedName name="solver_vst" localSheetId="4" hidden="1">0</definedName>
    <definedName name="solver_vst" localSheetId="5" hidden="1">0</definedName>
    <definedName name="solver_vst" localSheetId="6" hidden="1">0</definedName>
    <definedName name="solver_vst" localSheetId="7" hidden="1">0</definedName>
    <definedName name="solver_vst" localSheetId="8" hidden="1">0</definedName>
    <definedName name="solver_vst" localSheetId="9" hidden="1">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9" l="1"/>
  <c r="C33" i="9"/>
  <c r="B33" i="9"/>
  <c r="B22" i="9"/>
  <c r="B34" i="9" s="1"/>
  <c r="E33" i="9"/>
  <c r="C19" i="9" l="1"/>
  <c r="C22" i="9" s="1"/>
  <c r="C34" i="9" s="1"/>
  <c r="D19" i="9" l="1"/>
  <c r="D22" i="9" s="1"/>
  <c r="E19" i="9" l="1"/>
  <c r="D34" i="9"/>
  <c r="E22" i="9"/>
  <c r="E34" i="9" l="1"/>
  <c r="G35" i="9" s="1"/>
  <c r="K39" i="5"/>
  <c r="K40" i="5"/>
  <c r="K41" i="5"/>
  <c r="K42" i="5"/>
  <c r="K43" i="5"/>
  <c r="K38" i="5"/>
  <c r="C52" i="5"/>
  <c r="F31" i="14"/>
  <c r="F30" i="15"/>
  <c r="L18" i="15"/>
  <c r="L17" i="15"/>
  <c r="L16" i="15"/>
  <c r="L15" i="15"/>
  <c r="L14" i="15"/>
  <c r="L13" i="15"/>
  <c r="L12" i="15"/>
  <c r="L11" i="15"/>
  <c r="L10" i="15"/>
  <c r="L9" i="15"/>
  <c r="L8" i="15"/>
  <c r="L7" i="15"/>
  <c r="L18" i="14"/>
  <c r="L17" i="14"/>
  <c r="L16" i="14"/>
  <c r="L15" i="14"/>
  <c r="L14" i="14"/>
  <c r="L13" i="14"/>
  <c r="L12" i="14"/>
  <c r="L11" i="14"/>
  <c r="L10" i="14"/>
  <c r="L9" i="14"/>
  <c r="L8" i="14"/>
  <c r="L7" i="14"/>
  <c r="F30" i="13"/>
  <c r="L18" i="13"/>
  <c r="L17" i="13"/>
  <c r="L16" i="13"/>
  <c r="L15" i="13"/>
  <c r="L14" i="13"/>
  <c r="L13" i="13"/>
  <c r="L12" i="13"/>
  <c r="L11" i="13"/>
  <c r="L10" i="13"/>
  <c r="L9" i="13"/>
  <c r="L8" i="13"/>
  <c r="L7" i="13"/>
  <c r="L18" i="4"/>
  <c r="L8" i="4"/>
  <c r="L9" i="4"/>
  <c r="L10" i="4"/>
  <c r="L11" i="4"/>
  <c r="L12" i="4"/>
  <c r="L13" i="4"/>
  <c r="L14" i="4"/>
  <c r="L15" i="4"/>
  <c r="L16" i="4"/>
  <c r="L17" i="4"/>
  <c r="L7" i="4"/>
  <c r="F30" i="4"/>
  <c r="H7" i="1"/>
  <c r="H8" i="1"/>
  <c r="H9" i="1"/>
  <c r="H10" i="1"/>
  <c r="H6" i="1"/>
  <c r="J7" i="10"/>
  <c r="D16" i="1"/>
  <c r="D26" i="8"/>
  <c r="E26" i="8"/>
  <c r="F26" i="8"/>
  <c r="G26" i="8"/>
  <c r="H26" i="8"/>
  <c r="I26" i="8"/>
  <c r="J26" i="8"/>
  <c r="K26" i="8"/>
  <c r="L26" i="8"/>
  <c r="M26" i="8"/>
  <c r="N26" i="8"/>
  <c r="O26" i="8"/>
  <c r="P26" i="8"/>
  <c r="Q26" i="8"/>
  <c r="C26" i="8" l="1"/>
  <c r="R22" i="8"/>
  <c r="R23" i="8"/>
  <c r="R24" i="8"/>
  <c r="R25" i="8"/>
  <c r="R21" i="8"/>
  <c r="R29" i="8"/>
  <c r="F20" i="12"/>
  <c r="E18" i="12"/>
  <c r="C18" i="12"/>
  <c r="E17" i="12"/>
  <c r="C17" i="12"/>
  <c r="E16" i="12"/>
  <c r="C16" i="12"/>
  <c r="E15" i="12"/>
  <c r="C15" i="12"/>
  <c r="E14" i="12"/>
  <c r="C14" i="12"/>
  <c r="J13" i="12"/>
  <c r="E13" i="12"/>
  <c r="C13" i="12"/>
  <c r="J12" i="12"/>
  <c r="E12" i="12"/>
  <c r="C12" i="12"/>
  <c r="J11" i="12"/>
  <c r="E11" i="12"/>
  <c r="C11" i="12"/>
  <c r="J10" i="12"/>
  <c r="E10" i="12"/>
  <c r="C10" i="12"/>
  <c r="J9" i="12"/>
  <c r="E9" i="12"/>
  <c r="C9" i="12"/>
  <c r="J8" i="12"/>
  <c r="E8" i="12"/>
  <c r="C8" i="12"/>
  <c r="J7" i="12"/>
  <c r="E7" i="12"/>
  <c r="C7" i="12"/>
  <c r="J9" i="10"/>
  <c r="J8" i="10"/>
  <c r="J10" i="10"/>
  <c r="J11" i="10"/>
  <c r="J12" i="10"/>
  <c r="J13" i="10"/>
  <c r="R26" i="8" l="1"/>
  <c r="F20" i="10" l="1"/>
  <c r="C7" i="10"/>
  <c r="E7" i="10"/>
  <c r="C8" i="10"/>
  <c r="E8" i="10"/>
  <c r="C9" i="10"/>
  <c r="E9" i="10"/>
  <c r="C10" i="10"/>
  <c r="E10" i="10"/>
  <c r="C11" i="10"/>
  <c r="E11" i="10"/>
  <c r="C12" i="10"/>
  <c r="E12" i="10"/>
  <c r="C13" i="10"/>
  <c r="E13" i="10"/>
  <c r="C14" i="10"/>
  <c r="E14" i="10"/>
  <c r="C15" i="10"/>
  <c r="E15" i="10"/>
  <c r="C16" i="10"/>
  <c r="E16" i="10"/>
  <c r="C17" i="10"/>
  <c r="E17" i="10"/>
  <c r="C18" i="10"/>
  <c r="E1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A7" authorId="0" shapeId="0" xr:uid="{705B2ECC-EA0B-1A4D-A868-942E64957BA8}">
      <text>
        <r>
          <rPr>
            <sz val="8"/>
            <color rgb="FF000000"/>
            <rFont val="Tahoma"/>
            <family val="2"/>
          </rPr>
          <t>Variable cell</t>
        </r>
      </text>
    </comment>
    <comment ref="A8" authorId="0" shapeId="0" xr:uid="{EE14F5AA-BBEE-5744-B6E2-B56AD3455950}">
      <text>
        <r>
          <rPr>
            <sz val="8"/>
            <color rgb="FF000000"/>
            <rFont val="Tahoma"/>
            <family val="2"/>
          </rPr>
          <t>Variable cell</t>
        </r>
      </text>
    </comment>
    <comment ref="A9" authorId="0" shapeId="0" xr:uid="{73BA8C1D-BA30-E444-82CC-7796A2A050E0}">
      <text>
        <r>
          <rPr>
            <sz val="8"/>
            <color rgb="FF000000"/>
            <rFont val="Tahoma"/>
            <family val="2"/>
          </rPr>
          <t>Variable cell</t>
        </r>
      </text>
    </comment>
    <comment ref="A10" authorId="0" shapeId="0" xr:uid="{65BA7FE7-351A-8340-9A83-7CB0BB692DC9}">
      <text>
        <r>
          <rPr>
            <sz val="8"/>
            <color rgb="FF000000"/>
            <rFont val="Tahoma"/>
            <family val="2"/>
          </rPr>
          <t>Variable cell</t>
        </r>
      </text>
    </comment>
    <comment ref="A11" authorId="0" shapeId="0" xr:uid="{DD61F13E-21CF-7E4A-A74E-B75154725F23}">
      <text>
        <r>
          <rPr>
            <sz val="8"/>
            <color rgb="FF000000"/>
            <rFont val="Tahoma"/>
            <family val="2"/>
          </rPr>
          <t>Variable cell</t>
        </r>
      </text>
    </comment>
    <comment ref="A12" authorId="0" shapeId="0" xr:uid="{66C707A2-017C-6C47-B46D-6970642628BB}">
      <text>
        <r>
          <rPr>
            <sz val="8"/>
            <color rgb="FF000000"/>
            <rFont val="Tahoma"/>
            <family val="2"/>
          </rPr>
          <t>Variable cell</t>
        </r>
      </text>
    </comment>
    <comment ref="A14" authorId="0" shapeId="0" xr:uid="{9B00C68A-3CC6-644E-91BB-A82484207BDE}">
      <text>
        <r>
          <rPr>
            <sz val="8"/>
            <color rgb="FF000000"/>
            <rFont val="Tahoma"/>
            <family val="2"/>
          </rPr>
          <t>Variable cell</t>
        </r>
      </text>
    </comment>
    <comment ref="A15" authorId="0" shapeId="0" xr:uid="{BCA34C27-65C4-4F40-A735-153BF66EB8F6}">
      <text>
        <r>
          <rPr>
            <sz val="8"/>
            <color rgb="FF000000"/>
            <rFont val="Tahoma"/>
            <family val="2"/>
          </rPr>
          <t>Variable cell</t>
        </r>
      </text>
    </comment>
    <comment ref="A16" authorId="0" shapeId="0" xr:uid="{235AE923-3E75-B140-817B-5515A12DF7EF}">
      <text>
        <r>
          <rPr>
            <sz val="8"/>
            <color rgb="FF000000"/>
            <rFont val="Tahoma"/>
            <family val="2"/>
          </rPr>
          <t>Variable cell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A7" authorId="0" shapeId="0" xr:uid="{4DED1553-62DA-D346-9E73-B8B40C15FF61}">
      <text>
        <r>
          <rPr>
            <sz val="8"/>
            <color rgb="FF000000"/>
            <rFont val="Tahoma"/>
            <family val="2"/>
          </rPr>
          <t>Variable cell</t>
        </r>
      </text>
    </comment>
    <comment ref="A8" authorId="0" shapeId="0" xr:uid="{6C93A8A0-D816-DC4E-B3DD-D62AC2E481FB}">
      <text>
        <r>
          <rPr>
            <sz val="8"/>
            <color rgb="FF000000"/>
            <rFont val="Tahoma"/>
            <family val="2"/>
          </rPr>
          <t>Variable cell</t>
        </r>
      </text>
    </comment>
    <comment ref="A9" authorId="0" shapeId="0" xr:uid="{A757D379-3179-2F43-B6BA-DEE8E97CF044}">
      <text>
        <r>
          <rPr>
            <sz val="8"/>
            <color rgb="FF000000"/>
            <rFont val="Tahoma"/>
            <family val="2"/>
          </rPr>
          <t>Variable cell</t>
        </r>
      </text>
    </comment>
    <comment ref="A10" authorId="0" shapeId="0" xr:uid="{6DD947BB-0A05-0545-888D-B4FB435441D4}">
      <text>
        <r>
          <rPr>
            <sz val="8"/>
            <color rgb="FF000000"/>
            <rFont val="Tahoma"/>
            <family val="2"/>
          </rPr>
          <t>Variable cell</t>
        </r>
      </text>
    </comment>
    <comment ref="A11" authorId="0" shapeId="0" xr:uid="{3F1F46F2-8289-F348-A8BF-F937C487DA66}">
      <text>
        <r>
          <rPr>
            <sz val="8"/>
            <color rgb="FF000000"/>
            <rFont val="Tahoma"/>
            <family val="2"/>
          </rPr>
          <t>Variable cell</t>
        </r>
      </text>
    </comment>
    <comment ref="A12" authorId="0" shapeId="0" xr:uid="{05E2A986-E954-724C-85B6-495DEC5B6C85}">
      <text>
        <r>
          <rPr>
            <sz val="8"/>
            <color rgb="FF000000"/>
            <rFont val="Tahoma"/>
            <family val="2"/>
          </rPr>
          <t>Variable cell</t>
        </r>
      </text>
    </comment>
    <comment ref="A14" authorId="0" shapeId="0" xr:uid="{CE0026A7-3DB9-0240-A6A4-D37A13F10D3B}">
      <text>
        <r>
          <rPr>
            <sz val="8"/>
            <color rgb="FF000000"/>
            <rFont val="Tahoma"/>
            <family val="2"/>
          </rPr>
          <t>Variable cell</t>
        </r>
      </text>
    </comment>
    <comment ref="A15" authorId="0" shapeId="0" xr:uid="{6ED078A0-0FE2-3142-8668-E12777F677D8}">
      <text>
        <r>
          <rPr>
            <sz val="8"/>
            <color rgb="FF000000"/>
            <rFont val="Tahoma"/>
            <family val="2"/>
          </rPr>
          <t>Variable cell</t>
        </r>
      </text>
    </comment>
    <comment ref="A16" authorId="0" shapeId="0" xr:uid="{18790B5D-1B75-564C-87E1-9D199816152A}">
      <text>
        <r>
          <rPr>
            <sz val="8"/>
            <color rgb="FF000000"/>
            <rFont val="Tahoma"/>
            <family val="2"/>
          </rPr>
          <t>Variable cell</t>
        </r>
      </text>
    </comment>
  </commentList>
</comments>
</file>

<file path=xl/sharedStrings.xml><?xml version="1.0" encoding="utf-8"?>
<sst xmlns="http://schemas.openxmlformats.org/spreadsheetml/2006/main" count="152" uniqueCount="80">
  <si>
    <t>Big Sister Rankings</t>
  </si>
  <si>
    <t>Pledges</t>
  </si>
  <si>
    <t>Big Sister Assignments</t>
  </si>
  <si>
    <t>Month</t>
  </si>
  <si>
    <t>Demand</t>
  </si>
  <si>
    <t>Production cost</t>
  </si>
  <si>
    <t>Production capacity</t>
  </si>
  <si>
    <t>Network Segments</t>
  </si>
  <si>
    <t>Calls (in 1,000s)</t>
  </si>
  <si>
    <t>Washington, DC to Chicago</t>
  </si>
  <si>
    <t>Washington, DC to Kansas City</t>
  </si>
  <si>
    <t>Washington, DC to Dallas</t>
  </si>
  <si>
    <t>Chicago to Dallas</t>
  </si>
  <si>
    <t>Chicago to Denver</t>
  </si>
  <si>
    <t>Kansas City to Denver</t>
  </si>
  <si>
    <t>Kansas City to Dallas</t>
  </si>
  <si>
    <t>Denver to San Francisco</t>
  </si>
  <si>
    <t>Dallas to San Francisco</t>
  </si>
  <si>
    <t xml:space="preserve"> -- Arcs --</t>
  </si>
  <si>
    <t xml:space="preserve">  From</t>
  </si>
  <si>
    <t xml:space="preserve">  To</t>
  </si>
  <si>
    <t>Units of flow</t>
  </si>
  <si>
    <t>nodes</t>
  </si>
  <si>
    <t xml:space="preserve">Netflow </t>
  </si>
  <si>
    <t>Supply/Demad</t>
  </si>
  <si>
    <t>Name</t>
  </si>
  <si>
    <t>pittsburgh</t>
  </si>
  <si>
    <t>staunton</t>
  </si>
  <si>
    <t>charleston</t>
  </si>
  <si>
    <t>ranoke</t>
  </si>
  <si>
    <t>richmond</t>
  </si>
  <si>
    <t>norflok</t>
  </si>
  <si>
    <t>suffolk</t>
  </si>
  <si>
    <t>Unit Cost</t>
  </si>
  <si>
    <t>Cost</t>
  </si>
  <si>
    <t>Pleadge</t>
  </si>
  <si>
    <t>total</t>
  </si>
  <si>
    <t>Req</t>
  </si>
  <si>
    <t>Total</t>
  </si>
  <si>
    <t>Big sister</t>
  </si>
  <si>
    <t>Nodes</t>
  </si>
  <si>
    <t>Netfow</t>
  </si>
  <si>
    <t>Sup/Dem</t>
  </si>
  <si>
    <t>Total Cost</t>
  </si>
  <si>
    <t>Net Flow</t>
  </si>
  <si>
    <t>Supply/Demand</t>
  </si>
  <si>
    <t>Select Route?</t>
  </si>
  <si>
    <t>From</t>
  </si>
  <si>
    <t>Distance</t>
  </si>
  <si>
    <t>to</t>
  </si>
  <si>
    <t xml:space="preserve">Total distance </t>
  </si>
  <si>
    <t>Chicago</t>
  </si>
  <si>
    <t>Kansas City</t>
  </si>
  <si>
    <t>Dallas</t>
  </si>
  <si>
    <t>Denver</t>
  </si>
  <si>
    <t>Sanfrancisco</t>
  </si>
  <si>
    <t>Units</t>
  </si>
  <si>
    <t>Upper</t>
  </si>
  <si>
    <t>of Flow</t>
  </si>
  <si>
    <t>Bound</t>
  </si>
  <si>
    <t>Washington ,Dc</t>
  </si>
  <si>
    <t>MaxFlow</t>
  </si>
  <si>
    <t>Total feet used</t>
  </si>
  <si>
    <t>72000 ft</t>
  </si>
  <si>
    <t>Beginning Inventory</t>
  </si>
  <si>
    <t>Month 1</t>
  </si>
  <si>
    <t>Month 2</t>
  </si>
  <si>
    <t>Month 3</t>
  </si>
  <si>
    <t>Month 4</t>
  </si>
  <si>
    <t>Units Produced</t>
  </si>
  <si>
    <t>Units Demanded</t>
  </si>
  <si>
    <t>Ending Inventory</t>
  </si>
  <si>
    <t>Minimum Production</t>
  </si>
  <si>
    <t>Maximum Production</t>
  </si>
  <si>
    <t>Minimum Inventory</t>
  </si>
  <si>
    <t>Maximum Inventory</t>
  </si>
  <si>
    <t>Unit Production Cost</t>
  </si>
  <si>
    <t>Unit Holding Cost</t>
  </si>
  <si>
    <t>Monthly Production Cost</t>
  </si>
  <si>
    <t>Monthly Carrying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</si>
</sst>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
    <numFmt numFmtId="165" formatCode="General_)"/>
    <numFmt numFmtId="166" formatCode="0.0_)"/>
  </numFmts>
  <fonts count="12" x14ac:knownFonts="1">
    <font>
      <sz val="10"/>
      <name val="Arial"/>
    </font>
    <font>
      <b/>
      <sz val="10"/>
      <name val="Arial"/>
      <family val="2"/>
    </font>
    <font>
      <sz val="10"/>
      <name val="Arial"/>
      <family val="2"/>
    </font>
    <font>
      <sz val="10"/>
      <color indexed="12"/>
      <name val="Arial"/>
      <family val="2"/>
    </font>
    <font>
      <b/>
      <sz val="10"/>
      <name val="Times New Roman"/>
      <family val="1"/>
    </font>
    <font>
      <sz val="10"/>
      <name val="Times New Roman"/>
      <family val="1"/>
    </font>
    <font>
      <b/>
      <sz val="10"/>
      <color indexed="17"/>
      <name val="Arial"/>
      <family val="2"/>
    </font>
    <font>
      <b/>
      <sz val="10"/>
      <color indexed="8"/>
      <name val="Arial"/>
      <family val="2"/>
    </font>
    <font>
      <sz val="8"/>
      <color rgb="FF000000"/>
      <name val="Tahoma"/>
      <family val="2"/>
    </font>
    <font>
      <b/>
      <sz val="10"/>
      <color rgb="FFFF0000"/>
      <name val="Arial"/>
      <family val="2"/>
    </font>
    <font>
      <b/>
      <sz val="10"/>
      <color theme="6"/>
      <name val="Arial"/>
      <family val="2"/>
    </font>
    <font>
      <sz val="10"/>
      <color theme="6"/>
      <name val="Arial"/>
      <family val="2"/>
    </font>
  </fonts>
  <fills count="13">
    <fill>
      <patternFill patternType="none"/>
    </fill>
    <fill>
      <patternFill patternType="gray125"/>
    </fill>
    <fill>
      <patternFill patternType="solid">
        <fgColor rgb="FFFFFFFF"/>
        <bgColor indexed="64"/>
      </patternFill>
    </fill>
    <fill>
      <patternFill patternType="solid">
        <fgColor rgb="FFF5F5F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rgb="FF92D050"/>
        <bgColor indexed="64"/>
      </patternFill>
    </fill>
  </fills>
  <borders count="10">
    <border>
      <left/>
      <right/>
      <top/>
      <bottom/>
      <diagonal/>
    </border>
    <border>
      <left/>
      <right/>
      <top/>
      <bottom style="thin">
        <color indexed="64"/>
      </bottom>
      <diagonal/>
    </border>
    <border>
      <left style="medium">
        <color rgb="FFD4D4D4"/>
      </left>
      <right/>
      <top/>
      <bottom/>
      <diagonal/>
    </border>
    <border>
      <left/>
      <right/>
      <top style="medium">
        <color rgb="FFD4D4D4"/>
      </top>
      <bottom/>
      <diagonal/>
    </border>
    <border>
      <left style="medium">
        <color rgb="FFD4D4D4"/>
      </left>
      <right/>
      <top style="medium">
        <color rgb="FFD4D4D4"/>
      </top>
      <bottom/>
      <diagonal/>
    </border>
    <border>
      <left style="medium">
        <color rgb="FFD4D4D4"/>
      </left>
      <right/>
      <top/>
      <bottom style="medium">
        <color rgb="FFD4D4D4"/>
      </bottom>
      <diagonal/>
    </border>
    <border>
      <left/>
      <right/>
      <top/>
      <bottom style="medium">
        <color rgb="FFD4D4D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165" fontId="2" fillId="0" borderId="0"/>
  </cellStyleXfs>
  <cellXfs count="85">
    <xf numFmtId="0" fontId="0" fillId="0" borderId="0" xfId="0"/>
    <xf numFmtId="0" fontId="0" fillId="0" borderId="0" xfId="0" applyAlignment="1">
      <alignment horizontal="center"/>
    </xf>
    <xf numFmtId="0" fontId="1" fillId="0" borderId="0" xfId="0" applyFont="1" applyAlignment="1">
      <alignment horizontal="center"/>
    </xf>
    <xf numFmtId="164" fontId="0" fillId="0" borderId="0" xfId="0" applyNumberFormat="1" applyAlignment="1">
      <alignment horizontal="center"/>
    </xf>
    <xf numFmtId="0" fontId="1" fillId="0" borderId="0" xfId="1" applyFont="1" applyAlignment="1">
      <alignment horizontal="center"/>
    </xf>
    <xf numFmtId="0" fontId="2" fillId="0" borderId="0" xfId="1" applyAlignment="1">
      <alignment horizontal="center"/>
    </xf>
    <xf numFmtId="0" fontId="2" fillId="0" borderId="0" xfId="1"/>
    <xf numFmtId="0" fontId="1" fillId="0" borderId="0" xfId="1" applyFont="1"/>
    <xf numFmtId="165" fontId="2" fillId="0" borderId="0" xfId="2"/>
    <xf numFmtId="165" fontId="1" fillId="0" borderId="0" xfId="2" applyFont="1" applyAlignment="1">
      <alignment horizontal="centerContinuous"/>
    </xf>
    <xf numFmtId="165" fontId="2" fillId="0" borderId="0" xfId="2" applyAlignment="1">
      <alignment horizontal="centerContinuous"/>
    </xf>
    <xf numFmtId="165" fontId="1" fillId="0" borderId="0" xfId="2" applyFont="1" applyAlignment="1">
      <alignment horizontal="center"/>
    </xf>
    <xf numFmtId="165" fontId="1" fillId="0" borderId="0" xfId="2" applyFont="1"/>
    <xf numFmtId="165" fontId="3" fillId="0" borderId="0" xfId="2" applyFont="1" applyAlignment="1" applyProtection="1">
      <alignment horizontal="right"/>
      <protection locked="0"/>
    </xf>
    <xf numFmtId="165" fontId="3" fillId="0" borderId="0" xfId="2" applyFont="1" applyProtection="1">
      <protection locked="0"/>
    </xf>
    <xf numFmtId="0" fontId="1" fillId="0" borderId="1" xfId="1" applyFont="1" applyBorder="1" applyAlignment="1">
      <alignment horizontal="center"/>
    </xf>
    <xf numFmtId="0" fontId="5" fillId="0" borderId="3" xfId="0" applyFont="1" applyBorder="1" applyAlignment="1">
      <alignment horizontal="left" vertical="center" wrapText="1"/>
    </xf>
    <xf numFmtId="0" fontId="5" fillId="0" borderId="4" xfId="0" applyFont="1" applyBorder="1" applyAlignment="1">
      <alignment horizontal="center" vertical="center" wrapText="1"/>
    </xf>
    <xf numFmtId="0" fontId="5" fillId="4" borderId="0" xfId="0" applyFont="1" applyFill="1" applyAlignment="1">
      <alignment horizontal="left" vertical="center" wrapText="1"/>
    </xf>
    <xf numFmtId="0" fontId="5" fillId="4" borderId="2" xfId="0" applyFont="1" applyFill="1" applyBorder="1" applyAlignment="1">
      <alignment horizontal="center" vertical="center" wrapText="1"/>
    </xf>
    <xf numFmtId="0" fontId="4" fillId="0" borderId="3" xfId="0" applyFont="1" applyBorder="1" applyAlignment="1">
      <alignment horizontal="left" vertical="top" wrapText="1"/>
    </xf>
    <xf numFmtId="8" fontId="5" fillId="0" borderId="4" xfId="0" applyNumberFormat="1" applyFont="1" applyBorder="1" applyAlignment="1">
      <alignment horizontal="center" vertical="center" wrapText="1"/>
    </xf>
    <xf numFmtId="0" fontId="0" fillId="0" borderId="7" xfId="0" applyBorder="1" applyAlignment="1">
      <alignment horizontal="center"/>
    </xf>
    <xf numFmtId="166" fontId="6" fillId="5" borderId="7" xfId="2" applyNumberFormat="1" applyFont="1" applyFill="1" applyBorder="1" applyAlignment="1">
      <alignment horizontal="left"/>
    </xf>
    <xf numFmtId="165" fontId="7" fillId="0" borderId="7" xfId="2" applyFont="1" applyBorder="1" applyAlignment="1" applyProtection="1">
      <alignment horizontal="left"/>
      <protection locked="0"/>
    </xf>
    <xf numFmtId="0" fontId="2" fillId="0" borderId="0" xfId="0" applyFont="1" applyAlignment="1">
      <alignment horizontal="center"/>
    </xf>
    <xf numFmtId="166" fontId="0" fillId="0" borderId="0" xfId="0" applyNumberFormat="1" applyAlignment="1">
      <alignment horizontal="center"/>
    </xf>
    <xf numFmtId="0" fontId="2" fillId="0" borderId="7" xfId="0" applyFont="1" applyBorder="1" applyAlignment="1">
      <alignment horizontal="center"/>
    </xf>
    <xf numFmtId="165" fontId="7" fillId="0" borderId="7" xfId="2" applyFont="1" applyBorder="1" applyAlignment="1">
      <alignment horizontal="left"/>
    </xf>
    <xf numFmtId="0" fontId="1" fillId="0" borderId="7" xfId="0" applyFont="1" applyBorder="1" applyAlignment="1">
      <alignment horizontal="left"/>
    </xf>
    <xf numFmtId="0" fontId="1" fillId="0" borderId="0" xfId="0" applyFont="1" applyAlignment="1">
      <alignment horizontal="left"/>
    </xf>
    <xf numFmtId="166" fontId="6" fillId="0" borderId="0" xfId="2" applyNumberFormat="1" applyFont="1" applyAlignment="1">
      <alignment horizontal="left"/>
    </xf>
    <xf numFmtId="165" fontId="0" fillId="0" borderId="7" xfId="0" applyNumberFormat="1" applyBorder="1" applyAlignment="1">
      <alignment horizontal="center"/>
    </xf>
    <xf numFmtId="0" fontId="2" fillId="6" borderId="0" xfId="0" applyFont="1" applyFill="1" applyAlignment="1">
      <alignment horizontal="center"/>
    </xf>
    <xf numFmtId="0" fontId="0" fillId="6" borderId="0" xfId="0" applyFill="1" applyAlignment="1">
      <alignment horizontal="center"/>
    </xf>
    <xf numFmtId="0" fontId="2" fillId="0" borderId="0" xfId="0" applyFont="1"/>
    <xf numFmtId="165" fontId="1" fillId="0" borderId="7" xfId="2" applyFont="1" applyBorder="1" applyAlignment="1">
      <alignment horizontal="center"/>
    </xf>
    <xf numFmtId="0" fontId="2" fillId="6" borderId="7" xfId="0" applyFont="1" applyFill="1" applyBorder="1" applyAlignment="1">
      <alignment horizontal="center"/>
    </xf>
    <xf numFmtId="0" fontId="0" fillId="6" borderId="7" xfId="0" applyFill="1" applyBorder="1" applyAlignment="1">
      <alignment horizontal="center"/>
    </xf>
    <xf numFmtId="0" fontId="0" fillId="0" borderId="0" xfId="0" applyAlignment="1">
      <alignment horizontal="center" wrapText="1"/>
    </xf>
    <xf numFmtId="0" fontId="5" fillId="0" borderId="2" xfId="0" applyFont="1" applyBorder="1" applyAlignment="1">
      <alignment horizontal="center" vertical="center" wrapText="1"/>
    </xf>
    <xf numFmtId="0" fontId="0" fillId="2" borderId="7" xfId="0" applyFill="1" applyBorder="1"/>
    <xf numFmtId="165" fontId="2" fillId="0" borderId="7" xfId="2" applyBorder="1"/>
    <xf numFmtId="0" fontId="9" fillId="0" borderId="0" xfId="0" applyFont="1" applyAlignment="1">
      <alignment horizontal="center"/>
    </xf>
    <xf numFmtId="165" fontId="2" fillId="7" borderId="7" xfId="2" applyFill="1" applyBorder="1"/>
    <xf numFmtId="0" fontId="1" fillId="7" borderId="7" xfId="0" applyFont="1" applyFill="1" applyBorder="1" applyAlignment="1">
      <alignment horizontal="center"/>
    </xf>
    <xf numFmtId="0" fontId="0" fillId="8" borderId="7" xfId="0" applyFill="1" applyBorder="1"/>
    <xf numFmtId="165" fontId="2" fillId="8" borderId="7" xfId="2" applyFill="1" applyBorder="1"/>
    <xf numFmtId="0" fontId="0" fillId="9" borderId="7" xfId="0" applyFill="1" applyBorder="1"/>
    <xf numFmtId="165" fontId="2" fillId="9" borderId="7" xfId="2" applyFill="1" applyBorder="1"/>
    <xf numFmtId="165" fontId="2" fillId="7" borderId="7" xfId="2" applyFill="1" applyBorder="1" applyAlignment="1">
      <alignment horizontal="center"/>
    </xf>
    <xf numFmtId="0" fontId="10" fillId="4" borderId="7" xfId="0" applyFont="1" applyFill="1" applyBorder="1" applyAlignment="1">
      <alignment horizontal="center"/>
    </xf>
    <xf numFmtId="165" fontId="11" fillId="4" borderId="7" xfId="2" applyFont="1" applyFill="1" applyBorder="1" applyAlignment="1">
      <alignment horizontal="center"/>
    </xf>
    <xf numFmtId="165" fontId="1" fillId="6" borderId="0" xfId="2" applyFont="1" applyFill="1" applyAlignment="1">
      <alignment horizontal="center"/>
    </xf>
    <xf numFmtId="0" fontId="10" fillId="10" borderId="7" xfId="0" applyFont="1" applyFill="1" applyBorder="1" applyAlignment="1">
      <alignment horizontal="center"/>
    </xf>
    <xf numFmtId="165" fontId="2" fillId="10" borderId="7" xfId="2" applyFill="1" applyBorder="1"/>
    <xf numFmtId="165" fontId="2" fillId="10" borderId="0" xfId="2" applyFill="1"/>
    <xf numFmtId="165" fontId="0" fillId="0" borderId="0" xfId="0" applyNumberFormat="1" applyAlignment="1">
      <alignment horizontal="center"/>
    </xf>
    <xf numFmtId="165" fontId="1" fillId="0" borderId="7" xfId="2" applyFont="1" applyBorder="1" applyAlignment="1">
      <alignment horizontal="centerContinuous"/>
    </xf>
    <xf numFmtId="0" fontId="2" fillId="0" borderId="7" xfId="1" applyBorder="1"/>
    <xf numFmtId="0" fontId="2" fillId="0" borderId="7" xfId="1" applyBorder="1" applyAlignment="1">
      <alignment horizontal="center"/>
    </xf>
    <xf numFmtId="0" fontId="5" fillId="0" borderId="7" xfId="0" applyFont="1" applyBorder="1" applyAlignment="1">
      <alignment horizontal="center" vertical="center" wrapText="1"/>
    </xf>
    <xf numFmtId="0" fontId="2" fillId="11" borderId="7" xfId="1" applyFill="1" applyBorder="1"/>
    <xf numFmtId="0" fontId="2" fillId="12" borderId="0" xfId="1" applyFill="1"/>
    <xf numFmtId="0" fontId="1" fillId="0" borderId="0" xfId="0" applyFont="1"/>
    <xf numFmtId="165" fontId="2" fillId="0" borderId="0" xfId="0" applyNumberFormat="1" applyFont="1"/>
    <xf numFmtId="8" fontId="2" fillId="0" borderId="0" xfId="0" applyNumberFormat="1" applyFont="1"/>
    <xf numFmtId="165" fontId="2" fillId="6" borderId="0" xfId="2" applyFill="1"/>
    <xf numFmtId="165" fontId="1" fillId="0" borderId="7" xfId="2" applyFont="1" applyBorder="1" applyAlignment="1">
      <alignment horizontal="left" wrapText="1"/>
    </xf>
    <xf numFmtId="165" fontId="1" fillId="0" borderId="7" xfId="2" applyFont="1" applyBorder="1" applyAlignment="1">
      <alignment horizontal="left"/>
    </xf>
    <xf numFmtId="0" fontId="1" fillId="0" borderId="0" xfId="1" applyFont="1" applyAlignment="1">
      <alignment horizontal="center"/>
    </xf>
    <xf numFmtId="0" fontId="2" fillId="0" borderId="0" xfId="0" applyFont="1" applyAlignment="1">
      <alignment horizontal="center"/>
    </xf>
    <xf numFmtId="0" fontId="0" fillId="0" borderId="0" xfId="0" applyAlignment="1">
      <alignment horizontal="center"/>
    </xf>
    <xf numFmtId="165" fontId="1" fillId="0" borderId="7" xfId="2" applyFont="1" applyBorder="1" applyAlignment="1">
      <alignment horizontal="center" vertical="top" wrapText="1"/>
    </xf>
    <xf numFmtId="165" fontId="1" fillId="0" borderId="7" xfId="2" applyFont="1" applyBorder="1" applyAlignment="1">
      <alignment horizontal="center"/>
    </xf>
    <xf numFmtId="165" fontId="1" fillId="0" borderId="7" xfId="2" applyFont="1" applyBorder="1" applyAlignment="1">
      <alignment horizontal="center" wrapText="1"/>
    </xf>
    <xf numFmtId="0" fontId="0" fillId="3" borderId="2" xfId="0" applyFill="1" applyBorder="1" applyAlignment="1">
      <alignment horizontal="center" vertical="center" wrapText="1"/>
    </xf>
    <xf numFmtId="0" fontId="0" fillId="3" borderId="0" xfId="0" applyFill="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1" fillId="4" borderId="7" xfId="0" applyFont="1" applyFill="1" applyBorder="1" applyAlignment="1">
      <alignment horizontal="center" wrapText="1"/>
    </xf>
    <xf numFmtId="0" fontId="0" fillId="8" borderId="8" xfId="0" applyFill="1" applyBorder="1" applyAlignment="1">
      <alignment horizontal="center" vertical="center"/>
    </xf>
    <xf numFmtId="0" fontId="0" fillId="8" borderId="9" xfId="0" applyFill="1" applyBorder="1" applyAlignment="1">
      <alignment horizontal="center" vertical="center"/>
    </xf>
    <xf numFmtId="0" fontId="0" fillId="9" borderId="8" xfId="0" applyFill="1" applyBorder="1" applyAlignment="1">
      <alignment horizontal="center" vertical="center"/>
    </xf>
    <xf numFmtId="0" fontId="0" fillId="9" borderId="9" xfId="0" applyFill="1" applyBorder="1" applyAlignment="1">
      <alignment horizontal="center" vertical="center"/>
    </xf>
  </cellXfs>
  <cellStyles count="3">
    <cellStyle name="Normal" xfId="0" builtinId="0"/>
    <cellStyle name="Normal 2" xfId="1" xr:uid="{88D1F202-1DF0-41B7-B306-131807AEE785}"/>
    <cellStyle name="Normal 3" xfId="2" xr:uid="{31370414-A0AD-420D-B830-D495067B6BB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11</xdr:col>
      <xdr:colOff>38735</xdr:colOff>
      <xdr:row>0</xdr:row>
      <xdr:rowOff>0</xdr:rowOff>
    </xdr:from>
    <xdr:to>
      <xdr:col>21</xdr:col>
      <xdr:colOff>153035</xdr:colOff>
      <xdr:row>10</xdr:row>
      <xdr:rowOff>19050</xdr:rowOff>
    </xdr:to>
    <xdr:sp macro="" textlink="">
      <xdr:nvSpPr>
        <xdr:cNvPr id="2" name="TextBox 1">
          <a:extLst>
            <a:ext uri="{FF2B5EF4-FFF2-40B4-BE49-F238E27FC236}">
              <a16:creationId xmlns:a16="http://schemas.microsoft.com/office/drawing/2014/main" id="{7B3C6B1F-3560-0980-A0BA-8573DEB6D4C4}"/>
            </a:ext>
          </a:extLst>
        </xdr:cNvPr>
        <xdr:cNvSpPr txBox="1"/>
      </xdr:nvSpPr>
      <xdr:spPr>
        <a:xfrm>
          <a:off x="7038975" y="0"/>
          <a:ext cx="6819900" cy="164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blood bank wants to determine the least expensive way to transport available blood donations from Pittsburgh and Staunton to hospitals in Charleston, Roanoke, Richmond, Norfolk, and Suffolk. The supply and demand for donated blood is shown below</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along with the unit cost of shipping along each possible arc.</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 Create a spreadsheet model for this problem.</a:t>
          </a:r>
        </a:p>
        <a:p>
          <a:r>
            <a:rPr lang="en-US" sz="1100" b="0" i="0">
              <a:solidFill>
                <a:schemeClr val="dk1"/>
              </a:solidFill>
              <a:effectLst/>
              <a:latin typeface="+mn-lt"/>
              <a:ea typeface="+mn-ea"/>
              <a:cs typeface="+mn-cs"/>
            </a:rPr>
            <a:t>B.  What is the optimal solution?</a:t>
          </a:r>
        </a:p>
        <a:p>
          <a:r>
            <a:rPr lang="en-US" sz="1100" b="0" i="0">
              <a:solidFill>
                <a:schemeClr val="dk1"/>
              </a:solidFill>
              <a:effectLst/>
              <a:latin typeface="+mn-lt"/>
              <a:ea typeface="+mn-ea"/>
              <a:cs typeface="+mn-cs"/>
            </a:rPr>
            <a:t>C,  Suppose that no more than 1,000 units of blood can be transported over any one arc. What is the optimal solution to this revised problem.  Duplicate</a:t>
          </a:r>
          <a:r>
            <a:rPr lang="en-US" sz="1100" b="0" i="0" baseline="0">
              <a:solidFill>
                <a:schemeClr val="dk1"/>
              </a:solidFill>
              <a:effectLst/>
              <a:latin typeface="+mn-lt"/>
              <a:ea typeface="+mn-ea"/>
              <a:cs typeface="+mn-cs"/>
            </a:rPr>
            <a:t> this sheet and create a new one - titled "1C"</a:t>
          </a:r>
          <a:br>
            <a:rPr lang="en-US"/>
          </a:br>
          <a:endParaRPr lang="en-US" sz="1100"/>
        </a:p>
      </xdr:txBody>
    </xdr:sp>
    <xdr:clientData/>
  </xdr:twoCellAnchor>
  <xdr:twoCellAnchor editAs="oneCell">
    <xdr:from>
      <xdr:col>10</xdr:col>
      <xdr:colOff>929640</xdr:colOff>
      <xdr:row>9</xdr:row>
      <xdr:rowOff>151765</xdr:rowOff>
    </xdr:from>
    <xdr:to>
      <xdr:col>20</xdr:col>
      <xdr:colOff>379274</xdr:colOff>
      <xdr:row>26</xdr:row>
      <xdr:rowOff>1633</xdr:rowOff>
    </xdr:to>
    <xdr:pic>
      <xdr:nvPicPr>
        <xdr:cNvPr id="3" name="Picture 2">
          <a:extLst>
            <a:ext uri="{FF2B5EF4-FFF2-40B4-BE49-F238E27FC236}">
              <a16:creationId xmlns:a16="http://schemas.microsoft.com/office/drawing/2014/main" id="{B2A5AFFB-AC55-0947-2A65-D29C231C9001}"/>
            </a:ext>
          </a:extLst>
        </xdr:cNvPr>
        <xdr:cNvPicPr>
          <a:picLocks noChangeAspect="1"/>
        </xdr:cNvPicPr>
      </xdr:nvPicPr>
      <xdr:blipFill>
        <a:blip xmlns:r="http://schemas.openxmlformats.org/officeDocument/2006/relationships" r:embed="rId1"/>
        <a:stretch>
          <a:fillRect/>
        </a:stretch>
      </xdr:blipFill>
      <xdr:spPr>
        <a:xfrm>
          <a:off x="6974840" y="1614805"/>
          <a:ext cx="6439714" cy="2610848"/>
        </a:xfrm>
        <a:prstGeom prst="rect">
          <a:avLst/>
        </a:prstGeom>
      </xdr:spPr>
    </xdr:pic>
    <xdr:clientData/>
  </xdr:twoCellAnchor>
  <xdr:twoCellAnchor>
    <xdr:from>
      <xdr:col>1</xdr:col>
      <xdr:colOff>0</xdr:colOff>
      <xdr:row>0</xdr:row>
      <xdr:rowOff>0</xdr:rowOff>
    </xdr:from>
    <xdr:to>
      <xdr:col>5</xdr:col>
      <xdr:colOff>294155</xdr:colOff>
      <xdr:row>2</xdr:row>
      <xdr:rowOff>19610</xdr:rowOff>
    </xdr:to>
    <xdr:sp macro="" textlink="">
      <xdr:nvSpPr>
        <xdr:cNvPr id="4" name="Text 2">
          <a:extLst>
            <a:ext uri="{FF2B5EF4-FFF2-40B4-BE49-F238E27FC236}">
              <a16:creationId xmlns:a16="http://schemas.microsoft.com/office/drawing/2014/main" id="{DD043858-F3AF-49F0-9021-B659404757A6}"/>
            </a:ext>
          </a:extLst>
        </xdr:cNvPr>
        <xdr:cNvSpPr>
          <a:spLocks noChangeArrowheads="1"/>
        </xdr:cNvSpPr>
      </xdr:nvSpPr>
      <xdr:spPr bwMode="auto">
        <a:xfrm>
          <a:off x="605118" y="0"/>
          <a:ext cx="2714625" cy="333375"/>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9525">
          <a:solidFill>
            <a:srgbClr xmlns:mc="http://schemas.openxmlformats.org/markup-compatibility/2006" xmlns:a14="http://schemas.microsoft.com/office/drawing/2010/main" val="000000" mc:Ignorable="a14" a14:legacySpreadsheetColorIndex="64"/>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Blood Bank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38735</xdr:colOff>
      <xdr:row>0</xdr:row>
      <xdr:rowOff>0</xdr:rowOff>
    </xdr:from>
    <xdr:to>
      <xdr:col>21</xdr:col>
      <xdr:colOff>153035</xdr:colOff>
      <xdr:row>10</xdr:row>
      <xdr:rowOff>19050</xdr:rowOff>
    </xdr:to>
    <xdr:sp macro="" textlink="">
      <xdr:nvSpPr>
        <xdr:cNvPr id="2" name="TextBox 1">
          <a:extLst>
            <a:ext uri="{FF2B5EF4-FFF2-40B4-BE49-F238E27FC236}">
              <a16:creationId xmlns:a16="http://schemas.microsoft.com/office/drawing/2014/main" id="{15FA0291-CDEE-8445-BDE6-91345AB1AA35}"/>
            </a:ext>
          </a:extLst>
        </xdr:cNvPr>
        <xdr:cNvSpPr txBox="1"/>
      </xdr:nvSpPr>
      <xdr:spPr>
        <a:xfrm>
          <a:off x="6312535" y="0"/>
          <a:ext cx="6845300" cy="167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blood bank wants to determine the least expensive way to transport available blood donations from Pittsburgh and Staunton to hospitals in Charleston, Roanoke, Richmond, Norfolk, and Suffolk. The supply and demand for donated blood is shown below</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along with the unit cost of shipping along each possible arc.</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 Create a spreadsheet model for this problem.</a:t>
          </a:r>
        </a:p>
        <a:p>
          <a:r>
            <a:rPr lang="en-US" sz="1100" b="0" i="0">
              <a:solidFill>
                <a:schemeClr val="dk1"/>
              </a:solidFill>
              <a:effectLst/>
              <a:latin typeface="+mn-lt"/>
              <a:ea typeface="+mn-ea"/>
              <a:cs typeface="+mn-cs"/>
            </a:rPr>
            <a:t>B.  What is the optimal solution?</a:t>
          </a:r>
        </a:p>
        <a:p>
          <a:r>
            <a:rPr lang="en-US" sz="1100" b="0" i="0">
              <a:solidFill>
                <a:schemeClr val="dk1"/>
              </a:solidFill>
              <a:effectLst/>
              <a:latin typeface="+mn-lt"/>
              <a:ea typeface="+mn-ea"/>
              <a:cs typeface="+mn-cs"/>
            </a:rPr>
            <a:t>C,  Suppose that no more than 1,000 units of blood can be transported over any one arc. What is the optimal solution to this revised problem.  Duplicate</a:t>
          </a:r>
          <a:r>
            <a:rPr lang="en-US" sz="1100" b="0" i="0" baseline="0">
              <a:solidFill>
                <a:schemeClr val="dk1"/>
              </a:solidFill>
              <a:effectLst/>
              <a:latin typeface="+mn-lt"/>
              <a:ea typeface="+mn-ea"/>
              <a:cs typeface="+mn-cs"/>
            </a:rPr>
            <a:t> this sheet and create a new one - titled "1C"</a:t>
          </a:r>
          <a:br>
            <a:rPr lang="en-US"/>
          </a:br>
          <a:endParaRPr lang="en-US" sz="1100"/>
        </a:p>
      </xdr:txBody>
    </xdr:sp>
    <xdr:clientData/>
  </xdr:twoCellAnchor>
  <xdr:twoCellAnchor editAs="oneCell">
    <xdr:from>
      <xdr:col>10</xdr:col>
      <xdr:colOff>929640</xdr:colOff>
      <xdr:row>9</xdr:row>
      <xdr:rowOff>151765</xdr:rowOff>
    </xdr:from>
    <xdr:to>
      <xdr:col>20</xdr:col>
      <xdr:colOff>379274</xdr:colOff>
      <xdr:row>25</xdr:row>
      <xdr:rowOff>161653</xdr:rowOff>
    </xdr:to>
    <xdr:pic>
      <xdr:nvPicPr>
        <xdr:cNvPr id="3" name="Picture 2">
          <a:extLst>
            <a:ext uri="{FF2B5EF4-FFF2-40B4-BE49-F238E27FC236}">
              <a16:creationId xmlns:a16="http://schemas.microsoft.com/office/drawing/2014/main" id="{E92C0870-C342-2049-B15C-FFE8745843B8}"/>
            </a:ext>
          </a:extLst>
        </xdr:cNvPr>
        <xdr:cNvPicPr>
          <a:picLocks noChangeAspect="1"/>
        </xdr:cNvPicPr>
      </xdr:nvPicPr>
      <xdr:blipFill>
        <a:blip xmlns:r="http://schemas.openxmlformats.org/officeDocument/2006/relationships" r:embed="rId1"/>
        <a:stretch>
          <a:fillRect/>
        </a:stretch>
      </xdr:blipFill>
      <xdr:spPr>
        <a:xfrm>
          <a:off x="6250940" y="1637665"/>
          <a:ext cx="6460034" cy="2651488"/>
        </a:xfrm>
        <a:prstGeom prst="rect">
          <a:avLst/>
        </a:prstGeom>
      </xdr:spPr>
    </xdr:pic>
    <xdr:clientData/>
  </xdr:twoCellAnchor>
  <xdr:twoCellAnchor>
    <xdr:from>
      <xdr:col>1</xdr:col>
      <xdr:colOff>0</xdr:colOff>
      <xdr:row>0</xdr:row>
      <xdr:rowOff>0</xdr:rowOff>
    </xdr:from>
    <xdr:to>
      <xdr:col>5</xdr:col>
      <xdr:colOff>294155</xdr:colOff>
      <xdr:row>2</xdr:row>
      <xdr:rowOff>19610</xdr:rowOff>
    </xdr:to>
    <xdr:sp macro="" textlink="">
      <xdr:nvSpPr>
        <xdr:cNvPr id="4" name="Text 2">
          <a:extLst>
            <a:ext uri="{FF2B5EF4-FFF2-40B4-BE49-F238E27FC236}">
              <a16:creationId xmlns:a16="http://schemas.microsoft.com/office/drawing/2014/main" id="{8289A2AC-DB1A-2543-8E96-85D0D987B5D3}"/>
            </a:ext>
          </a:extLst>
        </xdr:cNvPr>
        <xdr:cNvSpPr>
          <a:spLocks noChangeArrowheads="1"/>
        </xdr:cNvSpPr>
      </xdr:nvSpPr>
      <xdr:spPr bwMode="auto">
        <a:xfrm>
          <a:off x="558800" y="0"/>
          <a:ext cx="2199155" cy="349810"/>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9525">
          <a:solidFill>
            <a:srgbClr xmlns:mc="http://schemas.openxmlformats.org/markup-compatibility/2006" xmlns:a14="http://schemas.microsoft.com/office/drawing/2010/main" val="000000" mc:Ignorable="a14" a14:legacySpreadsheetColorIndex="64"/>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Blood Bank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216477</xdr:colOff>
      <xdr:row>1</xdr:row>
      <xdr:rowOff>12988</xdr:rowOff>
    </xdr:from>
    <xdr:to>
      <xdr:col>11</xdr:col>
      <xdr:colOff>216478</xdr:colOff>
      <xdr:row>3</xdr:row>
      <xdr:rowOff>0</xdr:rowOff>
    </xdr:to>
    <xdr:sp macro="" textlink="">
      <xdr:nvSpPr>
        <xdr:cNvPr id="2" name="Text 2">
          <a:extLst>
            <a:ext uri="{FF2B5EF4-FFF2-40B4-BE49-F238E27FC236}">
              <a16:creationId xmlns:a16="http://schemas.microsoft.com/office/drawing/2014/main" id="{58BA2D7A-3027-44E9-AC12-77DE25F48AC0}"/>
            </a:ext>
          </a:extLst>
        </xdr:cNvPr>
        <xdr:cNvSpPr>
          <a:spLocks noChangeArrowheads="1"/>
        </xdr:cNvSpPr>
      </xdr:nvSpPr>
      <xdr:spPr bwMode="auto">
        <a:xfrm>
          <a:off x="3331152" y="174913"/>
          <a:ext cx="1752601" cy="310862"/>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9525">
          <a:solidFill>
            <a:srgbClr xmlns:mc="http://schemas.openxmlformats.org/markup-compatibility/2006" xmlns:a14="http://schemas.microsoft.com/office/drawing/2010/main" val="000000" mc:Ignorable="a14" a14:legacySpreadsheetColorIndex="64"/>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7432" rIns="27432" bIns="27432" anchor="ctr" upright="1"/>
        <a:lstStyle/>
        <a:p>
          <a:pPr algn="ctr" rtl="0">
            <a:defRPr sz="1000"/>
          </a:pPr>
          <a:r>
            <a:rPr lang="en-US" sz="1000" b="1" i="0" u="none" strike="noStrike" baseline="0">
              <a:solidFill>
                <a:srgbClr val="000000"/>
              </a:solidFill>
              <a:latin typeface="Arial"/>
              <a:cs typeface="Arial"/>
            </a:rPr>
            <a:t>ABC Sorority</a:t>
          </a:r>
        </a:p>
      </xdr:txBody>
    </xdr:sp>
    <xdr:clientData/>
  </xdr:twoCellAnchor>
  <xdr:twoCellAnchor>
    <xdr:from>
      <xdr:col>19</xdr:col>
      <xdr:colOff>231198</xdr:colOff>
      <xdr:row>0</xdr:row>
      <xdr:rowOff>10160</xdr:rowOff>
    </xdr:from>
    <xdr:to>
      <xdr:col>26</xdr:col>
      <xdr:colOff>8082</xdr:colOff>
      <xdr:row>31</xdr:row>
      <xdr:rowOff>68580</xdr:rowOff>
    </xdr:to>
    <xdr:sp macro="" textlink="">
      <xdr:nvSpPr>
        <xdr:cNvPr id="4" name="TextBox 3">
          <a:extLst>
            <a:ext uri="{FF2B5EF4-FFF2-40B4-BE49-F238E27FC236}">
              <a16:creationId xmlns:a16="http://schemas.microsoft.com/office/drawing/2014/main" id="{1B938079-8793-BD21-304B-ED463D8A7330}"/>
            </a:ext>
          </a:extLst>
        </xdr:cNvPr>
        <xdr:cNvSpPr txBox="1"/>
      </xdr:nvSpPr>
      <xdr:spPr>
        <a:xfrm>
          <a:off x="4856538" y="10160"/>
          <a:ext cx="4044084" cy="5019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As rush coordinator for the Alpha Beta Chi (ABC) sorority, Kim Wong asked each pledge to identify five existing members of ABC whom she would most like to have as a big sister. Kim then asks the pledges to rank order these potential big sisters from 5 down to 1, where 5 represents the person they most want as a big sister, 4 represents their next choice, and so on. These rankings are summarized in the following table.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After much consideration, Kim decides that this problem is similar to some of the problems she encountered in a business analytics class she took during her sophomore year. She knows that every pledge must be assigned a big sister, and each potential big sister can be assigned no more than one pledge. Ideally, Kim wants to assign each pledge to the big sister to whom she gave a ranking of 5. The sum of the rankings for such an assignment is 25 because each of the 5 pledges would be assigned to the big sister they ranked as number 5. But in the previous table, that would involve assigning pledges 2 and 4 to the same big sister, which is not allowable. Kim figures that the next best strategy is to determine the assignment that maximizes the sum of the rankings.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Which pledges should be assigned to which big sisters?</a:t>
          </a:r>
        </a:p>
        <a:p>
          <a:br>
            <a:rPr lang="en-US" sz="1100"/>
          </a:br>
          <a:r>
            <a:rPr lang="en-US" sz="1100"/>
            <a:t>Ans</a:t>
          </a:r>
          <a:br>
            <a:rPr lang="en-US" sz="1100"/>
          </a:br>
          <a:r>
            <a:rPr lang="en-US" sz="1100"/>
            <a:t>P1-&gt;</a:t>
          </a:r>
          <a:r>
            <a:rPr lang="en-US" sz="1100" baseline="0"/>
            <a:t> S15</a:t>
          </a:r>
          <a:br>
            <a:rPr lang="en-US" sz="1100" baseline="0"/>
          </a:br>
          <a:r>
            <a:rPr lang="en-US" sz="1100" baseline="0"/>
            <a:t>P2</a:t>
          </a:r>
          <a:r>
            <a:rPr lang="en-US" sz="1100"/>
            <a:t>-&gt;S2</a:t>
          </a:r>
          <a:br>
            <a:rPr lang="en-US" sz="1100"/>
          </a:br>
          <a:r>
            <a:rPr lang="en-US" sz="1100"/>
            <a:t>P3-&gt;S8</a:t>
          </a:r>
          <a:br>
            <a:rPr lang="en-US" sz="1100"/>
          </a:br>
          <a:r>
            <a:rPr lang="en-US" sz="1100"/>
            <a:t>P4-&gt;S3</a:t>
          </a:r>
          <a:br>
            <a:rPr lang="en-US" sz="1100"/>
          </a:br>
          <a:r>
            <a:rPr lang="en-US" sz="1100"/>
            <a:t>P5-&gt;S5</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390525</xdr:colOff>
      <xdr:row>15</xdr:row>
      <xdr:rowOff>85725</xdr:rowOff>
    </xdr:from>
    <xdr:to>
      <xdr:col>6</xdr:col>
      <xdr:colOff>809625</xdr:colOff>
      <xdr:row>19</xdr:row>
      <xdr:rowOff>95250</xdr:rowOff>
    </xdr:to>
    <xdr:sp macro="" textlink="">
      <xdr:nvSpPr>
        <xdr:cNvPr id="1027" name="Note" hidden="1">
          <a:extLst>
            <a:ext uri="{FF2B5EF4-FFF2-40B4-BE49-F238E27FC236}">
              <a16:creationId xmlns:a16="http://schemas.microsoft.com/office/drawing/2014/main" id="{00000000-0008-0000-0000-000003040000}"/>
            </a:ext>
          </a:extLst>
        </xdr:cNvPr>
        <xdr:cNvSpPr txBox="1">
          <a:spLocks noChangeArrowheads="1"/>
        </xdr:cNvSpPr>
      </xdr:nvSpPr>
      <xdr:spPr bwMode="auto">
        <a:xfrm>
          <a:off x="2790825" y="2543175"/>
          <a:ext cx="2019300" cy="6858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lnSpc>
              <a:spcPts val="1000"/>
            </a:lnSpc>
            <a:defRPr sz="1000"/>
          </a:pPr>
          <a:r>
            <a:rPr lang="en-US" sz="1000" b="0" i="0" u="none" strike="noStrike" baseline="0">
              <a:solidFill>
                <a:srgbClr val="000000"/>
              </a:solidFill>
              <a:latin typeface="Fixedsys"/>
            </a:rPr>
            <a:t>Minimize:    E16</a:t>
          </a:r>
        </a:p>
        <a:p>
          <a:pPr algn="l" rtl="0">
            <a:lnSpc>
              <a:spcPts val="1000"/>
            </a:lnSpc>
            <a:defRPr sz="1000"/>
          </a:pPr>
          <a:r>
            <a:rPr lang="en-US" sz="1000" b="0" i="0" u="none" strike="noStrike" baseline="0">
              <a:solidFill>
                <a:srgbClr val="000000"/>
              </a:solidFill>
              <a:latin typeface="Fixedsys"/>
            </a:rPr>
            <a:t>By changing: B6:B14</a:t>
          </a:r>
        </a:p>
        <a:p>
          <a:pPr algn="l" rtl="0">
            <a:lnSpc>
              <a:spcPts val="1000"/>
            </a:lnSpc>
            <a:defRPr sz="1000"/>
          </a:pPr>
          <a:r>
            <a:rPr lang="en-US" sz="1000" b="0" i="0" u="none" strike="noStrike" baseline="0">
              <a:solidFill>
                <a:srgbClr val="000000"/>
              </a:solidFill>
              <a:latin typeface="Fixedsys"/>
            </a:rPr>
            <a:t>Subject to:  H6:H15&gt;=I6:I15</a:t>
          </a:r>
        </a:p>
        <a:p>
          <a:pPr algn="l" rtl="0">
            <a:lnSpc>
              <a:spcPts val="1000"/>
            </a:lnSpc>
            <a:defRPr sz="1000"/>
          </a:pPr>
          <a:r>
            <a:rPr lang="en-US" sz="1000" b="0" i="0" u="none" strike="noStrike" baseline="0">
              <a:solidFill>
                <a:srgbClr val="000000"/>
              </a:solidFill>
              <a:latin typeface="Fixedsys"/>
            </a:rPr>
            <a:t>             B6:B14&gt;=A6:A14</a:t>
          </a:r>
        </a:p>
        <a:p>
          <a:pPr algn="l" rtl="0">
            <a:lnSpc>
              <a:spcPts val="1000"/>
            </a:lnSpc>
            <a:defRPr sz="1000"/>
          </a:pPr>
          <a:r>
            <a:rPr lang="en-US" sz="1000" b="0" i="0" u="none" strike="noStrike" baseline="0">
              <a:solidFill>
                <a:srgbClr val="000000"/>
              </a:solidFill>
              <a:latin typeface="Fixedsys"/>
            </a:rPr>
            <a:t>                 </a:t>
          </a:r>
        </a:p>
        <a:p>
          <a:pPr algn="l" rtl="0">
            <a:lnSpc>
              <a:spcPts val="1000"/>
            </a:lnSpc>
            <a:defRPr sz="1000"/>
          </a:pPr>
          <a:endParaRPr lang="en-US" sz="1000" b="0" i="0" u="none" strike="noStrike" baseline="0">
            <a:solidFill>
              <a:srgbClr val="000000"/>
            </a:solidFill>
            <a:latin typeface="Fixedsys"/>
          </a:endParaRPr>
        </a:p>
      </xdr:txBody>
    </xdr:sp>
    <xdr:clientData/>
  </xdr:twoCellAnchor>
  <xdr:twoCellAnchor>
    <xdr:from>
      <xdr:col>10</xdr:col>
      <xdr:colOff>17319</xdr:colOff>
      <xdr:row>0</xdr:row>
      <xdr:rowOff>0</xdr:rowOff>
    </xdr:from>
    <xdr:to>
      <xdr:col>19</xdr:col>
      <xdr:colOff>25978</xdr:colOff>
      <xdr:row>14</xdr:row>
      <xdr:rowOff>0</xdr:rowOff>
    </xdr:to>
    <xdr:sp macro="" textlink="">
      <xdr:nvSpPr>
        <xdr:cNvPr id="2" name="TextBox 1">
          <a:extLst>
            <a:ext uri="{FF2B5EF4-FFF2-40B4-BE49-F238E27FC236}">
              <a16:creationId xmlns:a16="http://schemas.microsoft.com/office/drawing/2014/main" id="{3488408D-2BEF-2721-4F5D-5EFF2E50C8CB}"/>
            </a:ext>
          </a:extLst>
        </xdr:cNvPr>
        <xdr:cNvSpPr txBox="1"/>
      </xdr:nvSpPr>
      <xdr:spPr>
        <a:xfrm>
          <a:off x="8001001" y="0"/>
          <a:ext cx="5308022" cy="23033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 used-car broker needs to transport his inventory of cars from locations 1 and 2 (shown</a:t>
          </a:r>
          <a:r>
            <a:rPr lang="en-US" sz="1100" b="0" i="0" baseline="0">
              <a:solidFill>
                <a:schemeClr val="dk1"/>
              </a:solidFill>
              <a:effectLst/>
              <a:latin typeface="+mn-lt"/>
              <a:ea typeface="+mn-ea"/>
              <a:cs typeface="+mn-cs"/>
            </a:rPr>
            <a:t> in the figure( </a:t>
          </a:r>
          <a:r>
            <a:rPr lang="en-US" sz="1100" b="0" i="0">
              <a:solidFill>
                <a:schemeClr val="dk1"/>
              </a:solidFill>
              <a:effectLst/>
              <a:latin typeface="+mn-lt"/>
              <a:ea typeface="+mn-ea"/>
              <a:cs typeface="+mn-cs"/>
            </a:rPr>
            <a:t>to used-car auctions being held at locations 4 and 5. The costs of transporting cars along each of the routes are indicated on the arcs. The trucks used to carry the cars can hold a maximum of 10 cars. Therefore, the maximum number of cars that can flow over any arc is 10.</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A.  Formulate an LP model to determine the least costly method of distributing the cars from locations 1 and 2 so that 20 cars will be available for sale at location 4, and 10 cars will be available for sale at location 5.</a:t>
          </a:r>
        </a:p>
        <a:p>
          <a:r>
            <a:rPr lang="en-US" sz="1100" b="0" i="0">
              <a:solidFill>
                <a:schemeClr val="dk1"/>
              </a:solidFill>
              <a:effectLst/>
              <a:latin typeface="+mn-lt"/>
              <a:ea typeface="+mn-ea"/>
              <a:cs typeface="+mn-cs"/>
            </a:rPr>
            <a:t>What is the optimal solution to this problem?</a:t>
          </a:r>
        </a:p>
        <a:p>
          <a:endParaRPr lang="en-US" sz="1100"/>
        </a:p>
      </xdr:txBody>
    </xdr:sp>
    <xdr:clientData/>
  </xdr:twoCellAnchor>
  <xdr:twoCellAnchor editAs="oneCell">
    <xdr:from>
      <xdr:col>5</xdr:col>
      <xdr:colOff>0</xdr:colOff>
      <xdr:row>25</xdr:row>
      <xdr:rowOff>0</xdr:rowOff>
    </xdr:from>
    <xdr:to>
      <xdr:col>5</xdr:col>
      <xdr:colOff>304800</xdr:colOff>
      <xdr:row>26</xdr:row>
      <xdr:rowOff>142875</xdr:rowOff>
    </xdr:to>
    <xdr:sp macro="" textlink="">
      <xdr:nvSpPr>
        <xdr:cNvPr id="1025" name="AutoShape 1">
          <a:extLst>
            <a:ext uri="{FF2B5EF4-FFF2-40B4-BE49-F238E27FC236}">
              <a16:creationId xmlns:a16="http://schemas.microsoft.com/office/drawing/2014/main" id="{147CBCD9-901D-7DFD-6C79-9E8460572BC2}"/>
            </a:ext>
          </a:extLst>
        </xdr:cNvPr>
        <xdr:cNvSpPr>
          <a:spLocks noChangeAspect="1" noChangeArrowheads="1"/>
        </xdr:cNvSpPr>
      </xdr:nvSpPr>
      <xdr:spPr bwMode="auto">
        <a:xfrm>
          <a:off x="3638550" y="404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24</xdr:row>
      <xdr:rowOff>0</xdr:rowOff>
    </xdr:from>
    <xdr:to>
      <xdr:col>3</xdr:col>
      <xdr:colOff>304800</xdr:colOff>
      <xdr:row>25</xdr:row>
      <xdr:rowOff>142875</xdr:rowOff>
    </xdr:to>
    <xdr:sp macro="" textlink="">
      <xdr:nvSpPr>
        <xdr:cNvPr id="3" name="AutoShape 2">
          <a:extLst>
            <a:ext uri="{FF2B5EF4-FFF2-40B4-BE49-F238E27FC236}">
              <a16:creationId xmlns:a16="http://schemas.microsoft.com/office/drawing/2014/main" id="{0A787E26-6BA2-E3A1-2136-A06467C09BC5}"/>
            </a:ext>
          </a:extLst>
        </xdr:cNvPr>
        <xdr:cNvSpPr>
          <a:spLocks noChangeAspect="1" noChangeArrowheads="1"/>
        </xdr:cNvSpPr>
      </xdr:nvSpPr>
      <xdr:spPr bwMode="auto">
        <a:xfrm>
          <a:off x="2400300" y="388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580159</xdr:colOff>
      <xdr:row>14</xdr:row>
      <xdr:rowOff>66387</xdr:rowOff>
    </xdr:from>
    <xdr:to>
      <xdr:col>19</xdr:col>
      <xdr:colOff>37657</xdr:colOff>
      <xdr:row>29</xdr:row>
      <xdr:rowOff>142075</xdr:rowOff>
    </xdr:to>
    <xdr:pic>
      <xdr:nvPicPr>
        <xdr:cNvPr id="4" name="Picture 3">
          <a:extLst>
            <a:ext uri="{FF2B5EF4-FFF2-40B4-BE49-F238E27FC236}">
              <a16:creationId xmlns:a16="http://schemas.microsoft.com/office/drawing/2014/main" id="{A77E0572-4020-F4C5-3DDC-8596D6064AEF}"/>
            </a:ext>
          </a:extLst>
        </xdr:cNvPr>
        <xdr:cNvPicPr>
          <a:picLocks noChangeAspect="1"/>
        </xdr:cNvPicPr>
      </xdr:nvPicPr>
      <xdr:blipFill>
        <a:blip xmlns:r="http://schemas.openxmlformats.org/officeDocument/2006/relationships" r:embed="rId1"/>
        <a:stretch>
          <a:fillRect/>
        </a:stretch>
      </xdr:blipFill>
      <xdr:spPr>
        <a:xfrm>
          <a:off x="6251864" y="2369705"/>
          <a:ext cx="5345680" cy="2543529"/>
        </a:xfrm>
        <a:prstGeom prst="rect">
          <a:avLst/>
        </a:prstGeom>
      </xdr:spPr>
    </xdr:pic>
    <xdr:clientData/>
  </xdr:twoCellAnchor>
  <xdr:twoCellAnchor>
    <xdr:from>
      <xdr:col>2</xdr:col>
      <xdr:colOff>0</xdr:colOff>
      <xdr:row>0</xdr:row>
      <xdr:rowOff>0</xdr:rowOff>
    </xdr:from>
    <xdr:to>
      <xdr:col>4</xdr:col>
      <xdr:colOff>16452</xdr:colOff>
      <xdr:row>1</xdr:row>
      <xdr:rowOff>111702</xdr:rowOff>
    </xdr:to>
    <xdr:sp macro="" textlink="">
      <xdr:nvSpPr>
        <xdr:cNvPr id="5" name="Text 2">
          <a:extLst>
            <a:ext uri="{FF2B5EF4-FFF2-40B4-BE49-F238E27FC236}">
              <a16:creationId xmlns:a16="http://schemas.microsoft.com/office/drawing/2014/main" id="{61B21FF9-D06A-4AD6-BD17-8E07571E206F}"/>
            </a:ext>
          </a:extLst>
        </xdr:cNvPr>
        <xdr:cNvSpPr>
          <a:spLocks noChangeArrowheads="1"/>
        </xdr:cNvSpPr>
      </xdr:nvSpPr>
      <xdr:spPr bwMode="auto">
        <a:xfrm>
          <a:off x="1316182" y="0"/>
          <a:ext cx="1800225" cy="276225"/>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1">
          <a:solidFill>
            <a:srgbClr xmlns:mc="http://schemas.openxmlformats.org/markup-compatibility/2006" xmlns:a14="http://schemas.microsoft.com/office/drawing/2010/main" val="000000" mc:Ignorable="a14" a14:legacySpreadsheetColorIndex="8"/>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Car Transport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524741</xdr:colOff>
      <xdr:row>2</xdr:row>
      <xdr:rowOff>14720</xdr:rowOff>
    </xdr:to>
    <xdr:sp macro="" textlink="">
      <xdr:nvSpPr>
        <xdr:cNvPr id="5" name="Text 2">
          <a:extLst>
            <a:ext uri="{FF2B5EF4-FFF2-40B4-BE49-F238E27FC236}">
              <a16:creationId xmlns:a16="http://schemas.microsoft.com/office/drawing/2014/main" id="{B10FBCFA-74BE-4FAF-A5B8-2C138E8E4190}"/>
            </a:ext>
          </a:extLst>
        </xdr:cNvPr>
        <xdr:cNvSpPr>
          <a:spLocks noChangeArrowheads="1"/>
        </xdr:cNvSpPr>
      </xdr:nvSpPr>
      <xdr:spPr bwMode="auto">
        <a:xfrm>
          <a:off x="0" y="0"/>
          <a:ext cx="2086841" cy="338570"/>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9525">
          <a:solidFill>
            <a:srgbClr xmlns:mc="http://schemas.openxmlformats.org/markup-compatibility/2006" xmlns:a14="http://schemas.microsoft.com/office/drawing/2010/main" val="000000" mc:Ignorable="a14" a14:legacySpreadsheetColorIndex="64"/>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7432" rIns="27432" bIns="27432" anchor="ctr" upright="1"/>
        <a:lstStyle/>
        <a:p>
          <a:pPr algn="ctr" rtl="0">
            <a:defRPr sz="1000"/>
          </a:pPr>
          <a:r>
            <a:rPr lang="en-US" sz="1000" b="1" i="0" u="none" strike="noStrike" baseline="0">
              <a:solidFill>
                <a:srgbClr val="000000"/>
              </a:solidFill>
              <a:latin typeface="Arial"/>
              <a:ea typeface="+mn-ea"/>
              <a:cs typeface="Arial"/>
            </a:rPr>
            <a:t>Trejo</a:t>
          </a:r>
          <a:r>
            <a:rPr lang="en-US" sz="1000">
              <a:effectLst/>
              <a:latin typeface="+mn-lt"/>
              <a:ea typeface="+mn-ea"/>
              <a:cs typeface="+mn-cs"/>
            </a:rPr>
            <a:t> </a:t>
          </a:r>
          <a:r>
            <a:rPr lang="en-US" sz="1000" b="1" i="0" u="none" strike="noStrike" baseline="0">
              <a:solidFill>
                <a:srgbClr val="000000"/>
              </a:solidFill>
              <a:latin typeface="Arial"/>
              <a:cs typeface="Arial"/>
            </a:rPr>
            <a:t> Manufacturing</a:t>
          </a:r>
        </a:p>
      </xdr:txBody>
    </xdr:sp>
    <xdr:clientData/>
  </xdr:twoCellAnchor>
  <xdr:twoCellAnchor>
    <xdr:from>
      <xdr:col>12</xdr:col>
      <xdr:colOff>28575</xdr:colOff>
      <xdr:row>0</xdr:row>
      <xdr:rowOff>76200</xdr:rowOff>
    </xdr:from>
    <xdr:to>
      <xdr:col>28</xdr:col>
      <xdr:colOff>123825</xdr:colOff>
      <xdr:row>27</xdr:row>
      <xdr:rowOff>133350</xdr:rowOff>
    </xdr:to>
    <xdr:sp macro="" textlink="">
      <xdr:nvSpPr>
        <xdr:cNvPr id="6" name="TextBox 5">
          <a:extLst>
            <a:ext uri="{FF2B5EF4-FFF2-40B4-BE49-F238E27FC236}">
              <a16:creationId xmlns:a16="http://schemas.microsoft.com/office/drawing/2014/main" id="{5650B2B5-3388-4022-972C-CDC7F2BA722B}"/>
            </a:ext>
          </a:extLst>
        </xdr:cNvPr>
        <xdr:cNvSpPr txBox="1"/>
      </xdr:nvSpPr>
      <xdr:spPr>
        <a:xfrm>
          <a:off x="6429375" y="76200"/>
          <a:ext cx="6191250" cy="4905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Trejo Manufacturing makes a variety of household appliances at a single manufacturing facility. The expected demand for one of these appliances during the next 4 months is shown in the following table along with the expected production costs and the expected capacity for producing these items.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Trejo estimates that it costs $1.50 per month for each unit of this appliance carried in inventory at the end of each month. Currently, Trejo has 120 units in inventory on hand for this product. To maintain a level workforce, the company wants to produce at least 400 units per month. They also want to maintain a safety stock of at least 50 units per month. Trejo wants to determine how many of each appliance to manufacture during each of the next 4 months to meet the expected demand at the lowest possible total cost.</a:t>
          </a:r>
        </a:p>
        <a:p>
          <a:r>
            <a:rPr lang="en-US" sz="1100" b="0" i="0">
              <a:solidFill>
                <a:schemeClr val="dk1"/>
              </a:solidFill>
              <a:effectLst/>
              <a:latin typeface="+mn-lt"/>
              <a:ea typeface="+mn-ea"/>
              <a:cs typeface="+mn-cs"/>
            </a:rPr>
            <a:t>A. Draw a network flow model for this problem.</a:t>
          </a:r>
        </a:p>
        <a:p>
          <a:r>
            <a:rPr lang="en-US" sz="1100" b="0" i="0">
              <a:solidFill>
                <a:schemeClr val="dk1"/>
              </a:solidFill>
              <a:effectLst/>
              <a:latin typeface="+mn-lt"/>
              <a:ea typeface="+mn-ea"/>
              <a:cs typeface="+mn-cs"/>
            </a:rPr>
            <a:t>B. Create a spreadsheet model for this problem and solve it using Solver.</a:t>
          </a:r>
        </a:p>
        <a:p>
          <a:r>
            <a:rPr lang="en-US" sz="1100" b="0" i="0">
              <a:solidFill>
                <a:schemeClr val="dk1"/>
              </a:solidFill>
              <a:effectLst/>
              <a:latin typeface="+mn-lt"/>
              <a:ea typeface="+mn-ea"/>
              <a:cs typeface="+mn-cs"/>
            </a:rPr>
            <a:t>C. What is the optimal solution?</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Hint:  You want to create</a:t>
          </a:r>
          <a:r>
            <a:rPr lang="en-US" sz="1100" b="0" i="0" baseline="0">
              <a:solidFill>
                <a:schemeClr val="dk1"/>
              </a:solidFill>
              <a:effectLst/>
              <a:latin typeface="+mn-lt"/>
              <a:ea typeface="+mn-ea"/>
              <a:cs typeface="+mn-cs"/>
            </a:rPr>
            <a:t> the following notdes:</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1.  A beginning and ending inventory (start and end)</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2.  4 Production Nodes (Supply)</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3. 4 Demand Nodes </a:t>
          </a:r>
          <a:br>
            <a:rPr lang="en-US" sz="1100" b="0" i="0" baseline="0">
              <a:solidFill>
                <a:schemeClr val="dk1"/>
              </a:solidFill>
              <a:effectLst/>
              <a:latin typeface="+mn-lt"/>
              <a:ea typeface="+mn-ea"/>
              <a:cs typeface="+mn-cs"/>
            </a:rPr>
          </a:b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Here is a start for you....</a:t>
          </a:r>
          <a:endParaRPr lang="en-US" sz="1100" b="0" i="0">
            <a:solidFill>
              <a:schemeClr val="dk1"/>
            </a:solidFill>
            <a:effectLst/>
            <a:latin typeface="+mn-lt"/>
            <a:ea typeface="+mn-ea"/>
            <a:cs typeface="+mn-cs"/>
          </a:endParaRPr>
        </a:p>
        <a:p>
          <a:endParaRPr lang="en-US" sz="1100"/>
        </a:p>
      </xdr:txBody>
    </xdr:sp>
    <xdr:clientData/>
  </xdr:twoCellAnchor>
  <xdr:twoCellAnchor editAs="oneCell">
    <xdr:from>
      <xdr:col>21</xdr:col>
      <xdr:colOff>209550</xdr:colOff>
      <xdr:row>10</xdr:row>
      <xdr:rowOff>57853</xdr:rowOff>
    </xdr:from>
    <xdr:to>
      <xdr:col>27</xdr:col>
      <xdr:colOff>238323</xdr:colOff>
      <xdr:row>27</xdr:row>
      <xdr:rowOff>85963</xdr:rowOff>
    </xdr:to>
    <xdr:pic>
      <xdr:nvPicPr>
        <xdr:cNvPr id="7" name="Picture 6">
          <a:extLst>
            <a:ext uri="{FF2B5EF4-FFF2-40B4-BE49-F238E27FC236}">
              <a16:creationId xmlns:a16="http://schemas.microsoft.com/office/drawing/2014/main" id="{F2236234-1F84-4C85-87CA-B9BA1F4432F4}"/>
            </a:ext>
          </a:extLst>
        </xdr:cNvPr>
        <xdr:cNvPicPr>
          <a:picLocks noChangeAspect="1"/>
        </xdr:cNvPicPr>
      </xdr:nvPicPr>
      <xdr:blipFill>
        <a:blip xmlns:r="http://schemas.openxmlformats.org/officeDocument/2006/relationships" r:embed="rId1"/>
        <a:stretch>
          <a:fillRect/>
        </a:stretch>
      </xdr:blipFill>
      <xdr:spPr>
        <a:xfrm>
          <a:off x="10039350" y="2153353"/>
          <a:ext cx="2314773" cy="2780835"/>
        </a:xfrm>
        <a:prstGeom prst="rect">
          <a:avLst/>
        </a:prstGeom>
      </xdr:spPr>
    </xdr:pic>
    <xdr:clientData/>
  </xdr:twoCellAnchor>
  <xdr:twoCellAnchor editAs="oneCell">
    <xdr:from>
      <xdr:col>12</xdr:col>
      <xdr:colOff>0</xdr:colOff>
      <xdr:row>30</xdr:row>
      <xdr:rowOff>0</xdr:rowOff>
    </xdr:from>
    <xdr:to>
      <xdr:col>30</xdr:col>
      <xdr:colOff>0</xdr:colOff>
      <xdr:row>60</xdr:row>
      <xdr:rowOff>117360</xdr:rowOff>
    </xdr:to>
    <xdr:pic>
      <xdr:nvPicPr>
        <xdr:cNvPr id="2" name="Picture 1">
          <a:extLst>
            <a:ext uri="{FF2B5EF4-FFF2-40B4-BE49-F238E27FC236}">
              <a16:creationId xmlns:a16="http://schemas.microsoft.com/office/drawing/2014/main" id="{13AE5921-D847-6411-0185-85F9229F60C6}"/>
            </a:ext>
          </a:extLst>
        </xdr:cNvPr>
        <xdr:cNvPicPr>
          <a:picLocks noChangeAspect="1"/>
        </xdr:cNvPicPr>
      </xdr:nvPicPr>
      <xdr:blipFill>
        <a:blip xmlns:r="http://schemas.openxmlformats.org/officeDocument/2006/relationships" r:embed="rId2"/>
        <a:stretch>
          <a:fillRect/>
        </a:stretch>
      </xdr:blipFill>
      <xdr:spPr>
        <a:xfrm>
          <a:off x="7315200" y="5499100"/>
          <a:ext cx="7772400" cy="50703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17</xdr:col>
      <xdr:colOff>85724</xdr:colOff>
      <xdr:row>0</xdr:row>
      <xdr:rowOff>0</xdr:rowOff>
    </xdr:from>
    <xdr:to>
      <xdr:col>30</xdr:col>
      <xdr:colOff>28575</xdr:colOff>
      <xdr:row>13</xdr:row>
      <xdr:rowOff>9525</xdr:rowOff>
    </xdr:to>
    <xdr:sp macro="" textlink="">
      <xdr:nvSpPr>
        <xdr:cNvPr id="2" name="TextBox 1">
          <a:extLst>
            <a:ext uri="{FF2B5EF4-FFF2-40B4-BE49-F238E27FC236}">
              <a16:creationId xmlns:a16="http://schemas.microsoft.com/office/drawing/2014/main" id="{B4C2B0FE-4250-4CAB-8E83-E2AD76B5B608}"/>
            </a:ext>
          </a:extLst>
        </xdr:cNvPr>
        <xdr:cNvSpPr txBox="1"/>
      </xdr:nvSpPr>
      <xdr:spPr>
        <a:xfrm>
          <a:off x="10001249" y="0"/>
          <a:ext cx="4895851" cy="2114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 residential moving company needs to move a family from city 1 to city 12 in where the numbers on the arcs represent the driving distance in miles between cities.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 Create a spreadsheet model for this problem.</a:t>
          </a:r>
        </a:p>
        <a:p>
          <a:r>
            <a:rPr lang="en-US" sz="1100" b="0" i="0">
              <a:solidFill>
                <a:schemeClr val="dk1"/>
              </a:solidFill>
              <a:effectLst/>
              <a:latin typeface="+mn-lt"/>
              <a:ea typeface="+mn-ea"/>
              <a:cs typeface="+mn-cs"/>
            </a:rPr>
            <a:t>B. What is the optimal solution?</a:t>
          </a:r>
        </a:p>
        <a:p>
          <a:r>
            <a:rPr lang="en-US" sz="1100" b="0" i="0">
              <a:solidFill>
                <a:schemeClr val="dk1"/>
              </a:solidFill>
              <a:effectLst/>
              <a:latin typeface="+mn-lt"/>
              <a:ea typeface="+mn-ea"/>
              <a:cs typeface="+mn-cs"/>
            </a:rPr>
            <a:t>C. Suppose the moving company gets paid by the mile and, as a result, wants to determine the longest path from city 1 to city 12. What is the optimal solution?</a:t>
          </a:r>
        </a:p>
        <a:p>
          <a:r>
            <a:rPr lang="en-US" sz="1100" b="0" i="0">
              <a:solidFill>
                <a:schemeClr val="dk1"/>
              </a:solidFill>
              <a:effectLst/>
              <a:latin typeface="+mn-lt"/>
              <a:ea typeface="+mn-ea"/>
              <a:cs typeface="+mn-cs"/>
            </a:rPr>
            <a:t>D.  Now suppose travel is permissible in either direction between cities 6 and 9. Describe the optimal solution to this problem.</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There should be a separate</a:t>
          </a:r>
          <a:r>
            <a:rPr lang="en-US" sz="1100" b="0" i="0" baseline="0">
              <a:solidFill>
                <a:schemeClr val="dk1"/>
              </a:solidFill>
              <a:effectLst/>
              <a:latin typeface="+mn-lt"/>
              <a:ea typeface="+mn-ea"/>
              <a:cs typeface="+mn-cs"/>
            </a:rPr>
            <a:t> worksheet for parts b, c and D</a:t>
          </a:r>
          <a:endParaRPr lang="en-US" sz="1100" b="0" i="0">
            <a:solidFill>
              <a:schemeClr val="dk1"/>
            </a:solidFill>
            <a:effectLst/>
            <a:latin typeface="+mn-lt"/>
            <a:ea typeface="+mn-ea"/>
            <a:cs typeface="+mn-cs"/>
          </a:endParaRPr>
        </a:p>
        <a:p>
          <a:endParaRPr lang="en-US" sz="1100"/>
        </a:p>
      </xdr:txBody>
    </xdr:sp>
    <xdr:clientData/>
  </xdr:twoCellAnchor>
  <xdr:twoCellAnchor editAs="oneCell">
    <xdr:from>
      <xdr:col>15</xdr:col>
      <xdr:colOff>342900</xdr:colOff>
      <xdr:row>13</xdr:row>
      <xdr:rowOff>9525</xdr:rowOff>
    </xdr:from>
    <xdr:to>
      <xdr:col>30</xdr:col>
      <xdr:colOff>200803</xdr:colOff>
      <xdr:row>40</xdr:row>
      <xdr:rowOff>67293</xdr:rowOff>
    </xdr:to>
    <xdr:pic>
      <xdr:nvPicPr>
        <xdr:cNvPr id="3" name="Picture 2">
          <a:extLst>
            <a:ext uri="{FF2B5EF4-FFF2-40B4-BE49-F238E27FC236}">
              <a16:creationId xmlns:a16="http://schemas.microsoft.com/office/drawing/2014/main" id="{98708807-E0CC-486F-B6CE-B7161B6962EA}"/>
            </a:ext>
          </a:extLst>
        </xdr:cNvPr>
        <xdr:cNvPicPr>
          <a:picLocks noChangeAspect="1"/>
        </xdr:cNvPicPr>
      </xdr:nvPicPr>
      <xdr:blipFill>
        <a:blip xmlns:r="http://schemas.openxmlformats.org/officeDocument/2006/relationships" r:embed="rId1"/>
        <a:stretch>
          <a:fillRect/>
        </a:stretch>
      </xdr:blipFill>
      <xdr:spPr>
        <a:xfrm>
          <a:off x="9496425" y="2114550"/>
          <a:ext cx="5572903" cy="44297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17</xdr:col>
      <xdr:colOff>85724</xdr:colOff>
      <xdr:row>0</xdr:row>
      <xdr:rowOff>0</xdr:rowOff>
    </xdr:from>
    <xdr:to>
      <xdr:col>30</xdr:col>
      <xdr:colOff>28575</xdr:colOff>
      <xdr:row>13</xdr:row>
      <xdr:rowOff>9525</xdr:rowOff>
    </xdr:to>
    <xdr:sp macro="" textlink="">
      <xdr:nvSpPr>
        <xdr:cNvPr id="3" name="TextBox 2">
          <a:extLst>
            <a:ext uri="{FF2B5EF4-FFF2-40B4-BE49-F238E27FC236}">
              <a16:creationId xmlns:a16="http://schemas.microsoft.com/office/drawing/2014/main" id="{D6B123B1-9342-774E-71BF-DCBB161D1B92}"/>
            </a:ext>
          </a:extLst>
        </xdr:cNvPr>
        <xdr:cNvSpPr txBox="1"/>
      </xdr:nvSpPr>
      <xdr:spPr>
        <a:xfrm>
          <a:off x="9001124" y="0"/>
          <a:ext cx="4895851" cy="2114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 residential moving company needs to move a family from city 1 to city 12 in where the numbers on the arcs represent the driving distance in miles between cities.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 Create a spreadsheet model for this problem.</a:t>
          </a:r>
        </a:p>
        <a:p>
          <a:r>
            <a:rPr lang="en-US" sz="1100" b="0" i="0">
              <a:solidFill>
                <a:schemeClr val="dk1"/>
              </a:solidFill>
              <a:effectLst/>
              <a:latin typeface="+mn-lt"/>
              <a:ea typeface="+mn-ea"/>
              <a:cs typeface="+mn-cs"/>
            </a:rPr>
            <a:t>B. What is the optimal solution?</a:t>
          </a:r>
        </a:p>
        <a:p>
          <a:r>
            <a:rPr lang="en-US" sz="1100" b="0" i="0">
              <a:solidFill>
                <a:schemeClr val="dk1"/>
              </a:solidFill>
              <a:effectLst/>
              <a:latin typeface="+mn-lt"/>
              <a:ea typeface="+mn-ea"/>
              <a:cs typeface="+mn-cs"/>
            </a:rPr>
            <a:t>C. Suppose the moving company gets paid by the mile and, as a result, wants to determine the longest path from city 1 to city 12. What is the optimal solution?</a:t>
          </a:r>
        </a:p>
        <a:p>
          <a:r>
            <a:rPr lang="en-US" sz="1100" b="0" i="0">
              <a:solidFill>
                <a:schemeClr val="dk1"/>
              </a:solidFill>
              <a:effectLst/>
              <a:latin typeface="+mn-lt"/>
              <a:ea typeface="+mn-ea"/>
              <a:cs typeface="+mn-cs"/>
            </a:rPr>
            <a:t>D.  Now suppose travel is permissible in either direction between cities 6 and 9. Describe the optimal solution to this problem.</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There should be a separate</a:t>
          </a:r>
          <a:r>
            <a:rPr lang="en-US" sz="1100" b="0" i="0" baseline="0">
              <a:solidFill>
                <a:schemeClr val="dk1"/>
              </a:solidFill>
              <a:effectLst/>
              <a:latin typeface="+mn-lt"/>
              <a:ea typeface="+mn-ea"/>
              <a:cs typeface="+mn-cs"/>
            </a:rPr>
            <a:t> worksheet for parts b, c and D</a:t>
          </a:r>
          <a:endParaRPr lang="en-US" sz="1100" b="0" i="0">
            <a:solidFill>
              <a:schemeClr val="dk1"/>
            </a:solidFill>
            <a:effectLst/>
            <a:latin typeface="+mn-lt"/>
            <a:ea typeface="+mn-ea"/>
            <a:cs typeface="+mn-cs"/>
          </a:endParaRPr>
        </a:p>
        <a:p>
          <a:endParaRPr lang="en-US" sz="1100"/>
        </a:p>
      </xdr:txBody>
    </xdr:sp>
    <xdr:clientData/>
  </xdr:twoCellAnchor>
  <xdr:twoCellAnchor editAs="oneCell">
    <xdr:from>
      <xdr:col>15</xdr:col>
      <xdr:colOff>342900</xdr:colOff>
      <xdr:row>13</xdr:row>
      <xdr:rowOff>9525</xdr:rowOff>
    </xdr:from>
    <xdr:to>
      <xdr:col>30</xdr:col>
      <xdr:colOff>200803</xdr:colOff>
      <xdr:row>40</xdr:row>
      <xdr:rowOff>67293</xdr:rowOff>
    </xdr:to>
    <xdr:pic>
      <xdr:nvPicPr>
        <xdr:cNvPr id="4" name="Picture 3">
          <a:extLst>
            <a:ext uri="{FF2B5EF4-FFF2-40B4-BE49-F238E27FC236}">
              <a16:creationId xmlns:a16="http://schemas.microsoft.com/office/drawing/2014/main" id="{2829B7C4-8004-9FF1-C101-1DC7CC361F7D}"/>
            </a:ext>
          </a:extLst>
        </xdr:cNvPr>
        <xdr:cNvPicPr>
          <a:picLocks noChangeAspect="1"/>
        </xdr:cNvPicPr>
      </xdr:nvPicPr>
      <xdr:blipFill>
        <a:blip xmlns:r="http://schemas.openxmlformats.org/officeDocument/2006/relationships" r:embed="rId1"/>
        <a:stretch>
          <a:fillRect/>
        </a:stretch>
      </xdr:blipFill>
      <xdr:spPr>
        <a:xfrm>
          <a:off x="8496300" y="2114550"/>
          <a:ext cx="5572903" cy="44297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17</xdr:col>
      <xdr:colOff>85724</xdr:colOff>
      <xdr:row>0</xdr:row>
      <xdr:rowOff>0</xdr:rowOff>
    </xdr:from>
    <xdr:to>
      <xdr:col>30</xdr:col>
      <xdr:colOff>28575</xdr:colOff>
      <xdr:row>13</xdr:row>
      <xdr:rowOff>9525</xdr:rowOff>
    </xdr:to>
    <xdr:sp macro="" textlink="">
      <xdr:nvSpPr>
        <xdr:cNvPr id="2" name="TextBox 1">
          <a:extLst>
            <a:ext uri="{FF2B5EF4-FFF2-40B4-BE49-F238E27FC236}">
              <a16:creationId xmlns:a16="http://schemas.microsoft.com/office/drawing/2014/main" id="{3BAD7DD0-D8C1-44B5-AD5C-988B9277F10C}"/>
            </a:ext>
          </a:extLst>
        </xdr:cNvPr>
        <xdr:cNvSpPr txBox="1"/>
      </xdr:nvSpPr>
      <xdr:spPr>
        <a:xfrm>
          <a:off x="10001249" y="0"/>
          <a:ext cx="4895851" cy="2114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 residential moving company needs to move a family from city 1 to city 12 in where the numbers on the arcs represent the driving distance in miles between cities.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 Create a spreadsheet model for this problem.</a:t>
          </a:r>
        </a:p>
        <a:p>
          <a:r>
            <a:rPr lang="en-US" sz="1100" b="0" i="0">
              <a:solidFill>
                <a:schemeClr val="dk1"/>
              </a:solidFill>
              <a:effectLst/>
              <a:latin typeface="+mn-lt"/>
              <a:ea typeface="+mn-ea"/>
              <a:cs typeface="+mn-cs"/>
            </a:rPr>
            <a:t>B. What is the optimal solution?</a:t>
          </a:r>
        </a:p>
        <a:p>
          <a:r>
            <a:rPr lang="en-US" sz="1100" b="0" i="0">
              <a:solidFill>
                <a:schemeClr val="dk1"/>
              </a:solidFill>
              <a:effectLst/>
              <a:latin typeface="+mn-lt"/>
              <a:ea typeface="+mn-ea"/>
              <a:cs typeface="+mn-cs"/>
            </a:rPr>
            <a:t>C. Suppose the moving company gets paid by the mile and, as a result, wants to determine the longest path from city 1 to city 12. What is the optimal solution?</a:t>
          </a:r>
        </a:p>
        <a:p>
          <a:r>
            <a:rPr lang="en-US" sz="1100" b="0" i="0">
              <a:solidFill>
                <a:schemeClr val="dk1"/>
              </a:solidFill>
              <a:effectLst/>
              <a:latin typeface="+mn-lt"/>
              <a:ea typeface="+mn-ea"/>
              <a:cs typeface="+mn-cs"/>
            </a:rPr>
            <a:t>D.  Now suppose travel is permissible in either direction between cities 6 and 9. Describe the optimal solution to this problem.</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There should be a separate</a:t>
          </a:r>
          <a:r>
            <a:rPr lang="en-US" sz="1100" b="0" i="0" baseline="0">
              <a:solidFill>
                <a:schemeClr val="dk1"/>
              </a:solidFill>
              <a:effectLst/>
              <a:latin typeface="+mn-lt"/>
              <a:ea typeface="+mn-ea"/>
              <a:cs typeface="+mn-cs"/>
            </a:rPr>
            <a:t> worksheet for parts b, c and D</a:t>
          </a:r>
          <a:endParaRPr lang="en-US" sz="1100" b="0" i="0">
            <a:solidFill>
              <a:schemeClr val="dk1"/>
            </a:solidFill>
            <a:effectLst/>
            <a:latin typeface="+mn-lt"/>
            <a:ea typeface="+mn-ea"/>
            <a:cs typeface="+mn-cs"/>
          </a:endParaRPr>
        </a:p>
        <a:p>
          <a:endParaRPr lang="en-US" sz="1100"/>
        </a:p>
      </xdr:txBody>
    </xdr:sp>
    <xdr:clientData/>
  </xdr:twoCellAnchor>
  <xdr:twoCellAnchor editAs="oneCell">
    <xdr:from>
      <xdr:col>15</xdr:col>
      <xdr:colOff>342900</xdr:colOff>
      <xdr:row>13</xdr:row>
      <xdr:rowOff>9525</xdr:rowOff>
    </xdr:from>
    <xdr:to>
      <xdr:col>30</xdr:col>
      <xdr:colOff>200803</xdr:colOff>
      <xdr:row>40</xdr:row>
      <xdr:rowOff>67293</xdr:rowOff>
    </xdr:to>
    <xdr:pic>
      <xdr:nvPicPr>
        <xdr:cNvPr id="3" name="Picture 2">
          <a:extLst>
            <a:ext uri="{FF2B5EF4-FFF2-40B4-BE49-F238E27FC236}">
              <a16:creationId xmlns:a16="http://schemas.microsoft.com/office/drawing/2014/main" id="{EF595B04-2DA3-4F85-992A-5EC48A123348}"/>
            </a:ext>
          </a:extLst>
        </xdr:cNvPr>
        <xdr:cNvPicPr>
          <a:picLocks noChangeAspect="1"/>
        </xdr:cNvPicPr>
      </xdr:nvPicPr>
      <xdr:blipFill>
        <a:blip xmlns:r="http://schemas.openxmlformats.org/officeDocument/2006/relationships" r:embed="rId1"/>
        <a:stretch>
          <a:fillRect/>
        </a:stretch>
      </xdr:blipFill>
      <xdr:spPr>
        <a:xfrm>
          <a:off x="9496425" y="2114550"/>
          <a:ext cx="5572903" cy="44297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17</xdr:col>
      <xdr:colOff>85724</xdr:colOff>
      <xdr:row>0</xdr:row>
      <xdr:rowOff>0</xdr:rowOff>
    </xdr:from>
    <xdr:to>
      <xdr:col>30</xdr:col>
      <xdr:colOff>28575</xdr:colOff>
      <xdr:row>13</xdr:row>
      <xdr:rowOff>9525</xdr:rowOff>
    </xdr:to>
    <xdr:sp macro="" textlink="">
      <xdr:nvSpPr>
        <xdr:cNvPr id="2" name="TextBox 1">
          <a:extLst>
            <a:ext uri="{FF2B5EF4-FFF2-40B4-BE49-F238E27FC236}">
              <a16:creationId xmlns:a16="http://schemas.microsoft.com/office/drawing/2014/main" id="{CB4E4CE4-BDF1-4693-B346-EB753F6A4436}"/>
            </a:ext>
          </a:extLst>
        </xdr:cNvPr>
        <xdr:cNvSpPr txBox="1"/>
      </xdr:nvSpPr>
      <xdr:spPr>
        <a:xfrm>
          <a:off x="10001249" y="0"/>
          <a:ext cx="4895851" cy="2114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 residential moving company needs to move a family from city 1 to city 12 in where the numbers on the arcs represent the driving distance in miles between cities.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 Create a spreadsheet model for this problem.</a:t>
          </a:r>
        </a:p>
        <a:p>
          <a:r>
            <a:rPr lang="en-US" sz="1100" b="0" i="0">
              <a:solidFill>
                <a:schemeClr val="dk1"/>
              </a:solidFill>
              <a:effectLst/>
              <a:latin typeface="+mn-lt"/>
              <a:ea typeface="+mn-ea"/>
              <a:cs typeface="+mn-cs"/>
            </a:rPr>
            <a:t>B. What is the optimal solution?</a:t>
          </a:r>
        </a:p>
        <a:p>
          <a:r>
            <a:rPr lang="en-US" sz="1100" b="0" i="0">
              <a:solidFill>
                <a:schemeClr val="dk1"/>
              </a:solidFill>
              <a:effectLst/>
              <a:latin typeface="+mn-lt"/>
              <a:ea typeface="+mn-ea"/>
              <a:cs typeface="+mn-cs"/>
            </a:rPr>
            <a:t>C. Suppose the moving company gets paid by the mile and, as a result, wants to determine the longest path from city 1 to city 12. What is the optimal solution?</a:t>
          </a:r>
        </a:p>
        <a:p>
          <a:r>
            <a:rPr lang="en-US" sz="1100" b="0" i="0">
              <a:solidFill>
                <a:schemeClr val="dk1"/>
              </a:solidFill>
              <a:effectLst/>
              <a:latin typeface="+mn-lt"/>
              <a:ea typeface="+mn-ea"/>
              <a:cs typeface="+mn-cs"/>
            </a:rPr>
            <a:t>D.  Now suppose travel is permissible in either direction between cities 6 and 9. Describe the optimal solution to this problem.</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There should be a separate</a:t>
          </a:r>
          <a:r>
            <a:rPr lang="en-US" sz="1100" b="0" i="0" baseline="0">
              <a:solidFill>
                <a:schemeClr val="dk1"/>
              </a:solidFill>
              <a:effectLst/>
              <a:latin typeface="+mn-lt"/>
              <a:ea typeface="+mn-ea"/>
              <a:cs typeface="+mn-cs"/>
            </a:rPr>
            <a:t> worksheet for parts b, c and D</a:t>
          </a:r>
          <a:endParaRPr lang="en-US" sz="1100" b="0" i="0">
            <a:solidFill>
              <a:schemeClr val="dk1"/>
            </a:solidFill>
            <a:effectLst/>
            <a:latin typeface="+mn-lt"/>
            <a:ea typeface="+mn-ea"/>
            <a:cs typeface="+mn-cs"/>
          </a:endParaRPr>
        </a:p>
        <a:p>
          <a:endParaRPr lang="en-US" sz="1100"/>
        </a:p>
      </xdr:txBody>
    </xdr:sp>
    <xdr:clientData/>
  </xdr:twoCellAnchor>
  <xdr:twoCellAnchor editAs="oneCell">
    <xdr:from>
      <xdr:col>15</xdr:col>
      <xdr:colOff>342900</xdr:colOff>
      <xdr:row>13</xdr:row>
      <xdr:rowOff>9525</xdr:rowOff>
    </xdr:from>
    <xdr:to>
      <xdr:col>30</xdr:col>
      <xdr:colOff>200803</xdr:colOff>
      <xdr:row>40</xdr:row>
      <xdr:rowOff>67293</xdr:rowOff>
    </xdr:to>
    <xdr:pic>
      <xdr:nvPicPr>
        <xdr:cNvPr id="3" name="Picture 2">
          <a:extLst>
            <a:ext uri="{FF2B5EF4-FFF2-40B4-BE49-F238E27FC236}">
              <a16:creationId xmlns:a16="http://schemas.microsoft.com/office/drawing/2014/main" id="{D68FB830-7EAE-49CF-A2FB-57CBF0E8A89C}"/>
            </a:ext>
          </a:extLst>
        </xdr:cNvPr>
        <xdr:cNvPicPr>
          <a:picLocks noChangeAspect="1"/>
        </xdr:cNvPicPr>
      </xdr:nvPicPr>
      <xdr:blipFill>
        <a:blip xmlns:r="http://schemas.openxmlformats.org/officeDocument/2006/relationships" r:embed="rId1"/>
        <a:stretch>
          <a:fillRect/>
        </a:stretch>
      </xdr:blipFill>
      <xdr:spPr>
        <a:xfrm>
          <a:off x="9496425" y="2114550"/>
          <a:ext cx="5572903" cy="442974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57150</xdr:rowOff>
    </xdr:from>
    <xdr:to>
      <xdr:col>0</xdr:col>
      <xdr:colOff>0</xdr:colOff>
      <xdr:row>2</xdr:row>
      <xdr:rowOff>38100</xdr:rowOff>
    </xdr:to>
    <xdr:sp macro="" textlink="">
      <xdr:nvSpPr>
        <xdr:cNvPr id="2" name="Text 1">
          <a:extLst>
            <a:ext uri="{FF2B5EF4-FFF2-40B4-BE49-F238E27FC236}">
              <a16:creationId xmlns:a16="http://schemas.microsoft.com/office/drawing/2014/main" id="{D20697C7-DEA5-4F66-A53A-E4E344FD3D57}"/>
            </a:ext>
          </a:extLst>
        </xdr:cNvPr>
        <xdr:cNvSpPr>
          <a:spLocks noChangeArrowheads="1"/>
        </xdr:cNvSpPr>
      </xdr:nvSpPr>
      <xdr:spPr bwMode="auto">
        <a:xfrm>
          <a:off x="2686050" y="57150"/>
          <a:ext cx="2743200" cy="298450"/>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1">
          <a:solidFill>
            <a:srgbClr xmlns:mc="http://schemas.openxmlformats.org/markup-compatibility/2006" xmlns:a14="http://schemas.microsoft.com/office/drawing/2010/main" val="000000" mc:Ignorable="a14" a14:legacySpreadsheetColorIndex="8"/>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Omega Airlines</a:t>
          </a:r>
        </a:p>
      </xdr:txBody>
    </xdr:sp>
    <xdr:clientData/>
  </xdr:twoCellAnchor>
  <xdr:twoCellAnchor>
    <xdr:from>
      <xdr:col>3</xdr:col>
      <xdr:colOff>74083</xdr:colOff>
      <xdr:row>0</xdr:row>
      <xdr:rowOff>31751</xdr:rowOff>
    </xdr:from>
    <xdr:to>
      <xdr:col>12</xdr:col>
      <xdr:colOff>582082</xdr:colOff>
      <xdr:row>5</xdr:row>
      <xdr:rowOff>243417</xdr:rowOff>
    </xdr:to>
    <xdr:sp macro="" textlink="">
      <xdr:nvSpPr>
        <xdr:cNvPr id="4" name="TextBox 3">
          <a:extLst>
            <a:ext uri="{FF2B5EF4-FFF2-40B4-BE49-F238E27FC236}">
              <a16:creationId xmlns:a16="http://schemas.microsoft.com/office/drawing/2014/main" id="{8AEA930A-EF7E-AACC-9450-197187B217B7}"/>
            </a:ext>
          </a:extLst>
        </xdr:cNvPr>
        <xdr:cNvSpPr txBox="1"/>
      </xdr:nvSpPr>
      <xdr:spPr>
        <a:xfrm>
          <a:off x="2487083" y="31751"/>
          <a:ext cx="5746749" cy="17991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Telephone calls for the YakLine, a discount long distance carrier, are routed through a variety of switching devices that interconnect various network hubs in different cities. The maximum number of calls that can be handled by each segment of their network is shown in the following table.</a:t>
          </a:r>
        </a:p>
        <a:p>
          <a:r>
            <a:rPr lang="en-US" sz="1100" b="0" i="0">
              <a:solidFill>
                <a:schemeClr val="dk1"/>
              </a:solidFill>
              <a:effectLst/>
              <a:latin typeface="+mn-lt"/>
              <a:ea typeface="+mn-ea"/>
              <a:cs typeface="+mn-cs"/>
            </a:rPr>
            <a:t>YakLine wants to determine the maximum number of calls that can go from its East Coast operations hub in Washington, DC to its West Coast operations hub in San Francisco.</a:t>
          </a:r>
        </a:p>
        <a:p>
          <a:r>
            <a:rPr lang="en-US" sz="1100" b="0" i="0">
              <a:solidFill>
                <a:schemeClr val="dk1"/>
              </a:solidFill>
              <a:effectLst/>
              <a:latin typeface="+mn-lt"/>
              <a:ea typeface="+mn-ea"/>
              <a:cs typeface="+mn-cs"/>
            </a:rPr>
            <a:t>A.</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Draw a network flow model for this problem.</a:t>
          </a:r>
        </a:p>
        <a:p>
          <a:r>
            <a:rPr lang="en-US" sz="1100" b="0" i="0">
              <a:solidFill>
                <a:schemeClr val="dk1"/>
              </a:solidFill>
              <a:effectLst/>
              <a:latin typeface="+mn-lt"/>
              <a:ea typeface="+mn-ea"/>
              <a:cs typeface="+mn-cs"/>
            </a:rPr>
            <a:t>B. Create a spreadsheet model for this problem and solve it.</a:t>
          </a:r>
        </a:p>
        <a:p>
          <a:r>
            <a:rPr lang="en-US" sz="1100" b="0" i="0">
              <a:solidFill>
                <a:schemeClr val="dk1"/>
              </a:solidFill>
              <a:effectLst/>
              <a:latin typeface="+mn-lt"/>
              <a:ea typeface="+mn-ea"/>
              <a:cs typeface="+mn-cs"/>
            </a:rPr>
            <a:t>C.  What is the optimal solution?</a:t>
          </a:r>
        </a:p>
        <a:p>
          <a:endParaRPr lang="en-US" sz="1100"/>
        </a:p>
      </xdr:txBody>
    </xdr:sp>
    <xdr:clientData/>
  </xdr:twoCellAnchor>
  <xdr:twoCellAnchor editAs="oneCell">
    <xdr:from>
      <xdr:col>3</xdr:col>
      <xdr:colOff>14111</xdr:colOff>
      <xdr:row>5</xdr:row>
      <xdr:rowOff>268111</xdr:rowOff>
    </xdr:from>
    <xdr:to>
      <xdr:col>14</xdr:col>
      <xdr:colOff>547511</xdr:colOff>
      <xdr:row>29</xdr:row>
      <xdr:rowOff>3186</xdr:rowOff>
    </xdr:to>
    <xdr:pic>
      <xdr:nvPicPr>
        <xdr:cNvPr id="62" name="Picture 61">
          <a:extLst>
            <a:ext uri="{FF2B5EF4-FFF2-40B4-BE49-F238E27FC236}">
              <a16:creationId xmlns:a16="http://schemas.microsoft.com/office/drawing/2014/main" id="{E9E0213A-BFDC-9E80-15DA-B8666508EC00}"/>
            </a:ext>
          </a:extLst>
        </xdr:cNvPr>
        <xdr:cNvPicPr>
          <a:picLocks noChangeAspect="1"/>
        </xdr:cNvPicPr>
      </xdr:nvPicPr>
      <xdr:blipFill>
        <a:blip xmlns:r="http://schemas.openxmlformats.org/officeDocument/2006/relationships" r:embed="rId1"/>
        <a:stretch>
          <a:fillRect/>
        </a:stretch>
      </xdr:blipFill>
      <xdr:spPr>
        <a:xfrm>
          <a:off x="2765778" y="1820333"/>
          <a:ext cx="7842956" cy="4504631"/>
        </a:xfrm>
        <a:prstGeom prst="rect">
          <a:avLst/>
        </a:prstGeom>
        <a:ln>
          <a:solidFill>
            <a:schemeClr val="tx1"/>
          </a:solidFill>
        </a:ln>
      </xdr:spPr>
    </xdr:pic>
    <xdr:clientData/>
  </xdr:twoCellAnchor>
  <xdr:twoCellAnchor>
    <xdr:from>
      <xdr:col>11</xdr:col>
      <xdr:colOff>536223</xdr:colOff>
      <xdr:row>24</xdr:row>
      <xdr:rowOff>0</xdr:rowOff>
    </xdr:from>
    <xdr:to>
      <xdr:col>14</xdr:col>
      <xdr:colOff>268111</xdr:colOff>
      <xdr:row>28</xdr:row>
      <xdr:rowOff>84667</xdr:rowOff>
    </xdr:to>
    <xdr:sp macro="" textlink="">
      <xdr:nvSpPr>
        <xdr:cNvPr id="63" name="Rectangle 62">
          <a:extLst>
            <a:ext uri="{FF2B5EF4-FFF2-40B4-BE49-F238E27FC236}">
              <a16:creationId xmlns:a16="http://schemas.microsoft.com/office/drawing/2014/main" id="{39331A82-67DC-C9B1-0ED1-5CF1AAFCEB0D}"/>
            </a:ext>
          </a:extLst>
        </xdr:cNvPr>
        <xdr:cNvSpPr/>
      </xdr:nvSpPr>
      <xdr:spPr bwMode="auto">
        <a:xfrm>
          <a:off x="8593667" y="5475111"/>
          <a:ext cx="1721555" cy="76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en-US" sz="1100"/>
            <a:t>USED LOVABLE AI FOR THIS</a:t>
          </a:r>
        </a:p>
      </xdr:txBody>
    </xdr:sp>
    <xdr:clientData/>
  </xdr:twoCellAnchor>
  <xdr:twoCellAnchor>
    <xdr:from>
      <xdr:col>3</xdr:col>
      <xdr:colOff>338667</xdr:colOff>
      <xdr:row>8</xdr:row>
      <xdr:rowOff>310442</xdr:rowOff>
    </xdr:from>
    <xdr:to>
      <xdr:col>7</xdr:col>
      <xdr:colOff>211669</xdr:colOff>
      <xdr:row>9</xdr:row>
      <xdr:rowOff>197556</xdr:rowOff>
    </xdr:to>
    <xdr:cxnSp macro="">
      <xdr:nvCxnSpPr>
        <xdr:cNvPr id="65" name="Elbow Connector 64">
          <a:extLst>
            <a:ext uri="{FF2B5EF4-FFF2-40B4-BE49-F238E27FC236}">
              <a16:creationId xmlns:a16="http://schemas.microsoft.com/office/drawing/2014/main" id="{9BA92B3B-841D-0EAA-1E26-9EE325987D42}"/>
            </a:ext>
          </a:extLst>
        </xdr:cNvPr>
        <xdr:cNvCxnSpPr/>
      </xdr:nvCxnSpPr>
      <xdr:spPr bwMode="auto">
        <a:xfrm rot="10800000" flipV="1">
          <a:off x="3090334" y="2793998"/>
          <a:ext cx="2525891" cy="197558"/>
        </a:xfrm>
        <a:prstGeom prst="bentConnector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366888</xdr:colOff>
      <xdr:row>9</xdr:row>
      <xdr:rowOff>225774</xdr:rowOff>
    </xdr:from>
    <xdr:to>
      <xdr:col>7</xdr:col>
      <xdr:colOff>14110</xdr:colOff>
      <xdr:row>23</xdr:row>
      <xdr:rowOff>155222</xdr:rowOff>
    </xdr:to>
    <xdr:cxnSp macro="">
      <xdr:nvCxnSpPr>
        <xdr:cNvPr id="67" name="Elbow Connector 66">
          <a:extLst>
            <a:ext uri="{FF2B5EF4-FFF2-40B4-BE49-F238E27FC236}">
              <a16:creationId xmlns:a16="http://schemas.microsoft.com/office/drawing/2014/main" id="{2DF0DB69-9456-4347-80E3-861228D6DBDC}"/>
            </a:ext>
          </a:extLst>
        </xdr:cNvPr>
        <xdr:cNvCxnSpPr/>
      </xdr:nvCxnSpPr>
      <xdr:spPr bwMode="auto">
        <a:xfrm rot="16200000" flipH="1">
          <a:off x="3047998" y="3090331"/>
          <a:ext cx="2441226" cy="2300111"/>
        </a:xfrm>
        <a:prstGeom prst="bentConnector3">
          <a:avLst>
            <a:gd name="adj1" fmla="val 9739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155222</xdr:colOff>
      <xdr:row>24</xdr:row>
      <xdr:rowOff>14111</xdr:rowOff>
    </xdr:from>
    <xdr:to>
      <xdr:col>4</xdr:col>
      <xdr:colOff>578555</xdr:colOff>
      <xdr:row>26</xdr:row>
      <xdr:rowOff>14111</xdr:rowOff>
    </xdr:to>
    <xdr:sp macro="" textlink="">
      <xdr:nvSpPr>
        <xdr:cNvPr id="72" name="Rectangle 71">
          <a:extLst>
            <a:ext uri="{FF2B5EF4-FFF2-40B4-BE49-F238E27FC236}">
              <a16:creationId xmlns:a16="http://schemas.microsoft.com/office/drawing/2014/main" id="{F6EADC05-BB19-3A2B-61A8-E7C910731A1B}"/>
            </a:ext>
          </a:extLst>
        </xdr:cNvPr>
        <xdr:cNvSpPr/>
      </xdr:nvSpPr>
      <xdr:spPr bwMode="auto">
        <a:xfrm>
          <a:off x="3570111" y="5489222"/>
          <a:ext cx="423333" cy="33866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en-US" sz="1100"/>
            <a:t>725</a:t>
          </a:r>
        </a:p>
        <a:p>
          <a:pPr algn="l"/>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7</xdr:row>
      <xdr:rowOff>95250</xdr:rowOff>
    </xdr:from>
    <xdr:to>
      <xdr:col>8</xdr:col>
      <xdr:colOff>10122</xdr:colOff>
      <xdr:row>19</xdr:row>
      <xdr:rowOff>85995</xdr:rowOff>
    </xdr:to>
    <xdr:pic>
      <xdr:nvPicPr>
        <xdr:cNvPr id="2" name="Picture 1">
          <a:extLst>
            <a:ext uri="{FF2B5EF4-FFF2-40B4-BE49-F238E27FC236}">
              <a16:creationId xmlns:a16="http://schemas.microsoft.com/office/drawing/2014/main" id="{E7F14FB9-246D-44B1-92B1-D1A727E236FD}"/>
            </a:ext>
          </a:extLst>
        </xdr:cNvPr>
        <xdr:cNvPicPr>
          <a:picLocks noChangeAspect="1"/>
        </xdr:cNvPicPr>
      </xdr:nvPicPr>
      <xdr:blipFill>
        <a:blip xmlns:r="http://schemas.openxmlformats.org/officeDocument/2006/relationships" r:embed="rId1"/>
        <a:stretch>
          <a:fillRect/>
        </a:stretch>
      </xdr:blipFill>
      <xdr:spPr>
        <a:xfrm>
          <a:off x="609600" y="1228725"/>
          <a:ext cx="4277322" cy="1933845"/>
        </a:xfrm>
        <a:prstGeom prst="rect">
          <a:avLst/>
        </a:prstGeom>
      </xdr:spPr>
    </xdr:pic>
    <xdr:clientData/>
  </xdr:twoCellAnchor>
  <xdr:twoCellAnchor>
    <xdr:from>
      <xdr:col>0</xdr:col>
      <xdr:colOff>9525</xdr:colOff>
      <xdr:row>0</xdr:row>
      <xdr:rowOff>9525</xdr:rowOff>
    </xdr:from>
    <xdr:to>
      <xdr:col>9</xdr:col>
      <xdr:colOff>466725</xdr:colOff>
      <xdr:row>6</xdr:row>
      <xdr:rowOff>85724</xdr:rowOff>
    </xdr:to>
    <xdr:sp macro="" textlink="">
      <xdr:nvSpPr>
        <xdr:cNvPr id="3" name="TextBox 2">
          <a:extLst>
            <a:ext uri="{FF2B5EF4-FFF2-40B4-BE49-F238E27FC236}">
              <a16:creationId xmlns:a16="http://schemas.microsoft.com/office/drawing/2014/main" id="{B7880551-7835-428D-9CFD-DDB3ECBF12D6}"/>
            </a:ext>
          </a:extLst>
        </xdr:cNvPr>
        <xdr:cNvSpPr txBox="1"/>
      </xdr:nvSpPr>
      <xdr:spPr>
        <a:xfrm>
          <a:off x="9525" y="9525"/>
          <a:ext cx="5943600" cy="1047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Metro Cable Television Company is to install a television cable system in a community consisting of seven suburbs. Each of the suburbs must be connected to the main cable system. The cable television company wants to lay out the main cable network in a way that will minimize the total length of cable that must be installed. The possible paths available to the cable television company (by consent of the town council) and the feet of cable (in thousands of feet) required for each path are shown below</a:t>
          </a:r>
        </a:p>
        <a:p>
          <a:br>
            <a:rPr lang="en-US"/>
          </a:br>
          <a:endParaRPr lang="en-US" sz="1100"/>
        </a:p>
      </xdr:txBody>
    </xdr:sp>
    <xdr:clientData/>
  </xdr:twoCellAnchor>
  <xdr:twoCellAnchor>
    <xdr:from>
      <xdr:col>9</xdr:col>
      <xdr:colOff>241300</xdr:colOff>
      <xdr:row>16</xdr:row>
      <xdr:rowOff>139700</xdr:rowOff>
    </xdr:from>
    <xdr:to>
      <xdr:col>18</xdr:col>
      <xdr:colOff>266700</xdr:colOff>
      <xdr:row>34</xdr:row>
      <xdr:rowOff>12700</xdr:rowOff>
    </xdr:to>
    <xdr:sp macro="" textlink="">
      <xdr:nvSpPr>
        <xdr:cNvPr id="4" name="TextBox 3">
          <a:extLst>
            <a:ext uri="{FF2B5EF4-FFF2-40B4-BE49-F238E27FC236}">
              <a16:creationId xmlns:a16="http://schemas.microsoft.com/office/drawing/2014/main" id="{FE7F661D-8B23-9EB8-50A8-DDD7333D8FBE}"/>
            </a:ext>
          </a:extLst>
        </xdr:cNvPr>
        <xdr:cNvSpPr txBox="1"/>
      </xdr:nvSpPr>
      <xdr:spPr>
        <a:xfrm>
          <a:off x="6299200" y="2781300"/>
          <a:ext cx="6083300" cy="284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9</xdr:col>
      <xdr:colOff>622300</xdr:colOff>
      <xdr:row>19</xdr:row>
      <xdr:rowOff>0</xdr:rowOff>
    </xdr:from>
    <xdr:to>
      <xdr:col>10</xdr:col>
      <xdr:colOff>457200</xdr:colOff>
      <xdr:row>21</xdr:row>
      <xdr:rowOff>114300</xdr:rowOff>
    </xdr:to>
    <xdr:sp macro="" textlink="">
      <xdr:nvSpPr>
        <xdr:cNvPr id="5" name="Rectangle 4">
          <a:extLst>
            <a:ext uri="{FF2B5EF4-FFF2-40B4-BE49-F238E27FC236}">
              <a16:creationId xmlns:a16="http://schemas.microsoft.com/office/drawing/2014/main" id="{5979F1DE-5049-B86E-19D4-D47C9FEF65B1}"/>
            </a:ext>
          </a:extLst>
        </xdr:cNvPr>
        <xdr:cNvSpPr/>
      </xdr:nvSpPr>
      <xdr:spPr bwMode="auto">
        <a:xfrm>
          <a:off x="6680200" y="3136900"/>
          <a:ext cx="508000" cy="444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lang="en-US" sz="1100"/>
            <a:t>1</a:t>
          </a:r>
        </a:p>
      </xdr:txBody>
    </xdr:sp>
    <xdr:clientData/>
  </xdr:twoCellAnchor>
  <xdr:twoCellAnchor>
    <xdr:from>
      <xdr:col>11</xdr:col>
      <xdr:colOff>406400</xdr:colOff>
      <xdr:row>19</xdr:row>
      <xdr:rowOff>12700</xdr:rowOff>
    </xdr:from>
    <xdr:to>
      <xdr:col>12</xdr:col>
      <xdr:colOff>76200</xdr:colOff>
      <xdr:row>21</xdr:row>
      <xdr:rowOff>139700</xdr:rowOff>
    </xdr:to>
    <xdr:sp macro="" textlink="">
      <xdr:nvSpPr>
        <xdr:cNvPr id="12" name="Rectangle 11">
          <a:extLst>
            <a:ext uri="{FF2B5EF4-FFF2-40B4-BE49-F238E27FC236}">
              <a16:creationId xmlns:a16="http://schemas.microsoft.com/office/drawing/2014/main" id="{01C40440-CF8A-634A-A939-F38AC6B823CB}"/>
            </a:ext>
          </a:extLst>
        </xdr:cNvPr>
        <xdr:cNvSpPr/>
      </xdr:nvSpPr>
      <xdr:spPr bwMode="auto">
        <a:xfrm>
          <a:off x="7810500" y="3149600"/>
          <a:ext cx="647700" cy="4572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lang="en-US" sz="1100"/>
            <a:t>3</a:t>
          </a:r>
        </a:p>
      </xdr:txBody>
    </xdr:sp>
    <xdr:clientData/>
  </xdr:twoCellAnchor>
  <xdr:twoCellAnchor>
    <xdr:from>
      <xdr:col>10</xdr:col>
      <xdr:colOff>139700</xdr:colOff>
      <xdr:row>25</xdr:row>
      <xdr:rowOff>63500</xdr:rowOff>
    </xdr:from>
    <xdr:to>
      <xdr:col>10</xdr:col>
      <xdr:colOff>647700</xdr:colOff>
      <xdr:row>28</xdr:row>
      <xdr:rowOff>12700</xdr:rowOff>
    </xdr:to>
    <xdr:sp macro="" textlink="">
      <xdr:nvSpPr>
        <xdr:cNvPr id="13" name="Rectangle 12">
          <a:extLst>
            <a:ext uri="{FF2B5EF4-FFF2-40B4-BE49-F238E27FC236}">
              <a16:creationId xmlns:a16="http://schemas.microsoft.com/office/drawing/2014/main" id="{6FBA05D0-91DD-9643-A0BC-FCEED8E8114A}"/>
            </a:ext>
          </a:extLst>
        </xdr:cNvPr>
        <xdr:cNvSpPr/>
      </xdr:nvSpPr>
      <xdr:spPr bwMode="auto">
        <a:xfrm>
          <a:off x="6870700" y="4191000"/>
          <a:ext cx="508000" cy="444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lang="en-US" sz="1100"/>
            <a:t>2</a:t>
          </a:r>
        </a:p>
      </xdr:txBody>
    </xdr:sp>
    <xdr:clientData/>
  </xdr:twoCellAnchor>
  <xdr:twoCellAnchor>
    <xdr:from>
      <xdr:col>13</xdr:col>
      <xdr:colOff>266700</xdr:colOff>
      <xdr:row>19</xdr:row>
      <xdr:rowOff>127000</xdr:rowOff>
    </xdr:from>
    <xdr:to>
      <xdr:col>14</xdr:col>
      <xdr:colOff>101600</xdr:colOff>
      <xdr:row>22</xdr:row>
      <xdr:rowOff>76200</xdr:rowOff>
    </xdr:to>
    <xdr:sp macro="" textlink="">
      <xdr:nvSpPr>
        <xdr:cNvPr id="14" name="Rectangle 13">
          <a:extLst>
            <a:ext uri="{FF2B5EF4-FFF2-40B4-BE49-F238E27FC236}">
              <a16:creationId xmlns:a16="http://schemas.microsoft.com/office/drawing/2014/main" id="{AB78AA1D-079D-5E4D-A6A7-BA08DD3DC753}"/>
            </a:ext>
          </a:extLst>
        </xdr:cNvPr>
        <xdr:cNvSpPr/>
      </xdr:nvSpPr>
      <xdr:spPr bwMode="auto">
        <a:xfrm>
          <a:off x="9017000" y="3263900"/>
          <a:ext cx="508000" cy="444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lang="en-US" sz="1100"/>
            <a:t>4</a:t>
          </a:r>
        </a:p>
      </xdr:txBody>
    </xdr:sp>
    <xdr:clientData/>
  </xdr:twoCellAnchor>
  <xdr:twoCellAnchor>
    <xdr:from>
      <xdr:col>11</xdr:col>
      <xdr:colOff>114300</xdr:colOff>
      <xdr:row>30</xdr:row>
      <xdr:rowOff>0</xdr:rowOff>
    </xdr:from>
    <xdr:to>
      <xdr:col>11</xdr:col>
      <xdr:colOff>622300</xdr:colOff>
      <xdr:row>32</xdr:row>
      <xdr:rowOff>114300</xdr:rowOff>
    </xdr:to>
    <xdr:sp macro="" textlink="">
      <xdr:nvSpPr>
        <xdr:cNvPr id="15" name="Rectangle 14">
          <a:extLst>
            <a:ext uri="{FF2B5EF4-FFF2-40B4-BE49-F238E27FC236}">
              <a16:creationId xmlns:a16="http://schemas.microsoft.com/office/drawing/2014/main" id="{563AB792-32E3-F74C-82E2-96ED06FD3D13}"/>
            </a:ext>
          </a:extLst>
        </xdr:cNvPr>
        <xdr:cNvSpPr/>
      </xdr:nvSpPr>
      <xdr:spPr bwMode="auto">
        <a:xfrm>
          <a:off x="7518400" y="4953000"/>
          <a:ext cx="508000" cy="444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lang="en-US" sz="1100"/>
            <a:t>6</a:t>
          </a:r>
        </a:p>
      </xdr:txBody>
    </xdr:sp>
    <xdr:clientData/>
  </xdr:twoCellAnchor>
  <xdr:twoCellAnchor>
    <xdr:from>
      <xdr:col>13</xdr:col>
      <xdr:colOff>596900</xdr:colOff>
      <xdr:row>28</xdr:row>
      <xdr:rowOff>101600</xdr:rowOff>
    </xdr:from>
    <xdr:to>
      <xdr:col>14</xdr:col>
      <xdr:colOff>431800</xdr:colOff>
      <xdr:row>31</xdr:row>
      <xdr:rowOff>50800</xdr:rowOff>
    </xdr:to>
    <xdr:sp macro="" textlink="">
      <xdr:nvSpPr>
        <xdr:cNvPr id="16" name="Rectangle 15">
          <a:extLst>
            <a:ext uri="{FF2B5EF4-FFF2-40B4-BE49-F238E27FC236}">
              <a16:creationId xmlns:a16="http://schemas.microsoft.com/office/drawing/2014/main" id="{4BB3CA01-E58F-8D45-B1A3-4B6FA7229626}"/>
            </a:ext>
          </a:extLst>
        </xdr:cNvPr>
        <xdr:cNvSpPr/>
      </xdr:nvSpPr>
      <xdr:spPr bwMode="auto">
        <a:xfrm>
          <a:off x="9347200" y="4724400"/>
          <a:ext cx="508000" cy="444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lang="en-US" sz="1100"/>
            <a:t>7</a:t>
          </a:r>
        </a:p>
      </xdr:txBody>
    </xdr:sp>
    <xdr:clientData/>
  </xdr:twoCellAnchor>
  <xdr:twoCellAnchor>
    <xdr:from>
      <xdr:col>15</xdr:col>
      <xdr:colOff>266700</xdr:colOff>
      <xdr:row>20</xdr:row>
      <xdr:rowOff>127000</xdr:rowOff>
    </xdr:from>
    <xdr:to>
      <xdr:col>16</xdr:col>
      <xdr:colOff>101600</xdr:colOff>
      <xdr:row>23</xdr:row>
      <xdr:rowOff>76200</xdr:rowOff>
    </xdr:to>
    <xdr:sp macro="" textlink="">
      <xdr:nvSpPr>
        <xdr:cNvPr id="17" name="Rectangle 16">
          <a:extLst>
            <a:ext uri="{FF2B5EF4-FFF2-40B4-BE49-F238E27FC236}">
              <a16:creationId xmlns:a16="http://schemas.microsoft.com/office/drawing/2014/main" id="{C51BC499-8AA9-984F-8568-4641A053E3C9}"/>
            </a:ext>
          </a:extLst>
        </xdr:cNvPr>
        <xdr:cNvSpPr/>
      </xdr:nvSpPr>
      <xdr:spPr bwMode="auto">
        <a:xfrm>
          <a:off x="10363200" y="3429000"/>
          <a:ext cx="508000" cy="444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lang="en-US" sz="1100"/>
            <a:t>5</a:t>
          </a:r>
        </a:p>
      </xdr:txBody>
    </xdr:sp>
    <xdr:clientData/>
  </xdr:twoCellAnchor>
  <xdr:twoCellAnchor>
    <xdr:from>
      <xdr:col>10</xdr:col>
      <xdr:colOff>457200</xdr:colOff>
      <xdr:row>20</xdr:row>
      <xdr:rowOff>57150</xdr:rowOff>
    </xdr:from>
    <xdr:to>
      <xdr:col>11</xdr:col>
      <xdr:colOff>406400</xdr:colOff>
      <xdr:row>20</xdr:row>
      <xdr:rowOff>76200</xdr:rowOff>
    </xdr:to>
    <xdr:cxnSp macro="">
      <xdr:nvCxnSpPr>
        <xdr:cNvPr id="19" name="Straight Connector 18">
          <a:extLst>
            <a:ext uri="{FF2B5EF4-FFF2-40B4-BE49-F238E27FC236}">
              <a16:creationId xmlns:a16="http://schemas.microsoft.com/office/drawing/2014/main" id="{759FA8CE-8FAB-2E6B-9868-CB8308770523}"/>
            </a:ext>
          </a:extLst>
        </xdr:cNvPr>
        <xdr:cNvCxnSpPr>
          <a:stCxn id="5" idx="3"/>
          <a:endCxn id="12" idx="1"/>
        </xdr:cNvCxnSpPr>
      </xdr:nvCxnSpPr>
      <xdr:spPr bwMode="auto">
        <a:xfrm>
          <a:off x="7188200" y="3359150"/>
          <a:ext cx="622300" cy="190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76200</xdr:colOff>
      <xdr:row>20</xdr:row>
      <xdr:rowOff>76200</xdr:rowOff>
    </xdr:from>
    <xdr:to>
      <xdr:col>13</xdr:col>
      <xdr:colOff>266700</xdr:colOff>
      <xdr:row>21</xdr:row>
      <xdr:rowOff>19050</xdr:rowOff>
    </xdr:to>
    <xdr:cxnSp macro="">
      <xdr:nvCxnSpPr>
        <xdr:cNvPr id="21" name="Straight Connector 20">
          <a:extLst>
            <a:ext uri="{FF2B5EF4-FFF2-40B4-BE49-F238E27FC236}">
              <a16:creationId xmlns:a16="http://schemas.microsoft.com/office/drawing/2014/main" id="{D57CAA13-A2E8-1A45-A484-F73DC8FB8D91}"/>
            </a:ext>
          </a:extLst>
        </xdr:cNvPr>
        <xdr:cNvCxnSpPr>
          <a:stCxn id="12" idx="3"/>
          <a:endCxn id="14" idx="1"/>
        </xdr:cNvCxnSpPr>
      </xdr:nvCxnSpPr>
      <xdr:spPr bwMode="auto">
        <a:xfrm>
          <a:off x="8458200" y="3378200"/>
          <a:ext cx="863600" cy="1079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114300</xdr:colOff>
      <xdr:row>21</xdr:row>
      <xdr:rowOff>31750</xdr:rowOff>
    </xdr:from>
    <xdr:to>
      <xdr:col>15</xdr:col>
      <xdr:colOff>266700</xdr:colOff>
      <xdr:row>22</xdr:row>
      <xdr:rowOff>19050</xdr:rowOff>
    </xdr:to>
    <xdr:cxnSp macro="">
      <xdr:nvCxnSpPr>
        <xdr:cNvPr id="22" name="Straight Connector 21">
          <a:extLst>
            <a:ext uri="{FF2B5EF4-FFF2-40B4-BE49-F238E27FC236}">
              <a16:creationId xmlns:a16="http://schemas.microsoft.com/office/drawing/2014/main" id="{6DF2666E-71B3-114A-9559-44717B4DADF1}"/>
            </a:ext>
          </a:extLst>
        </xdr:cNvPr>
        <xdr:cNvCxnSpPr>
          <a:endCxn id="17" idx="1"/>
        </xdr:cNvCxnSpPr>
      </xdr:nvCxnSpPr>
      <xdr:spPr bwMode="auto">
        <a:xfrm>
          <a:off x="9537700" y="3498850"/>
          <a:ext cx="825500" cy="1524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622300</xdr:colOff>
      <xdr:row>30</xdr:row>
      <xdr:rowOff>69850</xdr:rowOff>
    </xdr:from>
    <xdr:to>
      <xdr:col>13</xdr:col>
      <xdr:colOff>596900</xdr:colOff>
      <xdr:row>31</xdr:row>
      <xdr:rowOff>57150</xdr:rowOff>
    </xdr:to>
    <xdr:cxnSp macro="">
      <xdr:nvCxnSpPr>
        <xdr:cNvPr id="23" name="Straight Connector 22">
          <a:extLst>
            <a:ext uri="{FF2B5EF4-FFF2-40B4-BE49-F238E27FC236}">
              <a16:creationId xmlns:a16="http://schemas.microsoft.com/office/drawing/2014/main" id="{5E027AE0-EE48-F647-A798-06A48498587B}"/>
            </a:ext>
          </a:extLst>
        </xdr:cNvPr>
        <xdr:cNvCxnSpPr>
          <a:stCxn id="15" idx="3"/>
        </xdr:cNvCxnSpPr>
      </xdr:nvCxnSpPr>
      <xdr:spPr bwMode="auto">
        <a:xfrm flipV="1">
          <a:off x="8026400" y="5022850"/>
          <a:ext cx="1320800" cy="1524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431800</xdr:colOff>
      <xdr:row>23</xdr:row>
      <xdr:rowOff>82550</xdr:rowOff>
    </xdr:from>
    <xdr:to>
      <xdr:col>15</xdr:col>
      <xdr:colOff>558800</xdr:colOff>
      <xdr:row>29</xdr:row>
      <xdr:rowOff>158750</xdr:rowOff>
    </xdr:to>
    <xdr:cxnSp macro="">
      <xdr:nvCxnSpPr>
        <xdr:cNvPr id="24" name="Straight Connector 23">
          <a:extLst>
            <a:ext uri="{FF2B5EF4-FFF2-40B4-BE49-F238E27FC236}">
              <a16:creationId xmlns:a16="http://schemas.microsoft.com/office/drawing/2014/main" id="{B4221F5C-293A-C44C-9AEB-D2C4665A8C44}"/>
            </a:ext>
          </a:extLst>
        </xdr:cNvPr>
        <xdr:cNvCxnSpPr>
          <a:stCxn id="16" idx="3"/>
        </xdr:cNvCxnSpPr>
      </xdr:nvCxnSpPr>
      <xdr:spPr bwMode="auto">
        <a:xfrm flipV="1">
          <a:off x="9855200" y="3879850"/>
          <a:ext cx="800100" cy="10668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647700</xdr:colOff>
      <xdr:row>22</xdr:row>
      <xdr:rowOff>76200</xdr:rowOff>
    </xdr:from>
    <xdr:to>
      <xdr:col>13</xdr:col>
      <xdr:colOff>520700</xdr:colOff>
      <xdr:row>26</xdr:row>
      <xdr:rowOff>120650</xdr:rowOff>
    </xdr:to>
    <xdr:cxnSp macro="">
      <xdr:nvCxnSpPr>
        <xdr:cNvPr id="29" name="Straight Connector 28">
          <a:extLst>
            <a:ext uri="{FF2B5EF4-FFF2-40B4-BE49-F238E27FC236}">
              <a16:creationId xmlns:a16="http://schemas.microsoft.com/office/drawing/2014/main" id="{3BA2AD5B-620C-7B44-BF88-15AE33E386C0}"/>
            </a:ext>
          </a:extLst>
        </xdr:cNvPr>
        <xdr:cNvCxnSpPr>
          <a:stCxn id="13" idx="3"/>
          <a:endCxn id="14" idx="2"/>
        </xdr:cNvCxnSpPr>
      </xdr:nvCxnSpPr>
      <xdr:spPr bwMode="auto">
        <a:xfrm flipV="1">
          <a:off x="7378700" y="3708400"/>
          <a:ext cx="2197100" cy="7048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992C5-3EDF-4F83-A8DF-D32BC9E3F3C2}">
  <dimension ref="A5:K21"/>
  <sheetViews>
    <sheetView zoomScale="125" zoomScaleNormal="85" workbookViewId="0">
      <selection activeCell="H6" sqref="H6:K13"/>
    </sheetView>
  </sheetViews>
  <sheetFormatPr baseColWidth="10" defaultColWidth="8.83203125" defaultRowHeight="13" x14ac:dyDescent="0.15"/>
  <cols>
    <col min="1" max="1" width="7.33203125" style="1" bestFit="1" customWidth="1"/>
    <col min="2" max="2" width="2.6640625" style="1" bestFit="1" customWidth="1"/>
    <col min="3" max="3" width="9.83203125" style="1" bestFit="1" customWidth="1"/>
    <col min="4" max="4" width="2.6640625" style="1" bestFit="1" customWidth="1"/>
    <col min="5" max="5" width="9.83203125" style="1" bestFit="1" customWidth="1"/>
    <col min="6" max="6" width="6.1640625" style="1" bestFit="1" customWidth="1"/>
    <col min="7" max="7" width="8.83203125" style="1"/>
    <col min="8" max="8" width="6" style="1" bestFit="1" customWidth="1"/>
    <col min="9" max="9" width="9.1640625" style="1" bestFit="1" customWidth="1"/>
    <col min="10" max="10" width="7.33203125" style="1" bestFit="1" customWidth="1"/>
    <col min="11" max="11" width="12.5" style="1" bestFit="1" customWidth="1"/>
    <col min="12" max="16384" width="8.83203125" style="1"/>
  </cols>
  <sheetData>
    <row r="5" spans="1:11" x14ac:dyDescent="0.15">
      <c r="A5" s="68" t="s">
        <v>21</v>
      </c>
      <c r="B5" s="69" t="s">
        <v>18</v>
      </c>
      <c r="C5" s="69"/>
      <c r="D5" s="69"/>
      <c r="E5" s="69"/>
      <c r="F5" s="68" t="s">
        <v>33</v>
      </c>
    </row>
    <row r="6" spans="1:11" x14ac:dyDescent="0.15">
      <c r="A6" s="68"/>
      <c r="B6" s="69" t="s">
        <v>19</v>
      </c>
      <c r="C6" s="69"/>
      <c r="D6" s="69" t="s">
        <v>20</v>
      </c>
      <c r="E6" s="69"/>
      <c r="F6" s="68"/>
      <c r="H6" s="27" t="s">
        <v>22</v>
      </c>
      <c r="I6" s="27" t="s">
        <v>25</v>
      </c>
      <c r="J6" s="27" t="s">
        <v>23</v>
      </c>
      <c r="K6" s="27" t="s">
        <v>24</v>
      </c>
    </row>
    <row r="7" spans="1:11" x14ac:dyDescent="0.15">
      <c r="A7" s="23">
        <v>0</v>
      </c>
      <c r="B7" s="24">
        <v>1</v>
      </c>
      <c r="C7" s="28" t="str">
        <f>VLOOKUP(B7,$H$6:$I$13,2,)</f>
        <v>pittsburgh</v>
      </c>
      <c r="D7" s="24">
        <v>3</v>
      </c>
      <c r="E7" s="28" t="str">
        <f>VLOOKUP(D7,$H$6:$I$13,2,FALSE)</f>
        <v>charleston</v>
      </c>
      <c r="F7" s="24">
        <v>3</v>
      </c>
      <c r="H7" s="22">
        <v>1</v>
      </c>
      <c r="I7" s="27" t="s">
        <v>26</v>
      </c>
      <c r="J7" s="32">
        <f>SUMIF($D$7:$D$18,H7,$A$7:$A$189)-SUMIF($B$7:$B$19,H7,$A$7:$A$19)</f>
        <v>-1300</v>
      </c>
      <c r="K7" s="22">
        <v>-1300</v>
      </c>
    </row>
    <row r="8" spans="1:11" x14ac:dyDescent="0.15">
      <c r="A8" s="23">
        <v>1300</v>
      </c>
      <c r="B8" s="24">
        <v>1</v>
      </c>
      <c r="C8" s="28" t="str">
        <f t="shared" ref="C8:C13" si="0">VLOOKUP(B8,$H$6:$I$13,2,)</f>
        <v>pittsburgh</v>
      </c>
      <c r="D8" s="24">
        <v>4</v>
      </c>
      <c r="E8" s="28" t="str">
        <f t="shared" ref="E8:E13" si="1">VLOOKUP(D8,$H$6:$I$13,2,FALSE)</f>
        <v>ranoke</v>
      </c>
      <c r="F8" s="24">
        <v>4</v>
      </c>
      <c r="H8" s="22">
        <v>2</v>
      </c>
      <c r="I8" s="27" t="s">
        <v>27</v>
      </c>
      <c r="J8" s="32">
        <f>SUMIF($D$7:$D$18,H8,$A$7:$A$18)-SUMIF($B$7:$B$18,H8,$A$7:$A$19)</f>
        <v>-1100</v>
      </c>
      <c r="K8" s="22">
        <v>-1200</v>
      </c>
    </row>
    <row r="9" spans="1:11" x14ac:dyDescent="0.15">
      <c r="A9" s="23">
        <v>1100</v>
      </c>
      <c r="B9" s="24">
        <v>2</v>
      </c>
      <c r="C9" s="28" t="str">
        <f t="shared" si="0"/>
        <v>staunton</v>
      </c>
      <c r="D9" s="24">
        <v>3</v>
      </c>
      <c r="E9" s="28" t="str">
        <f t="shared" si="1"/>
        <v>charleston</v>
      </c>
      <c r="F9" s="24">
        <v>3</v>
      </c>
      <c r="H9" s="22">
        <v>3</v>
      </c>
      <c r="I9" s="27" t="s">
        <v>28</v>
      </c>
      <c r="J9" s="32">
        <f>SUMIF($D$7:$D$18,H9,$A$7:$A$19)-SUMIF($B$7:$B$18,H9,$A$7:$A$18)</f>
        <v>300</v>
      </c>
      <c r="K9" s="22">
        <v>300</v>
      </c>
    </row>
    <row r="10" spans="1:11" x14ac:dyDescent="0.15">
      <c r="A10" s="23">
        <v>0</v>
      </c>
      <c r="B10" s="24">
        <v>2</v>
      </c>
      <c r="C10" s="28" t="str">
        <f t="shared" si="0"/>
        <v>staunton</v>
      </c>
      <c r="D10" s="24">
        <v>4</v>
      </c>
      <c r="E10" s="28" t="str">
        <f t="shared" si="1"/>
        <v>ranoke</v>
      </c>
      <c r="F10" s="24">
        <v>4</v>
      </c>
      <c r="H10" s="22">
        <v>4</v>
      </c>
      <c r="I10" s="27" t="s">
        <v>29</v>
      </c>
      <c r="J10" s="32">
        <f t="shared" ref="J10:J13" si="2">SUMIF($D$7:$D$19,H10,$A$7:$A$19)-SUMIF($B$7:$B$19,H10,$A$7:$A$19)</f>
        <v>200</v>
      </c>
      <c r="K10" s="22">
        <v>200</v>
      </c>
    </row>
    <row r="11" spans="1:11" x14ac:dyDescent="0.15">
      <c r="A11" s="23">
        <v>0</v>
      </c>
      <c r="B11" s="24">
        <v>3</v>
      </c>
      <c r="C11" s="28" t="str">
        <f t="shared" si="0"/>
        <v>charleston</v>
      </c>
      <c r="D11" s="24">
        <v>4</v>
      </c>
      <c r="E11" s="28" t="str">
        <f t="shared" si="1"/>
        <v>ranoke</v>
      </c>
      <c r="F11" s="24">
        <v>7</v>
      </c>
      <c r="H11" s="22">
        <v>5</v>
      </c>
      <c r="I11" s="27" t="s">
        <v>30</v>
      </c>
      <c r="J11" s="32">
        <f t="shared" si="2"/>
        <v>800</v>
      </c>
      <c r="K11" s="22">
        <v>800</v>
      </c>
    </row>
    <row r="12" spans="1:11" x14ac:dyDescent="0.15">
      <c r="A12" s="23">
        <v>800</v>
      </c>
      <c r="B12" s="24">
        <v>3</v>
      </c>
      <c r="C12" s="28" t="str">
        <f t="shared" si="0"/>
        <v>charleston</v>
      </c>
      <c r="D12" s="24">
        <v>5</v>
      </c>
      <c r="E12" s="28" t="str">
        <f t="shared" si="1"/>
        <v>richmond</v>
      </c>
      <c r="F12" s="24">
        <v>9</v>
      </c>
      <c r="H12" s="22">
        <v>6</v>
      </c>
      <c r="I12" s="27" t="s">
        <v>31</v>
      </c>
      <c r="J12" s="32">
        <f t="shared" si="2"/>
        <v>700</v>
      </c>
      <c r="K12" s="22">
        <v>700</v>
      </c>
    </row>
    <row r="13" spans="1:11" x14ac:dyDescent="0.15">
      <c r="A13" s="23">
        <v>0</v>
      </c>
      <c r="B13" s="29">
        <v>3</v>
      </c>
      <c r="C13" s="29" t="str">
        <f t="shared" si="0"/>
        <v>charleston</v>
      </c>
      <c r="D13" s="29">
        <v>6</v>
      </c>
      <c r="E13" s="29" t="str">
        <f t="shared" si="1"/>
        <v>norflok</v>
      </c>
      <c r="F13" s="29">
        <v>6</v>
      </c>
      <c r="H13" s="22">
        <v>7</v>
      </c>
      <c r="I13" s="27" t="s">
        <v>32</v>
      </c>
      <c r="J13" s="32">
        <f t="shared" si="2"/>
        <v>400</v>
      </c>
      <c r="K13" s="22">
        <v>400</v>
      </c>
    </row>
    <row r="14" spans="1:11" x14ac:dyDescent="0.15">
      <c r="A14" s="23">
        <v>0</v>
      </c>
      <c r="B14" s="24">
        <v>4</v>
      </c>
      <c r="C14" s="28" t="str">
        <f>VLOOKUP(B14,$H$6:$I$13,2,)</f>
        <v>ranoke</v>
      </c>
      <c r="D14" s="24">
        <v>3</v>
      </c>
      <c r="E14" s="28" t="str">
        <f>VLOOKUP(D14,$H$6:$I$13,2,FALSE)</f>
        <v>charleston</v>
      </c>
      <c r="F14" s="24">
        <v>7</v>
      </c>
    </row>
    <row r="15" spans="1:11" x14ac:dyDescent="0.15">
      <c r="A15" s="23">
        <v>1100</v>
      </c>
      <c r="B15" s="24">
        <v>4</v>
      </c>
      <c r="C15" s="28" t="str">
        <f>VLOOKUP(B15,$H$6:$I$13,2,)</f>
        <v>ranoke</v>
      </c>
      <c r="D15" s="24">
        <v>6</v>
      </c>
      <c r="E15" s="28" t="str">
        <f>VLOOKUP(D15,$H$6:$I$13,2,FALSE)</f>
        <v>norflok</v>
      </c>
      <c r="F15" s="24">
        <v>4</v>
      </c>
    </row>
    <row r="16" spans="1:11" x14ac:dyDescent="0.15">
      <c r="A16" s="23">
        <v>0</v>
      </c>
      <c r="B16" s="24">
        <v>4</v>
      </c>
      <c r="C16" s="28" t="str">
        <f>VLOOKUP(B16,$H$6:$I$13,2,)</f>
        <v>ranoke</v>
      </c>
      <c r="D16" s="24">
        <v>7</v>
      </c>
      <c r="E16" s="28" t="str">
        <f>VLOOKUP(D16,$H$6:$I$13,2,FALSE)</f>
        <v>suffolk</v>
      </c>
      <c r="F16" s="24">
        <v>8</v>
      </c>
    </row>
    <row r="17" spans="1:6" x14ac:dyDescent="0.15">
      <c r="A17" s="23">
        <v>0</v>
      </c>
      <c r="B17" s="24">
        <v>5</v>
      </c>
      <c r="C17" s="28" t="str">
        <f>VLOOKUP(B17,$H$6:$I$13,2,)</f>
        <v>richmond</v>
      </c>
      <c r="D17" s="24">
        <v>6</v>
      </c>
      <c r="E17" s="28" t="str">
        <f>VLOOKUP(D17,$H$6:$I$13,2,FALSE)</f>
        <v>norflok</v>
      </c>
      <c r="F17" s="29">
        <v>3</v>
      </c>
    </row>
    <row r="18" spans="1:6" x14ac:dyDescent="0.15">
      <c r="A18" s="23">
        <v>400</v>
      </c>
      <c r="B18" s="24">
        <v>6</v>
      </c>
      <c r="C18" s="28" t="str">
        <f>VLOOKUP(B18,$H$6:$I$13,2,)</f>
        <v>norflok</v>
      </c>
      <c r="D18" s="24">
        <v>7</v>
      </c>
      <c r="E18" s="28" t="str">
        <f>VLOOKUP(D18,$H$6:$I$13,2,FALSE)</f>
        <v>suffolk</v>
      </c>
      <c r="F18" s="29">
        <v>2</v>
      </c>
    </row>
    <row r="19" spans="1:6" x14ac:dyDescent="0.15">
      <c r="A19" s="31"/>
      <c r="B19" s="30"/>
      <c r="C19" s="30"/>
      <c r="D19" s="30"/>
      <c r="E19" s="30"/>
      <c r="F19" s="30"/>
    </row>
    <row r="20" spans="1:6" x14ac:dyDescent="0.15">
      <c r="E20" s="37" t="s">
        <v>34</v>
      </c>
      <c r="F20" s="38">
        <f>SUMPRODUCT(A7:A18,F7:F18)</f>
        <v>20900</v>
      </c>
    </row>
    <row r="21" spans="1:6" x14ac:dyDescent="0.15">
      <c r="A21" s="25"/>
      <c r="B21" s="26"/>
    </row>
  </sheetData>
  <mergeCells count="5">
    <mergeCell ref="A5:A6"/>
    <mergeCell ref="F5:F6"/>
    <mergeCell ref="B5:E5"/>
    <mergeCell ref="B6:C6"/>
    <mergeCell ref="D6:E6"/>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270EE-DD87-BA4C-B69D-8BA404DB596D}">
  <dimension ref="A5:K21"/>
  <sheetViews>
    <sheetView zoomScale="125" zoomScaleNormal="85" workbookViewId="0">
      <selection activeCell="I30" sqref="I30"/>
    </sheetView>
  </sheetViews>
  <sheetFormatPr baseColWidth="10" defaultColWidth="8.83203125" defaultRowHeight="13" x14ac:dyDescent="0.15"/>
  <cols>
    <col min="1" max="1" width="7.33203125" style="1" bestFit="1" customWidth="1"/>
    <col min="2" max="2" width="2.6640625" style="1" bestFit="1" customWidth="1"/>
    <col min="3" max="3" width="9.83203125" style="1" bestFit="1" customWidth="1"/>
    <col min="4" max="4" width="2.6640625" style="1" bestFit="1" customWidth="1"/>
    <col min="5" max="5" width="9.83203125" style="1" bestFit="1" customWidth="1"/>
    <col min="6" max="6" width="6.1640625" style="1" bestFit="1" customWidth="1"/>
    <col min="7" max="7" width="8.83203125" style="1"/>
    <col min="8" max="8" width="6" style="1" bestFit="1" customWidth="1"/>
    <col min="9" max="9" width="9.1640625" style="1" bestFit="1" customWidth="1"/>
    <col min="10" max="10" width="7.33203125" style="1" bestFit="1" customWidth="1"/>
    <col min="11" max="11" width="12.5" style="1" bestFit="1" customWidth="1"/>
    <col min="12" max="16384" width="8.83203125" style="1"/>
  </cols>
  <sheetData>
    <row r="5" spans="1:11" x14ac:dyDescent="0.15">
      <c r="A5" s="68" t="s">
        <v>21</v>
      </c>
      <c r="B5" s="69" t="s">
        <v>18</v>
      </c>
      <c r="C5" s="69"/>
      <c r="D5" s="69"/>
      <c r="E5" s="69"/>
      <c r="F5" s="68" t="s">
        <v>33</v>
      </c>
    </row>
    <row r="6" spans="1:11" x14ac:dyDescent="0.15">
      <c r="A6" s="68"/>
      <c r="B6" s="69" t="s">
        <v>19</v>
      </c>
      <c r="C6" s="69"/>
      <c r="D6" s="69" t="s">
        <v>20</v>
      </c>
      <c r="E6" s="69"/>
      <c r="F6" s="68"/>
      <c r="H6" s="27" t="s">
        <v>22</v>
      </c>
      <c r="I6" s="27" t="s">
        <v>25</v>
      </c>
      <c r="J6" s="27" t="s">
        <v>23</v>
      </c>
      <c r="K6" s="27" t="s">
        <v>24</v>
      </c>
    </row>
    <row r="7" spans="1:11" x14ac:dyDescent="0.15">
      <c r="A7" s="23">
        <v>1000</v>
      </c>
      <c r="B7" s="24">
        <v>1</v>
      </c>
      <c r="C7" s="28" t="str">
        <f>VLOOKUP(B7,$H$6:$I$13,2,)</f>
        <v>pittsburgh</v>
      </c>
      <c r="D7" s="24">
        <v>3</v>
      </c>
      <c r="E7" s="28" t="str">
        <f>VLOOKUP(D7,$H$6:$I$13,2,FALSE)</f>
        <v>charleston</v>
      </c>
      <c r="F7" s="24">
        <v>3</v>
      </c>
      <c r="H7" s="22">
        <v>1</v>
      </c>
      <c r="I7" s="27" t="s">
        <v>26</v>
      </c>
      <c r="J7" s="32">
        <f>SUMIF($D$7:$D$18,H7,$A$7:$A$189)-SUMIF($B$7:$B$19,H7,$A$7:$A$19)</f>
        <v>-1300</v>
      </c>
      <c r="K7" s="22">
        <v>-1300</v>
      </c>
    </row>
    <row r="8" spans="1:11" x14ac:dyDescent="0.15">
      <c r="A8" s="23">
        <v>300</v>
      </c>
      <c r="B8" s="24">
        <v>1</v>
      </c>
      <c r="C8" s="28" t="str">
        <f t="shared" ref="C8:C13" si="0">VLOOKUP(B8,$H$6:$I$13,2,)</f>
        <v>pittsburgh</v>
      </c>
      <c r="D8" s="24">
        <v>4</v>
      </c>
      <c r="E8" s="28" t="str">
        <f t="shared" ref="E8:E13" si="1">VLOOKUP(D8,$H$6:$I$13,2,FALSE)</f>
        <v>ranoke</v>
      </c>
      <c r="F8" s="24">
        <v>4</v>
      </c>
      <c r="H8" s="22">
        <v>2</v>
      </c>
      <c r="I8" s="27" t="s">
        <v>27</v>
      </c>
      <c r="J8" s="32">
        <f>SUMIF($D$7:$D$18,H8,$A$7:$A$18)-SUMIF($B$7:$B$18,H8,$A$7:$A$19)</f>
        <v>-1100</v>
      </c>
      <c r="K8" s="22">
        <v>-1200</v>
      </c>
    </row>
    <row r="9" spans="1:11" x14ac:dyDescent="0.15">
      <c r="A9" s="23">
        <v>200</v>
      </c>
      <c r="B9" s="24">
        <v>2</v>
      </c>
      <c r="C9" s="28" t="str">
        <f t="shared" si="0"/>
        <v>staunton</v>
      </c>
      <c r="D9" s="24">
        <v>3</v>
      </c>
      <c r="E9" s="28" t="str">
        <f t="shared" si="1"/>
        <v>charleston</v>
      </c>
      <c r="F9" s="24">
        <v>3</v>
      </c>
      <c r="H9" s="22">
        <v>3</v>
      </c>
      <c r="I9" s="27" t="s">
        <v>28</v>
      </c>
      <c r="J9" s="32">
        <f>SUMIF($D$7:$D$18,H9,$A$7:$A$19)-SUMIF($B$7:$B$18,H9,$A$7:$A$18)</f>
        <v>300</v>
      </c>
      <c r="K9" s="22">
        <v>300</v>
      </c>
    </row>
    <row r="10" spans="1:11" x14ac:dyDescent="0.15">
      <c r="A10" s="23">
        <v>900</v>
      </c>
      <c r="B10" s="24">
        <v>2</v>
      </c>
      <c r="C10" s="28" t="str">
        <f t="shared" si="0"/>
        <v>staunton</v>
      </c>
      <c r="D10" s="24">
        <v>4</v>
      </c>
      <c r="E10" s="28" t="str">
        <f t="shared" si="1"/>
        <v>ranoke</v>
      </c>
      <c r="F10" s="24">
        <v>4</v>
      </c>
      <c r="H10" s="22">
        <v>4</v>
      </c>
      <c r="I10" s="27" t="s">
        <v>29</v>
      </c>
      <c r="J10" s="32">
        <f t="shared" ref="J10:J13" si="2">SUMIF($D$7:$D$19,H10,$A$7:$A$19)-SUMIF($B$7:$B$19,H10,$A$7:$A$19)</f>
        <v>200</v>
      </c>
      <c r="K10" s="22">
        <v>200</v>
      </c>
    </row>
    <row r="11" spans="1:11" x14ac:dyDescent="0.15">
      <c r="A11" s="23">
        <v>0</v>
      </c>
      <c r="B11" s="24">
        <v>3</v>
      </c>
      <c r="C11" s="28" t="str">
        <f t="shared" si="0"/>
        <v>charleston</v>
      </c>
      <c r="D11" s="24">
        <v>4</v>
      </c>
      <c r="E11" s="28" t="str">
        <f t="shared" si="1"/>
        <v>ranoke</v>
      </c>
      <c r="F11" s="24">
        <v>7</v>
      </c>
      <c r="H11" s="22">
        <v>5</v>
      </c>
      <c r="I11" s="27" t="s">
        <v>30</v>
      </c>
      <c r="J11" s="32">
        <f t="shared" si="2"/>
        <v>800</v>
      </c>
      <c r="K11" s="22">
        <v>800</v>
      </c>
    </row>
    <row r="12" spans="1:11" x14ac:dyDescent="0.15">
      <c r="A12" s="23">
        <v>800</v>
      </c>
      <c r="B12" s="24">
        <v>3</v>
      </c>
      <c r="C12" s="28" t="str">
        <f t="shared" si="0"/>
        <v>charleston</v>
      </c>
      <c r="D12" s="24">
        <v>5</v>
      </c>
      <c r="E12" s="28" t="str">
        <f t="shared" si="1"/>
        <v>richmond</v>
      </c>
      <c r="F12" s="24">
        <v>9</v>
      </c>
      <c r="H12" s="22">
        <v>6</v>
      </c>
      <c r="I12" s="27" t="s">
        <v>31</v>
      </c>
      <c r="J12" s="32">
        <f t="shared" si="2"/>
        <v>700</v>
      </c>
      <c r="K12" s="22">
        <v>700</v>
      </c>
    </row>
    <row r="13" spans="1:11" x14ac:dyDescent="0.15">
      <c r="A13" s="23">
        <v>100</v>
      </c>
      <c r="B13" s="29">
        <v>3</v>
      </c>
      <c r="C13" s="29" t="str">
        <f t="shared" si="0"/>
        <v>charleston</v>
      </c>
      <c r="D13" s="29">
        <v>6</v>
      </c>
      <c r="E13" s="29" t="str">
        <f t="shared" si="1"/>
        <v>norflok</v>
      </c>
      <c r="F13" s="29">
        <v>6</v>
      </c>
      <c r="H13" s="22">
        <v>7</v>
      </c>
      <c r="I13" s="27" t="s">
        <v>32</v>
      </c>
      <c r="J13" s="32">
        <f t="shared" si="2"/>
        <v>400</v>
      </c>
      <c r="K13" s="22">
        <v>400</v>
      </c>
    </row>
    <row r="14" spans="1:11" x14ac:dyDescent="0.15">
      <c r="A14" s="23">
        <v>0</v>
      </c>
      <c r="B14" s="24">
        <v>4</v>
      </c>
      <c r="C14" s="28" t="str">
        <f>VLOOKUP(B14,$H$6:$I$13,2,)</f>
        <v>ranoke</v>
      </c>
      <c r="D14" s="24">
        <v>3</v>
      </c>
      <c r="E14" s="28" t="str">
        <f>VLOOKUP(D14,$H$6:$I$13,2,FALSE)</f>
        <v>charleston</v>
      </c>
      <c r="F14" s="24">
        <v>7</v>
      </c>
    </row>
    <row r="15" spans="1:11" x14ac:dyDescent="0.15">
      <c r="A15" s="23">
        <v>1000</v>
      </c>
      <c r="B15" s="24">
        <v>4</v>
      </c>
      <c r="C15" s="28" t="str">
        <f>VLOOKUP(B15,$H$6:$I$13,2,)</f>
        <v>ranoke</v>
      </c>
      <c r="D15" s="24">
        <v>6</v>
      </c>
      <c r="E15" s="28" t="str">
        <f>VLOOKUP(D15,$H$6:$I$13,2,FALSE)</f>
        <v>norflok</v>
      </c>
      <c r="F15" s="24">
        <v>4</v>
      </c>
    </row>
    <row r="16" spans="1:11" x14ac:dyDescent="0.15">
      <c r="A16" s="23">
        <v>0</v>
      </c>
      <c r="B16" s="24">
        <v>4</v>
      </c>
      <c r="C16" s="28" t="str">
        <f>VLOOKUP(B16,$H$6:$I$13,2,)</f>
        <v>ranoke</v>
      </c>
      <c r="D16" s="24">
        <v>7</v>
      </c>
      <c r="E16" s="28" t="str">
        <f>VLOOKUP(D16,$H$6:$I$13,2,FALSE)</f>
        <v>suffolk</v>
      </c>
      <c r="F16" s="24">
        <v>8</v>
      </c>
    </row>
    <row r="17" spans="1:6" x14ac:dyDescent="0.15">
      <c r="A17" s="23">
        <v>0</v>
      </c>
      <c r="B17" s="24">
        <v>5</v>
      </c>
      <c r="C17" s="28" t="str">
        <f>VLOOKUP(B17,$H$6:$I$13,2,)</f>
        <v>richmond</v>
      </c>
      <c r="D17" s="24">
        <v>6</v>
      </c>
      <c r="E17" s="28" t="str">
        <f>VLOOKUP(D17,$H$6:$I$13,2,FALSE)</f>
        <v>norflok</v>
      </c>
      <c r="F17" s="29">
        <v>3</v>
      </c>
    </row>
    <row r="18" spans="1:6" x14ac:dyDescent="0.15">
      <c r="A18" s="23">
        <v>400</v>
      </c>
      <c r="B18" s="24">
        <v>6</v>
      </c>
      <c r="C18" s="28" t="str">
        <f>VLOOKUP(B18,$H$6:$I$13,2,)</f>
        <v>norflok</v>
      </c>
      <c r="D18" s="24">
        <v>7</v>
      </c>
      <c r="E18" s="28" t="str">
        <f>VLOOKUP(D18,$H$6:$I$13,2,FALSE)</f>
        <v>suffolk</v>
      </c>
      <c r="F18" s="29">
        <v>2</v>
      </c>
    </row>
    <row r="19" spans="1:6" x14ac:dyDescent="0.15">
      <c r="A19" s="31"/>
      <c r="B19" s="30"/>
      <c r="C19" s="30"/>
      <c r="D19" s="30"/>
      <c r="E19" s="30"/>
      <c r="F19" s="30"/>
    </row>
    <row r="20" spans="1:6" x14ac:dyDescent="0.15">
      <c r="E20" s="37" t="s">
        <v>34</v>
      </c>
      <c r="F20" s="38">
        <f>SUMPRODUCT(A7:A18,F7:F18)</f>
        <v>21000</v>
      </c>
    </row>
    <row r="21" spans="1:6" x14ac:dyDescent="0.15">
      <c r="A21" s="25"/>
      <c r="B21" s="26"/>
    </row>
  </sheetData>
  <mergeCells count="5">
    <mergeCell ref="A5:A6"/>
    <mergeCell ref="B5:E5"/>
    <mergeCell ref="F5:F6"/>
    <mergeCell ref="B6:C6"/>
    <mergeCell ref="D6:E6"/>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97DB6-27A2-443F-A830-114ACEA8FDD7}">
  <sheetPr codeName="Sheet1">
    <pageSetUpPr fitToPage="1"/>
  </sheetPr>
  <dimension ref="B4:S29"/>
  <sheetViews>
    <sheetView zoomScale="125" workbookViewId="0">
      <selection activeCell="B21" sqref="B21"/>
    </sheetView>
  </sheetViews>
  <sheetFormatPr baseColWidth="10" defaultColWidth="9.1640625" defaultRowHeight="13" x14ac:dyDescent="0.15"/>
  <cols>
    <col min="1" max="1" width="4.5" style="6" customWidth="1"/>
    <col min="2" max="2" width="7.83203125" style="6" bestFit="1" customWidth="1"/>
    <col min="3" max="5" width="2.1640625" style="5" bestFit="1" customWidth="1"/>
    <col min="6" max="6" width="2.1640625" style="6" bestFit="1" customWidth="1"/>
    <col min="7" max="7" width="2.1640625" style="4" bestFit="1" customWidth="1"/>
    <col min="8" max="8" width="2.1640625" style="6" bestFit="1" customWidth="1"/>
    <col min="9" max="9" width="2.1640625" style="5" bestFit="1" customWidth="1"/>
    <col min="10" max="11" width="2.1640625" style="6" bestFit="1" customWidth="1"/>
    <col min="12" max="17" width="3.1640625" style="6" bestFit="1" customWidth="1"/>
    <col min="18" max="16384" width="9.1640625" style="6"/>
  </cols>
  <sheetData>
    <row r="4" spans="2:19" x14ac:dyDescent="0.15">
      <c r="C4" s="7"/>
      <c r="D4" s="6"/>
      <c r="E4" s="6"/>
    </row>
    <row r="5" spans="2:19" x14ac:dyDescent="0.15">
      <c r="C5" s="70" t="s">
        <v>0</v>
      </c>
      <c r="D5" s="70"/>
      <c r="E5" s="70"/>
      <c r="F5" s="70"/>
      <c r="G5" s="70"/>
      <c r="H5" s="70"/>
      <c r="I5" s="70"/>
      <c r="J5" s="70"/>
      <c r="K5" s="70"/>
      <c r="L5" s="70"/>
      <c r="M5" s="70"/>
      <c r="N5" s="70"/>
      <c r="O5" s="70"/>
      <c r="P5" s="70"/>
      <c r="Q5" s="70"/>
    </row>
    <row r="6" spans="2:19" s="7" customFormat="1" x14ac:dyDescent="0.15">
      <c r="B6" s="15" t="s">
        <v>1</v>
      </c>
      <c r="C6" s="15">
        <v>1</v>
      </c>
      <c r="D6" s="15">
        <v>2</v>
      </c>
      <c r="E6" s="15">
        <v>3</v>
      </c>
      <c r="F6" s="15">
        <v>4</v>
      </c>
      <c r="G6" s="15">
        <v>5</v>
      </c>
      <c r="H6" s="15">
        <v>6</v>
      </c>
      <c r="I6" s="15">
        <v>7</v>
      </c>
      <c r="J6" s="15">
        <v>8</v>
      </c>
      <c r="K6" s="15">
        <v>9</v>
      </c>
      <c r="L6" s="15">
        <v>10</v>
      </c>
      <c r="M6" s="15">
        <v>11</v>
      </c>
      <c r="N6" s="15">
        <v>12</v>
      </c>
      <c r="O6" s="15">
        <v>13</v>
      </c>
      <c r="P6" s="15">
        <v>14</v>
      </c>
      <c r="Q6" s="15">
        <v>15</v>
      </c>
    </row>
    <row r="7" spans="2:19" x14ac:dyDescent="0.15">
      <c r="B7" s="4">
        <v>1</v>
      </c>
      <c r="C7" s="4"/>
      <c r="D7" s="4"/>
      <c r="E7" s="4">
        <v>5</v>
      </c>
      <c r="F7" s="4"/>
      <c r="G7" s="4">
        <v>3</v>
      </c>
      <c r="H7" s="4"/>
      <c r="I7" s="4"/>
      <c r="J7" s="4">
        <v>1</v>
      </c>
      <c r="K7" s="4"/>
      <c r="L7" s="4"/>
      <c r="M7" s="4">
        <v>2</v>
      </c>
      <c r="N7" s="4"/>
      <c r="O7" s="4"/>
      <c r="P7" s="4"/>
      <c r="Q7" s="4">
        <v>4</v>
      </c>
    </row>
    <row r="8" spans="2:19" x14ac:dyDescent="0.15">
      <c r="B8" s="4">
        <v>2</v>
      </c>
      <c r="C8" s="4"/>
      <c r="D8" s="4">
        <v>5</v>
      </c>
      <c r="E8" s="4"/>
      <c r="F8" s="4">
        <v>2</v>
      </c>
      <c r="H8" s="4">
        <v>1</v>
      </c>
      <c r="I8" s="4"/>
      <c r="J8" s="4">
        <v>4</v>
      </c>
      <c r="K8" s="4"/>
      <c r="L8" s="4">
        <v>3</v>
      </c>
      <c r="M8" s="4"/>
      <c r="N8" s="4"/>
      <c r="O8" s="4"/>
      <c r="P8" s="4"/>
      <c r="Q8" s="4"/>
    </row>
    <row r="9" spans="2:19" x14ac:dyDescent="0.15">
      <c r="B9" s="4">
        <v>3</v>
      </c>
      <c r="C9" s="4">
        <v>2</v>
      </c>
      <c r="D9" s="4"/>
      <c r="E9" s="4">
        <v>3</v>
      </c>
      <c r="F9" s="4"/>
      <c r="H9" s="4">
        <v>4</v>
      </c>
      <c r="I9" s="4"/>
      <c r="J9" s="4">
        <v>5</v>
      </c>
      <c r="K9" s="4"/>
      <c r="L9" s="4"/>
      <c r="M9" s="4"/>
      <c r="N9" s="4">
        <v>1</v>
      </c>
      <c r="O9" s="4"/>
      <c r="P9" s="4"/>
      <c r="Q9" s="4"/>
    </row>
    <row r="10" spans="2:19" x14ac:dyDescent="0.15">
      <c r="B10" s="4">
        <v>4</v>
      </c>
      <c r="C10" s="4"/>
      <c r="D10" s="4">
        <v>5</v>
      </c>
      <c r="E10" s="4">
        <v>4</v>
      </c>
      <c r="F10" s="4"/>
      <c r="H10" s="4"/>
      <c r="I10" s="4">
        <v>1</v>
      </c>
      <c r="J10" s="4"/>
      <c r="K10" s="4">
        <v>2</v>
      </c>
      <c r="L10" s="4"/>
      <c r="M10" s="4"/>
      <c r="N10" s="4"/>
      <c r="O10" s="4"/>
      <c r="P10" s="4"/>
      <c r="Q10" s="4">
        <v>3</v>
      </c>
    </row>
    <row r="11" spans="2:19" x14ac:dyDescent="0.15">
      <c r="B11" s="15">
        <v>5</v>
      </c>
      <c r="C11" s="15"/>
      <c r="D11" s="15">
        <v>3</v>
      </c>
      <c r="E11" s="15"/>
      <c r="F11" s="15"/>
      <c r="G11" s="15">
        <v>5</v>
      </c>
      <c r="H11" s="15"/>
      <c r="I11" s="15"/>
      <c r="J11" s="15"/>
      <c r="K11" s="15"/>
      <c r="L11" s="15">
        <v>2</v>
      </c>
      <c r="M11" s="15"/>
      <c r="N11" s="15"/>
      <c r="O11" s="15">
        <v>4</v>
      </c>
      <c r="P11" s="15">
        <v>1</v>
      </c>
      <c r="Q11" s="15"/>
    </row>
    <row r="13" spans="2:19" x14ac:dyDescent="0.15">
      <c r="C13" s="70" t="s">
        <v>2</v>
      </c>
      <c r="D13" s="70"/>
      <c r="E13" s="70"/>
      <c r="F13" s="70"/>
      <c r="G13" s="70"/>
      <c r="H13" s="70"/>
      <c r="I13" s="70"/>
      <c r="J13" s="70"/>
      <c r="K13" s="70"/>
      <c r="L13" s="70"/>
      <c r="M13" s="70"/>
      <c r="N13" s="70"/>
      <c r="O13" s="70"/>
      <c r="P13" s="70"/>
      <c r="Q13" s="70"/>
    </row>
    <row r="14" spans="2:19" x14ac:dyDescent="0.15">
      <c r="B14"/>
      <c r="C14"/>
      <c r="D14"/>
      <c r="E14"/>
      <c r="F14"/>
      <c r="G14"/>
      <c r="H14"/>
      <c r="I14"/>
      <c r="J14"/>
      <c r="K14"/>
      <c r="L14"/>
      <c r="M14"/>
      <c r="N14"/>
      <c r="O14"/>
      <c r="P14"/>
      <c r="Q14"/>
      <c r="R14"/>
      <c r="S14"/>
    </row>
    <row r="15" spans="2:19" x14ac:dyDescent="0.15">
      <c r="B15"/>
      <c r="C15"/>
      <c r="D15"/>
      <c r="E15"/>
      <c r="F15"/>
      <c r="G15"/>
      <c r="H15"/>
      <c r="I15"/>
      <c r="J15"/>
      <c r="K15"/>
      <c r="L15"/>
      <c r="M15"/>
      <c r="N15"/>
      <c r="O15"/>
      <c r="P15"/>
      <c r="Q15"/>
      <c r="R15"/>
      <c r="S15"/>
    </row>
    <row r="16" spans="2:19" x14ac:dyDescent="0.15">
      <c r="B16"/>
      <c r="C16"/>
      <c r="D16"/>
      <c r="E16"/>
      <c r="F16"/>
      <c r="G16"/>
      <c r="H16"/>
      <c r="I16"/>
      <c r="J16"/>
      <c r="K16"/>
      <c r="L16"/>
      <c r="M16"/>
      <c r="N16"/>
      <c r="O16"/>
      <c r="P16"/>
      <c r="Q16"/>
      <c r="R16"/>
      <c r="S16"/>
    </row>
    <row r="17" spans="2:19" x14ac:dyDescent="0.15">
      <c r="B17"/>
      <c r="C17"/>
      <c r="D17"/>
      <c r="E17"/>
      <c r="F17"/>
      <c r="G17"/>
      <c r="H17"/>
      <c r="I17"/>
      <c r="J17"/>
      <c r="K17"/>
      <c r="L17"/>
      <c r="M17"/>
      <c r="N17"/>
      <c r="O17"/>
      <c r="P17"/>
      <c r="Q17"/>
      <c r="R17"/>
      <c r="S17"/>
    </row>
    <row r="18" spans="2:19" x14ac:dyDescent="0.15">
      <c r="B18"/>
      <c r="C18"/>
      <c r="D18"/>
      <c r="E18"/>
      <c r="F18"/>
      <c r="G18"/>
      <c r="H18"/>
      <c r="I18"/>
      <c r="J18"/>
      <c r="K18"/>
      <c r="L18"/>
      <c r="M18"/>
      <c r="N18"/>
      <c r="O18"/>
      <c r="P18"/>
      <c r="Q18"/>
      <c r="R18"/>
      <c r="S18"/>
    </row>
    <row r="19" spans="2:19" x14ac:dyDescent="0.15">
      <c r="B19"/>
      <c r="C19" s="71" t="s">
        <v>39</v>
      </c>
      <c r="D19" s="72"/>
      <c r="E19" s="72"/>
      <c r="F19" s="72"/>
      <c r="G19" s="72"/>
      <c r="H19" s="72"/>
      <c r="I19" s="72"/>
      <c r="J19" s="72"/>
      <c r="K19" s="72"/>
      <c r="L19" s="72"/>
      <c r="M19" s="72"/>
      <c r="N19" s="72"/>
      <c r="O19" s="72"/>
      <c r="P19" s="72"/>
      <c r="Q19" s="72"/>
      <c r="R19"/>
      <c r="S19"/>
    </row>
    <row r="20" spans="2:19" x14ac:dyDescent="0.15">
      <c r="B20" s="35" t="s">
        <v>35</v>
      </c>
      <c r="C20">
        <v>1</v>
      </c>
      <c r="D20">
        <v>2</v>
      </c>
      <c r="E20">
        <v>3</v>
      </c>
      <c r="F20">
        <v>4</v>
      </c>
      <c r="G20">
        <v>5</v>
      </c>
      <c r="H20">
        <v>6</v>
      </c>
      <c r="I20">
        <v>7</v>
      </c>
      <c r="J20">
        <v>8</v>
      </c>
      <c r="K20">
        <v>9</v>
      </c>
      <c r="L20">
        <v>10</v>
      </c>
      <c r="M20">
        <v>11</v>
      </c>
      <c r="N20">
        <v>12</v>
      </c>
      <c r="O20">
        <v>13</v>
      </c>
      <c r="P20">
        <v>14</v>
      </c>
      <c r="Q20">
        <v>15</v>
      </c>
      <c r="R20" s="35" t="s">
        <v>38</v>
      </c>
      <c r="S20" s="35" t="s">
        <v>37</v>
      </c>
    </row>
    <row r="21" spans="2:19" x14ac:dyDescent="0.15">
      <c r="B21">
        <v>1</v>
      </c>
      <c r="C21">
        <v>0</v>
      </c>
      <c r="D21">
        <v>0</v>
      </c>
      <c r="E21">
        <v>0</v>
      </c>
      <c r="F21">
        <v>0</v>
      </c>
      <c r="G21">
        <v>0</v>
      </c>
      <c r="H21">
        <v>0</v>
      </c>
      <c r="I21">
        <v>0</v>
      </c>
      <c r="J21">
        <v>0</v>
      </c>
      <c r="K21">
        <v>0</v>
      </c>
      <c r="L21">
        <v>0</v>
      </c>
      <c r="M21">
        <v>0</v>
      </c>
      <c r="N21">
        <v>0</v>
      </c>
      <c r="O21">
        <v>0</v>
      </c>
      <c r="P21">
        <v>0</v>
      </c>
      <c r="Q21">
        <v>1</v>
      </c>
      <c r="R21">
        <f>SUM(C21:Q21)</f>
        <v>1</v>
      </c>
      <c r="S21">
        <v>1</v>
      </c>
    </row>
    <row r="22" spans="2:19" x14ac:dyDescent="0.15">
      <c r="B22">
        <v>2</v>
      </c>
      <c r="C22">
        <v>0</v>
      </c>
      <c r="D22">
        <v>1</v>
      </c>
      <c r="E22">
        <v>0</v>
      </c>
      <c r="F22">
        <v>0</v>
      </c>
      <c r="G22">
        <v>0</v>
      </c>
      <c r="H22">
        <v>0</v>
      </c>
      <c r="I22">
        <v>0</v>
      </c>
      <c r="J22">
        <v>0</v>
      </c>
      <c r="K22">
        <v>0</v>
      </c>
      <c r="L22">
        <v>0</v>
      </c>
      <c r="M22">
        <v>0</v>
      </c>
      <c r="N22">
        <v>0</v>
      </c>
      <c r="O22">
        <v>0</v>
      </c>
      <c r="P22">
        <v>0</v>
      </c>
      <c r="Q22">
        <v>0</v>
      </c>
      <c r="R22">
        <f t="shared" ref="R22:R26" si="0">SUM(C22:Q22)</f>
        <v>1</v>
      </c>
      <c r="S22">
        <v>1</v>
      </c>
    </row>
    <row r="23" spans="2:19" x14ac:dyDescent="0.15">
      <c r="B23" s="6">
        <v>3</v>
      </c>
      <c r="C23" s="5">
        <v>0</v>
      </c>
      <c r="D23" s="5">
        <v>0</v>
      </c>
      <c r="E23" s="5">
        <v>0</v>
      </c>
      <c r="F23" s="6">
        <v>0</v>
      </c>
      <c r="G23" s="4">
        <v>0</v>
      </c>
      <c r="H23" s="6">
        <v>0</v>
      </c>
      <c r="I23" s="5">
        <v>0</v>
      </c>
      <c r="J23" s="6">
        <v>1</v>
      </c>
      <c r="K23" s="6">
        <v>0</v>
      </c>
      <c r="L23" s="6">
        <v>0</v>
      </c>
      <c r="M23" s="6">
        <v>0</v>
      </c>
      <c r="N23" s="6">
        <v>0</v>
      </c>
      <c r="O23" s="6">
        <v>0</v>
      </c>
      <c r="P23" s="6">
        <v>0</v>
      </c>
      <c r="Q23" s="6">
        <v>0</v>
      </c>
      <c r="R23">
        <f t="shared" si="0"/>
        <v>1</v>
      </c>
      <c r="S23" s="6">
        <v>1</v>
      </c>
    </row>
    <row r="24" spans="2:19" x14ac:dyDescent="0.15">
      <c r="B24" s="6">
        <v>4</v>
      </c>
      <c r="C24" s="5">
        <v>0</v>
      </c>
      <c r="D24" s="5">
        <v>0</v>
      </c>
      <c r="E24" s="5">
        <v>1</v>
      </c>
      <c r="F24" s="6">
        <v>0</v>
      </c>
      <c r="G24" s="4">
        <v>0</v>
      </c>
      <c r="H24" s="6">
        <v>0</v>
      </c>
      <c r="I24" s="5">
        <v>0</v>
      </c>
      <c r="J24" s="6">
        <v>0</v>
      </c>
      <c r="K24" s="6">
        <v>0</v>
      </c>
      <c r="L24" s="6">
        <v>0</v>
      </c>
      <c r="M24" s="6">
        <v>0</v>
      </c>
      <c r="N24" s="6">
        <v>0</v>
      </c>
      <c r="O24" s="6">
        <v>0</v>
      </c>
      <c r="P24" s="6">
        <v>0</v>
      </c>
      <c r="Q24" s="6">
        <v>0</v>
      </c>
      <c r="R24">
        <f t="shared" si="0"/>
        <v>1</v>
      </c>
      <c r="S24" s="6">
        <v>1</v>
      </c>
    </row>
    <row r="25" spans="2:19" x14ac:dyDescent="0.15">
      <c r="B25" s="6">
        <v>5</v>
      </c>
      <c r="C25" s="5">
        <v>0</v>
      </c>
      <c r="D25" s="5">
        <v>0</v>
      </c>
      <c r="E25" s="5">
        <v>0</v>
      </c>
      <c r="F25" s="6">
        <v>0</v>
      </c>
      <c r="G25" s="4">
        <v>1</v>
      </c>
      <c r="H25" s="6">
        <v>0</v>
      </c>
      <c r="I25" s="5">
        <v>0</v>
      </c>
      <c r="J25" s="6">
        <v>0</v>
      </c>
      <c r="K25" s="6">
        <v>0</v>
      </c>
      <c r="L25" s="6">
        <v>0</v>
      </c>
      <c r="M25" s="6">
        <v>0</v>
      </c>
      <c r="N25" s="6">
        <v>0</v>
      </c>
      <c r="O25" s="6">
        <v>0</v>
      </c>
      <c r="P25" s="6">
        <v>0</v>
      </c>
      <c r="Q25" s="6">
        <v>0</v>
      </c>
      <c r="R25">
        <f t="shared" si="0"/>
        <v>1</v>
      </c>
      <c r="S25" s="6">
        <v>1</v>
      </c>
    </row>
    <row r="26" spans="2:19" x14ac:dyDescent="0.15">
      <c r="B26" s="6" t="s">
        <v>36</v>
      </c>
      <c r="C26" s="5">
        <f>SUM(C21:C25)</f>
        <v>0</v>
      </c>
      <c r="D26" s="5">
        <f t="shared" ref="D26:Q26" si="1">SUM(D21:D25)</f>
        <v>1</v>
      </c>
      <c r="E26" s="5">
        <f t="shared" si="1"/>
        <v>1</v>
      </c>
      <c r="F26" s="5">
        <f t="shared" si="1"/>
        <v>0</v>
      </c>
      <c r="G26" s="5">
        <f t="shared" si="1"/>
        <v>1</v>
      </c>
      <c r="H26" s="5">
        <f t="shared" si="1"/>
        <v>0</v>
      </c>
      <c r="I26" s="5">
        <f t="shared" si="1"/>
        <v>0</v>
      </c>
      <c r="J26" s="5">
        <f t="shared" si="1"/>
        <v>1</v>
      </c>
      <c r="K26" s="5">
        <f t="shared" si="1"/>
        <v>0</v>
      </c>
      <c r="L26" s="5">
        <f t="shared" si="1"/>
        <v>0</v>
      </c>
      <c r="M26" s="5">
        <f t="shared" si="1"/>
        <v>0</v>
      </c>
      <c r="N26" s="5">
        <f t="shared" si="1"/>
        <v>0</v>
      </c>
      <c r="O26" s="5">
        <f t="shared" si="1"/>
        <v>0</v>
      </c>
      <c r="P26" s="5">
        <f t="shared" si="1"/>
        <v>0</v>
      </c>
      <c r="Q26" s="5">
        <f t="shared" si="1"/>
        <v>1</v>
      </c>
      <c r="R26">
        <f t="shared" si="0"/>
        <v>5</v>
      </c>
    </row>
    <row r="27" spans="2:19" x14ac:dyDescent="0.15">
      <c r="B27" s="6" t="s">
        <v>37</v>
      </c>
      <c r="C27" s="5">
        <v>1</v>
      </c>
      <c r="D27" s="5">
        <v>1</v>
      </c>
      <c r="E27" s="5">
        <v>1</v>
      </c>
      <c r="F27" s="6">
        <v>1</v>
      </c>
      <c r="G27" s="4">
        <v>1</v>
      </c>
      <c r="H27" s="6">
        <v>1</v>
      </c>
      <c r="I27" s="5">
        <v>1</v>
      </c>
      <c r="J27" s="6">
        <v>1</v>
      </c>
      <c r="K27" s="6">
        <v>1</v>
      </c>
      <c r="L27" s="6">
        <v>1</v>
      </c>
      <c r="M27" s="6">
        <v>1</v>
      </c>
      <c r="N27" s="6">
        <v>1</v>
      </c>
      <c r="O27" s="6">
        <v>1</v>
      </c>
      <c r="P27" s="6">
        <v>1</v>
      </c>
      <c r="Q27" s="6">
        <v>1</v>
      </c>
    </row>
    <row r="29" spans="2:19" x14ac:dyDescent="0.15">
      <c r="R29" s="6">
        <f>SUMPRODUCT(C7:Q11,C21:Q25)</f>
        <v>23</v>
      </c>
    </row>
  </sheetData>
  <mergeCells count="3">
    <mergeCell ref="C5:Q5"/>
    <mergeCell ref="C13:Q13"/>
    <mergeCell ref="C19:Q19"/>
  </mergeCells>
  <pageMargins left="0.75" right="0.75" top="1" bottom="1" header="0.5" footer="0.5"/>
  <pageSetup scale="79" orientation="portrait" horizontalDpi="300" verticalDpi="300" r:id="rId1"/>
  <headerFooter alignWithMargins="0">
    <oddHeader>&amp;A</oddHeader>
    <oddFooter>Page &amp;P</oddFooter>
  </headerFooter>
  <ignoredErrors>
    <ignoredError sqref="R21:R26 C26"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4:I26"/>
  <sheetViews>
    <sheetView zoomScale="110" workbookViewId="0">
      <selection activeCell="F24" sqref="F24"/>
    </sheetView>
  </sheetViews>
  <sheetFormatPr baseColWidth="10" defaultColWidth="8.83203125" defaultRowHeight="13" x14ac:dyDescent="0.15"/>
  <cols>
    <col min="1" max="1" width="12.33203125" style="1" bestFit="1" customWidth="1"/>
    <col min="2" max="2" width="6.83203125" style="1" bestFit="1" customWidth="1"/>
    <col min="3" max="4" width="9.5" style="1" bestFit="1" customWidth="1"/>
    <col min="5" max="5" width="8" style="2" customWidth="1"/>
    <col min="6" max="6" width="9" style="1" customWidth="1"/>
    <col min="7" max="7" width="6.5" style="1" bestFit="1" customWidth="1"/>
    <col min="8" max="8" width="6.6640625" style="1" bestFit="1" customWidth="1"/>
    <col min="9" max="9" width="9" style="1" bestFit="1" customWidth="1"/>
    <col min="10" max="16384" width="8.83203125" style="1"/>
  </cols>
  <sheetData>
    <row r="4" spans="1:9" x14ac:dyDescent="0.15">
      <c r="E4" s="1"/>
    </row>
    <row r="5" spans="1:9" x14ac:dyDescent="0.15">
      <c r="A5" s="73" t="s">
        <v>21</v>
      </c>
      <c r="B5" s="74" t="s">
        <v>18</v>
      </c>
      <c r="C5" s="74"/>
      <c r="D5" s="75" t="s">
        <v>33</v>
      </c>
      <c r="E5" s="1"/>
      <c r="G5" s="1" t="s">
        <v>40</v>
      </c>
      <c r="H5" s="1" t="s">
        <v>41</v>
      </c>
      <c r="I5" s="1" t="s">
        <v>42</v>
      </c>
    </row>
    <row r="6" spans="1:9" x14ac:dyDescent="0.15">
      <c r="A6" s="73"/>
      <c r="B6" s="36" t="s">
        <v>19</v>
      </c>
      <c r="C6" s="36" t="s">
        <v>20</v>
      </c>
      <c r="D6" s="75"/>
      <c r="E6" s="1"/>
      <c r="G6" s="1">
        <v>1</v>
      </c>
      <c r="H6" s="1">
        <f>SUMIF($C$7:$C$14,G6,$A$7:$A$14)-SUMIF($B$7:$B$14,G6,$A$7:$A$14)</f>
        <v>-15</v>
      </c>
      <c r="I6" s="1">
        <v>-15</v>
      </c>
    </row>
    <row r="7" spans="1:9" x14ac:dyDescent="0.15">
      <c r="A7" s="1">
        <v>0</v>
      </c>
      <c r="B7" s="1">
        <v>1</v>
      </c>
      <c r="C7" s="1">
        <v>2</v>
      </c>
      <c r="D7" s="1">
        <v>12</v>
      </c>
      <c r="E7" s="1"/>
      <c r="G7" s="1">
        <v>2</v>
      </c>
      <c r="H7" s="1">
        <f t="shared" ref="H7:H10" si="0">SUMIF($C$7:$C$14,G7,$A$7:$A$14)-SUMIF($B$7:$B$14,G7,$A$7:$A$14)</f>
        <v>-15</v>
      </c>
      <c r="I7" s="1">
        <v>-15</v>
      </c>
    </row>
    <row r="8" spans="1:9" x14ac:dyDescent="0.15">
      <c r="A8" s="1">
        <v>5</v>
      </c>
      <c r="B8" s="1">
        <v>1</v>
      </c>
      <c r="C8" s="1">
        <v>3</v>
      </c>
      <c r="D8" s="1">
        <v>8</v>
      </c>
      <c r="E8" s="1"/>
      <c r="G8" s="1">
        <v>3</v>
      </c>
      <c r="H8" s="1">
        <f t="shared" si="0"/>
        <v>0</v>
      </c>
      <c r="I8" s="1">
        <v>0</v>
      </c>
    </row>
    <row r="9" spans="1:9" x14ac:dyDescent="0.15">
      <c r="A9" s="1">
        <v>10</v>
      </c>
      <c r="B9" s="1">
        <v>1</v>
      </c>
      <c r="C9" s="1">
        <v>4</v>
      </c>
      <c r="D9" s="1">
        <v>15</v>
      </c>
      <c r="E9" s="1"/>
      <c r="G9" s="1">
        <v>4</v>
      </c>
      <c r="H9" s="1">
        <f t="shared" si="0"/>
        <v>20</v>
      </c>
      <c r="I9" s="1">
        <v>20</v>
      </c>
    </row>
    <row r="10" spans="1:9" x14ac:dyDescent="0.15">
      <c r="A10" s="1">
        <v>5</v>
      </c>
      <c r="B10" s="1">
        <v>2</v>
      </c>
      <c r="C10" s="1">
        <v>3</v>
      </c>
      <c r="D10" s="1">
        <v>9</v>
      </c>
      <c r="E10" s="1"/>
      <c r="G10" s="1">
        <v>5</v>
      </c>
      <c r="H10" s="1">
        <f t="shared" si="0"/>
        <v>10</v>
      </c>
      <c r="I10" s="1">
        <v>10</v>
      </c>
    </row>
    <row r="11" spans="1:9" x14ac:dyDescent="0.15">
      <c r="A11" s="1">
        <v>10</v>
      </c>
      <c r="B11" s="1">
        <v>2</v>
      </c>
      <c r="C11" s="1">
        <v>5</v>
      </c>
      <c r="D11" s="1">
        <v>16</v>
      </c>
      <c r="E11" s="1"/>
    </row>
    <row r="12" spans="1:9" x14ac:dyDescent="0.15">
      <c r="A12" s="1">
        <v>10</v>
      </c>
      <c r="B12" s="1">
        <v>3</v>
      </c>
      <c r="C12" s="1">
        <v>4</v>
      </c>
      <c r="D12" s="1">
        <v>6</v>
      </c>
      <c r="E12" s="1"/>
    </row>
    <row r="13" spans="1:9" x14ac:dyDescent="0.15">
      <c r="A13" s="1">
        <v>0</v>
      </c>
      <c r="B13" s="1">
        <v>3</v>
      </c>
      <c r="C13" s="1">
        <v>5</v>
      </c>
      <c r="D13" s="1">
        <v>7</v>
      </c>
      <c r="E13" s="1"/>
    </row>
    <row r="14" spans="1:9" x14ac:dyDescent="0.15">
      <c r="A14" s="1">
        <v>0</v>
      </c>
      <c r="B14" s="1">
        <v>5</v>
      </c>
      <c r="C14" s="1">
        <v>4</v>
      </c>
      <c r="D14" s="1">
        <v>12</v>
      </c>
      <c r="E14" s="39"/>
    </row>
    <row r="15" spans="1:9" x14ac:dyDescent="0.15">
      <c r="E15" s="1"/>
    </row>
    <row r="16" spans="1:9" x14ac:dyDescent="0.15">
      <c r="C16" s="33" t="s">
        <v>43</v>
      </c>
      <c r="D16" s="34">
        <f>SUMPRODUCT(A7:A14,D7:D14)</f>
        <v>455</v>
      </c>
      <c r="E16" s="1"/>
    </row>
    <row r="17" spans="3:5" x14ac:dyDescent="0.15">
      <c r="E17" s="1"/>
    </row>
    <row r="18" spans="3:5" x14ac:dyDescent="0.15">
      <c r="E18" s="1"/>
    </row>
    <row r="26" spans="3:5" x14ac:dyDescent="0.15">
      <c r="C26" s="3"/>
    </row>
  </sheetData>
  <mergeCells count="3">
    <mergeCell ref="A5:A6"/>
    <mergeCell ref="B5:C5"/>
    <mergeCell ref="D5:D6"/>
  </mergeCells>
  <phoneticPr fontId="0" type="noConversion"/>
  <pageMargins left="0.75" right="0.75" top="1" bottom="1" header="0.5" footer="0.5"/>
  <pageSetup scale="81" orientation="portrait" horizontalDpi="300" verticalDpi="300" r:id="rId1"/>
  <headerFooter alignWithMargins="0">
    <oddHeader>&amp;A</oddHeader>
    <oddFooter>Page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587D3-479A-44C7-9AF2-8616E0B87873}">
  <sheetPr syncVertical="1" syncRef="A1" transitionEvaluation="1" codeName="Sheet2"/>
  <dimension ref="A1:I35"/>
  <sheetViews>
    <sheetView tabSelected="1" workbookViewId="0">
      <selection activeCell="B24" sqref="B24:E24"/>
    </sheetView>
  </sheetViews>
  <sheetFormatPr baseColWidth="10" defaultColWidth="5.6640625" defaultRowHeight="13" x14ac:dyDescent="0.15"/>
  <cols>
    <col min="1" max="1" width="20.1640625" style="8" bestFit="1" customWidth="1"/>
    <col min="2" max="5" width="10.6640625" style="8" bestFit="1" customWidth="1"/>
    <col min="6" max="6" width="9" style="8" bestFit="1" customWidth="1"/>
    <col min="7" max="7" width="6.6640625" style="8" bestFit="1" customWidth="1"/>
    <col min="8" max="8" width="17.83203125" style="8" bestFit="1" customWidth="1"/>
    <col min="9" max="16384" width="5.6640625" style="8"/>
  </cols>
  <sheetData>
    <row r="1" spans="1:9" x14ac:dyDescent="0.15">
      <c r="A1" s="76"/>
      <c r="B1" s="77"/>
      <c r="C1" s="77"/>
      <c r="D1" s="77"/>
      <c r="E1" s="41"/>
    </row>
    <row r="2" spans="1:9" x14ac:dyDescent="0.15">
      <c r="E2" s="42"/>
      <c r="F2" s="13"/>
      <c r="G2" s="13"/>
      <c r="H2" s="13"/>
    </row>
    <row r="3" spans="1:9" ht="22.5" customHeight="1" thickBot="1" x14ac:dyDescent="0.2">
      <c r="A3" s="78" t="s">
        <v>3</v>
      </c>
      <c r="B3" s="79"/>
      <c r="C3" s="79"/>
      <c r="D3" s="79"/>
      <c r="E3" s="41"/>
      <c r="F3"/>
      <c r="G3"/>
      <c r="H3"/>
      <c r="I3"/>
    </row>
    <row r="4" spans="1:9" ht="14" thickBot="1" x14ac:dyDescent="0.2">
      <c r="A4" s="20"/>
      <c r="B4" s="17">
        <v>1</v>
      </c>
      <c r="C4" s="17">
        <v>2</v>
      </c>
      <c r="D4" s="17">
        <v>3</v>
      </c>
      <c r="E4" s="40">
        <v>4</v>
      </c>
      <c r="F4"/>
      <c r="G4"/>
      <c r="H4"/>
      <c r="I4"/>
    </row>
    <row r="5" spans="1:9" ht="15" thickBot="1" x14ac:dyDescent="0.2">
      <c r="A5" s="16" t="s">
        <v>4</v>
      </c>
      <c r="B5" s="17">
        <v>420</v>
      </c>
      <c r="C5" s="17">
        <v>580</v>
      </c>
      <c r="D5" s="17">
        <v>310</v>
      </c>
      <c r="E5" s="17">
        <v>540</v>
      </c>
      <c r="F5"/>
      <c r="G5"/>
      <c r="H5"/>
      <c r="I5"/>
    </row>
    <row r="6" spans="1:9" ht="15" thickBot="1" x14ac:dyDescent="0.2">
      <c r="A6" s="16" t="s">
        <v>5</v>
      </c>
      <c r="B6" s="21">
        <v>49</v>
      </c>
      <c r="C6" s="21">
        <v>45</v>
      </c>
      <c r="D6" s="21">
        <v>46</v>
      </c>
      <c r="E6" s="21">
        <v>47</v>
      </c>
      <c r="F6"/>
      <c r="G6"/>
      <c r="H6"/>
      <c r="I6"/>
    </row>
    <row r="7" spans="1:9" ht="14" x14ac:dyDescent="0.15">
      <c r="A7" s="16" t="s">
        <v>6</v>
      </c>
      <c r="B7" s="17">
        <v>500</v>
      </c>
      <c r="C7" s="17">
        <v>520</v>
      </c>
      <c r="D7" s="17">
        <v>450</v>
      </c>
      <c r="E7" s="17">
        <v>550</v>
      </c>
      <c r="F7"/>
      <c r="G7"/>
      <c r="H7"/>
      <c r="I7"/>
    </row>
    <row r="8" spans="1:9" x14ac:dyDescent="0.15">
      <c r="A8"/>
      <c r="B8"/>
      <c r="C8"/>
      <c r="D8"/>
      <c r="E8"/>
      <c r="F8"/>
      <c r="G8"/>
      <c r="H8"/>
      <c r="I8"/>
    </row>
    <row r="9" spans="1:9" x14ac:dyDescent="0.15">
      <c r="A9"/>
      <c r="B9"/>
      <c r="C9"/>
      <c r="D9"/>
      <c r="E9"/>
      <c r="F9"/>
      <c r="G9"/>
      <c r="H9"/>
      <c r="I9"/>
    </row>
    <row r="10" spans="1:9" x14ac:dyDescent="0.15">
      <c r="A10"/>
      <c r="B10"/>
      <c r="C10"/>
      <c r="D10"/>
      <c r="E10"/>
      <c r="F10"/>
      <c r="G10"/>
      <c r="H10"/>
      <c r="I10"/>
    </row>
    <row r="11" spans="1:9" x14ac:dyDescent="0.15">
      <c r="A11"/>
      <c r="B11" s="4"/>
      <c r="C11" s="4"/>
      <c r="D11" s="4"/>
      <c r="E11" s="4"/>
      <c r="F11"/>
      <c r="G11"/>
      <c r="H11"/>
      <c r="I11"/>
    </row>
    <row r="12" spans="1:9" x14ac:dyDescent="0.15">
      <c r="A12" s="4"/>
      <c r="B12"/>
      <c r="C12"/>
      <c r="D12"/>
      <c r="E12"/>
      <c r="F12"/>
      <c r="G12"/>
      <c r="H12"/>
      <c r="I12"/>
    </row>
    <row r="13" spans="1:9" x14ac:dyDescent="0.15">
      <c r="A13" s="4"/>
      <c r="B13"/>
      <c r="C13"/>
      <c r="D13"/>
      <c r="E13"/>
      <c r="F13"/>
      <c r="G13"/>
      <c r="H13"/>
      <c r="I13"/>
    </row>
    <row r="14" spans="1:9" x14ac:dyDescent="0.15">
      <c r="A14" s="4"/>
      <c r="B14"/>
      <c r="C14"/>
      <c r="D14"/>
      <c r="E14"/>
      <c r="F14"/>
      <c r="G14"/>
      <c r="H14"/>
      <c r="I14"/>
    </row>
    <row r="15" spans="1:9" x14ac:dyDescent="0.15">
      <c r="A15" s="4"/>
      <c r="B15"/>
      <c r="C15"/>
      <c r="D15"/>
      <c r="E15"/>
      <c r="F15"/>
      <c r="G15"/>
      <c r="H15"/>
      <c r="I15"/>
    </row>
    <row r="16" spans="1:9" x14ac:dyDescent="0.15">
      <c r="A16"/>
      <c r="B16"/>
      <c r="C16"/>
      <c r="D16"/>
      <c r="E16"/>
      <c r="F16"/>
      <c r="G16"/>
      <c r="H16"/>
      <c r="I16"/>
    </row>
    <row r="17" spans="1:9" x14ac:dyDescent="0.15">
      <c r="A17"/>
      <c r="B17"/>
      <c r="C17"/>
      <c r="D17"/>
      <c r="E17"/>
      <c r="F17"/>
      <c r="G17"/>
      <c r="H17"/>
      <c r="I17"/>
    </row>
    <row r="18" spans="1:9" x14ac:dyDescent="0.15">
      <c r="A18" s="64"/>
      <c r="B18" s="64" t="s">
        <v>65</v>
      </c>
      <c r="C18" s="64" t="s">
        <v>66</v>
      </c>
      <c r="D18" s="64" t="s">
        <v>67</v>
      </c>
      <c r="E18" s="64" t="s">
        <v>68</v>
      </c>
      <c r="F18"/>
      <c r="G18"/>
      <c r="H18"/>
      <c r="I18"/>
    </row>
    <row r="19" spans="1:9" x14ac:dyDescent="0.15">
      <c r="A19" s="35" t="s">
        <v>64</v>
      </c>
      <c r="B19" s="35">
        <v>120</v>
      </c>
      <c r="C19" s="65">
        <f>B22</f>
        <v>110</v>
      </c>
      <c r="D19" s="65">
        <f>C22</f>
        <v>50</v>
      </c>
      <c r="E19" s="65">
        <f>D22</f>
        <v>140</v>
      </c>
      <c r="F19"/>
      <c r="G19"/>
      <c r="H19"/>
      <c r="I19"/>
    </row>
    <row r="20" spans="1:9" x14ac:dyDescent="0.15">
      <c r="A20" s="35" t="s">
        <v>69</v>
      </c>
      <c r="B20" s="35">
        <v>410</v>
      </c>
      <c r="C20" s="35">
        <v>520</v>
      </c>
      <c r="D20" s="35">
        <v>400</v>
      </c>
      <c r="E20" s="35">
        <v>450</v>
      </c>
      <c r="F20"/>
      <c r="G20"/>
      <c r="H20"/>
      <c r="I20"/>
    </row>
    <row r="21" spans="1:9" x14ac:dyDescent="0.15">
      <c r="A21" s="35" t="s">
        <v>70</v>
      </c>
      <c r="B21" s="35">
        <v>420</v>
      </c>
      <c r="C21" s="35">
        <v>580</v>
      </c>
      <c r="D21" s="35">
        <v>310</v>
      </c>
      <c r="E21" s="35">
        <v>540</v>
      </c>
      <c r="F21"/>
      <c r="G21"/>
      <c r="H21"/>
      <c r="I21"/>
    </row>
    <row r="22" spans="1:9" x14ac:dyDescent="0.15">
      <c r="A22" s="35" t="s">
        <v>71</v>
      </c>
      <c r="B22" s="65">
        <f>B19+B20-B21</f>
        <v>110</v>
      </c>
      <c r="C22" s="65">
        <f t="shared" ref="C22:E22" si="0">C19+C20-C21</f>
        <v>50</v>
      </c>
      <c r="D22" s="65">
        <f t="shared" si="0"/>
        <v>140</v>
      </c>
      <c r="E22" s="65">
        <f t="shared" si="0"/>
        <v>50</v>
      </c>
      <c r="F22"/>
      <c r="G22"/>
      <c r="H22"/>
      <c r="I22"/>
    </row>
    <row r="23" spans="1:9" x14ac:dyDescent="0.15">
      <c r="A23" s="35"/>
      <c r="B23" s="35"/>
      <c r="C23" s="35"/>
      <c r="D23" s="35"/>
      <c r="E23" s="35"/>
      <c r="F23"/>
      <c r="G23"/>
      <c r="H23"/>
      <c r="I23"/>
    </row>
    <row r="24" spans="1:9" x14ac:dyDescent="0.15">
      <c r="A24" s="35" t="s">
        <v>72</v>
      </c>
      <c r="B24" s="35">
        <v>400</v>
      </c>
      <c r="C24" s="35">
        <v>400</v>
      </c>
      <c r="D24" s="35">
        <v>400</v>
      </c>
      <c r="E24" s="35">
        <v>400</v>
      </c>
      <c r="F24"/>
      <c r="G24"/>
      <c r="H24"/>
      <c r="I24"/>
    </row>
    <row r="25" spans="1:9" x14ac:dyDescent="0.15">
      <c r="A25" s="35" t="s">
        <v>73</v>
      </c>
      <c r="B25" s="35">
        <v>500</v>
      </c>
      <c r="C25" s="35">
        <v>520</v>
      </c>
      <c r="D25" s="35">
        <v>450</v>
      </c>
      <c r="E25" s="35">
        <v>550</v>
      </c>
      <c r="F25"/>
      <c r="G25"/>
      <c r="H25"/>
      <c r="I25"/>
    </row>
    <row r="26" spans="1:9" x14ac:dyDescent="0.15">
      <c r="A26" s="35"/>
      <c r="B26" s="35"/>
      <c r="C26" s="35"/>
      <c r="D26" s="35"/>
      <c r="E26" s="35"/>
      <c r="F26"/>
      <c r="G26"/>
      <c r="H26"/>
      <c r="I26"/>
    </row>
    <row r="27" spans="1:9" x14ac:dyDescent="0.15">
      <c r="A27" s="35" t="s">
        <v>74</v>
      </c>
      <c r="B27" s="35">
        <v>50</v>
      </c>
      <c r="C27" s="35">
        <v>50</v>
      </c>
      <c r="D27" s="35">
        <v>50</v>
      </c>
      <c r="E27" s="35">
        <v>50</v>
      </c>
      <c r="F27"/>
      <c r="G27"/>
      <c r="H27"/>
      <c r="I27"/>
    </row>
    <row r="28" spans="1:9" x14ac:dyDescent="0.15">
      <c r="A28" s="35" t="s">
        <v>75</v>
      </c>
      <c r="B28" s="35">
        <v>1000</v>
      </c>
      <c r="C28" s="35">
        <v>1000</v>
      </c>
      <c r="D28" s="35">
        <v>1000</v>
      </c>
      <c r="E28" s="35">
        <v>1000</v>
      </c>
      <c r="F28"/>
      <c r="G28"/>
      <c r="H28"/>
      <c r="I28"/>
    </row>
    <row r="29" spans="1:9" x14ac:dyDescent="0.15">
      <c r="A29" s="35"/>
      <c r="B29" s="35"/>
      <c r="C29" s="35"/>
      <c r="D29" s="35"/>
      <c r="E29" s="35"/>
      <c r="F29" s="13"/>
      <c r="G29" s="14"/>
      <c r="H29" s="13"/>
    </row>
    <row r="30" spans="1:9" x14ac:dyDescent="0.15">
      <c r="A30" s="35" t="s">
        <v>76</v>
      </c>
      <c r="B30" s="66">
        <v>49</v>
      </c>
      <c r="C30" s="66">
        <v>45</v>
      </c>
      <c r="D30" s="66">
        <v>46</v>
      </c>
      <c r="E30" s="66">
        <v>47</v>
      </c>
    </row>
    <row r="31" spans="1:9" x14ac:dyDescent="0.15">
      <c r="A31" s="35" t="s">
        <v>77</v>
      </c>
      <c r="B31" s="66">
        <v>1.5</v>
      </c>
      <c r="C31" s="66">
        <v>1.5</v>
      </c>
      <c r="D31" s="66">
        <v>1.5</v>
      </c>
      <c r="E31" s="66">
        <v>1.5</v>
      </c>
    </row>
    <row r="32" spans="1:9" x14ac:dyDescent="0.15">
      <c r="A32" s="35"/>
      <c r="B32" s="35"/>
      <c r="C32" s="35"/>
      <c r="D32" s="35"/>
      <c r="E32" s="35"/>
    </row>
    <row r="33" spans="1:7" x14ac:dyDescent="0.15">
      <c r="A33" s="35" t="s">
        <v>78</v>
      </c>
      <c r="B33" s="66">
        <f>B20*B30</f>
        <v>20090</v>
      </c>
      <c r="C33" s="66">
        <f>C20*C30</f>
        <v>23400</v>
      </c>
      <c r="D33" s="66">
        <f>D20*D30</f>
        <v>18400</v>
      </c>
      <c r="E33" s="66">
        <f t="shared" ref="C33:E33" si="1">E20*E30</f>
        <v>21150</v>
      </c>
    </row>
    <row r="34" spans="1:7" x14ac:dyDescent="0.15">
      <c r="A34" s="35" t="s">
        <v>79</v>
      </c>
      <c r="B34" s="66">
        <f>B31*B22</f>
        <v>165</v>
      </c>
      <c r="C34" s="66">
        <f>C31*C22</f>
        <v>75</v>
      </c>
      <c r="D34" s="66">
        <f>D31*D22</f>
        <v>210</v>
      </c>
      <c r="E34" s="66">
        <f>E31*E22</f>
        <v>75</v>
      </c>
    </row>
    <row r="35" spans="1:7" x14ac:dyDescent="0.15">
      <c r="F35" s="67" t="s">
        <v>43</v>
      </c>
      <c r="G35" s="67">
        <f>SUM(B33:E34)</f>
        <v>83565</v>
      </c>
    </row>
  </sheetData>
  <mergeCells count="2">
    <mergeCell ref="A1:D1"/>
    <mergeCell ref="A3:D3"/>
  </mergeCells>
  <printOptions gridLines="1" gridLinesSet="0"/>
  <pageMargins left="0.75" right="0.75" top="1" bottom="1" header="0.5" footer="0.5"/>
  <pageSetup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7EE0B-880A-4C4D-B635-E6419BDFD70F}">
  <sheetPr syncVertical="1" syncRef="A1" transitionEvaluation="1"/>
  <dimension ref="A1:M30"/>
  <sheetViews>
    <sheetView workbookViewId="0">
      <selection activeCell="F30" sqref="F30"/>
    </sheetView>
  </sheetViews>
  <sheetFormatPr baseColWidth="10" defaultColWidth="5.6640625" defaultRowHeight="13" x14ac:dyDescent="0.15"/>
  <cols>
    <col min="1" max="1" width="9.33203125" style="8" customWidth="1"/>
    <col min="2" max="3" width="5.6640625" style="8" customWidth="1"/>
    <col min="4" max="4" width="14.1640625" style="8" customWidth="1"/>
    <col min="5" max="5" width="13.33203125" style="8" bestFit="1" customWidth="1"/>
    <col min="6" max="6" width="5.83203125" style="11" customWidth="1"/>
    <col min="7" max="7" width="10.33203125" style="11" customWidth="1"/>
    <col min="8" max="8" width="19.33203125" style="11" customWidth="1"/>
    <col min="9" max="9" width="6" style="8" customWidth="1"/>
    <col min="10" max="10" width="3" style="8" bestFit="1" customWidth="1"/>
    <col min="11" max="11" width="8.6640625" style="8" customWidth="1"/>
    <col min="12" max="12" width="9" style="8" bestFit="1" customWidth="1"/>
    <col min="13" max="13" width="15.5" style="8" bestFit="1" customWidth="1"/>
    <col min="14" max="16384" width="5.6640625" style="8"/>
  </cols>
  <sheetData>
    <row r="1" spans="1:13" x14ac:dyDescent="0.15">
      <c r="B1" s="9"/>
      <c r="C1" s="10"/>
      <c r="D1" s="10"/>
    </row>
    <row r="2" spans="1:13" x14ac:dyDescent="0.15">
      <c r="A2" s="12"/>
      <c r="I2" s="13"/>
      <c r="J2" s="13"/>
      <c r="K2" s="13"/>
    </row>
    <row r="3" spans="1:13" x14ac:dyDescent="0.15">
      <c r="A3"/>
      <c r="B3"/>
      <c r="C3"/>
      <c r="D3"/>
      <c r="E3"/>
      <c r="F3"/>
      <c r="G3"/>
      <c r="H3"/>
      <c r="I3"/>
      <c r="J3"/>
    </row>
    <row r="4" spans="1:13" x14ac:dyDescent="0.15">
      <c r="A4"/>
      <c r="B4"/>
      <c r="C4"/>
      <c r="D4"/>
      <c r="E4"/>
      <c r="F4"/>
      <c r="G4"/>
      <c r="H4"/>
      <c r="I4"/>
      <c r="J4"/>
    </row>
    <row r="5" spans="1:13" x14ac:dyDescent="0.15">
      <c r="A5"/>
      <c r="B5"/>
      <c r="C5"/>
      <c r="D5"/>
      <c r="E5"/>
      <c r="F5"/>
      <c r="G5"/>
      <c r="H5"/>
      <c r="I5"/>
      <c r="J5"/>
    </row>
    <row r="6" spans="1:13" x14ac:dyDescent="0.15">
      <c r="A6"/>
      <c r="B6"/>
      <c r="C6"/>
      <c r="D6"/>
      <c r="E6"/>
      <c r="F6"/>
      <c r="G6"/>
      <c r="H6"/>
      <c r="I6"/>
      <c r="J6"/>
      <c r="K6" s="44"/>
      <c r="L6" s="45" t="s">
        <v>44</v>
      </c>
      <c r="M6" s="45" t="s">
        <v>45</v>
      </c>
    </row>
    <row r="7" spans="1:13" x14ac:dyDescent="0.15">
      <c r="A7" s="80" t="s">
        <v>46</v>
      </c>
      <c r="B7" s="81" t="s">
        <v>47</v>
      </c>
      <c r="C7" s="81" t="s">
        <v>49</v>
      </c>
      <c r="D7" s="83" t="s">
        <v>48</v>
      </c>
      <c r="E7"/>
      <c r="F7"/>
      <c r="G7"/>
      <c r="H7"/>
      <c r="I7"/>
      <c r="K7" s="45">
        <v>1</v>
      </c>
      <c r="L7" s="44">
        <f>SUMIF($C$9:$C$28,K7,$A$9:$A$28)-SUMIF($B$9:$B$28,K7,$A$9:$A$28)</f>
        <v>-1</v>
      </c>
      <c r="M7" s="50">
        <v>-1</v>
      </c>
    </row>
    <row r="8" spans="1:13" x14ac:dyDescent="0.15">
      <c r="A8" s="80"/>
      <c r="B8" s="82"/>
      <c r="C8" s="82"/>
      <c r="D8" s="84"/>
      <c r="E8"/>
      <c r="F8"/>
      <c r="G8"/>
      <c r="H8"/>
      <c r="I8"/>
      <c r="K8" s="45">
        <v>2</v>
      </c>
      <c r="L8" s="44">
        <f t="shared" ref="L8:L17" si="0">SUMIF($C$9:$C$28,K8,$A$9:$A$28)-SUMIF($B$9:$B$28,K8,$A$9:$A$28)</f>
        <v>0</v>
      </c>
      <c r="M8" s="45">
        <v>0</v>
      </c>
    </row>
    <row r="9" spans="1:13" x14ac:dyDescent="0.15">
      <c r="A9" s="51">
        <v>0</v>
      </c>
      <c r="B9" s="46">
        <v>1</v>
      </c>
      <c r="C9" s="46">
        <v>2</v>
      </c>
      <c r="D9" s="48">
        <v>180</v>
      </c>
      <c r="E9"/>
      <c r="F9"/>
      <c r="G9"/>
      <c r="H9"/>
      <c r="I9"/>
      <c r="K9" s="45">
        <v>3</v>
      </c>
      <c r="L9" s="44">
        <f t="shared" si="0"/>
        <v>0</v>
      </c>
      <c r="M9" s="45">
        <v>0</v>
      </c>
    </row>
    <row r="10" spans="1:13" x14ac:dyDescent="0.15">
      <c r="A10" s="51">
        <v>1</v>
      </c>
      <c r="B10" s="46">
        <v>1</v>
      </c>
      <c r="C10" s="46">
        <v>3</v>
      </c>
      <c r="D10" s="48">
        <v>370</v>
      </c>
      <c r="E10"/>
      <c r="F10"/>
      <c r="G10"/>
      <c r="H10"/>
      <c r="I10"/>
      <c r="K10" s="45">
        <v>4</v>
      </c>
      <c r="L10" s="44">
        <f t="shared" si="0"/>
        <v>0</v>
      </c>
      <c r="M10" s="45">
        <v>0</v>
      </c>
    </row>
    <row r="11" spans="1:13" x14ac:dyDescent="0.15">
      <c r="A11" s="51">
        <v>0</v>
      </c>
      <c r="B11" s="46">
        <v>1</v>
      </c>
      <c r="C11" s="46">
        <v>4</v>
      </c>
      <c r="D11" s="48">
        <v>459</v>
      </c>
      <c r="E11"/>
      <c r="F11"/>
      <c r="G11"/>
      <c r="H11"/>
      <c r="I11"/>
      <c r="K11" s="45">
        <v>5</v>
      </c>
      <c r="L11" s="44">
        <f t="shared" si="0"/>
        <v>0</v>
      </c>
      <c r="M11" s="45">
        <v>0</v>
      </c>
    </row>
    <row r="12" spans="1:13" x14ac:dyDescent="0.15">
      <c r="A12" s="51">
        <v>0</v>
      </c>
      <c r="B12" s="46">
        <v>2</v>
      </c>
      <c r="C12" s="46">
        <v>5</v>
      </c>
      <c r="D12" s="48">
        <v>813</v>
      </c>
      <c r="E12"/>
      <c r="F12"/>
      <c r="G12"/>
      <c r="H12"/>
      <c r="I12"/>
      <c r="K12" s="45">
        <v>6</v>
      </c>
      <c r="L12" s="44">
        <f t="shared" si="0"/>
        <v>0</v>
      </c>
      <c r="M12" s="45">
        <v>0</v>
      </c>
    </row>
    <row r="13" spans="1:13" x14ac:dyDescent="0.15">
      <c r="A13" s="51">
        <v>0</v>
      </c>
      <c r="B13" s="46">
        <v>2</v>
      </c>
      <c r="C13" s="46">
        <v>3</v>
      </c>
      <c r="D13" s="48">
        <v>430</v>
      </c>
      <c r="E13"/>
      <c r="F13"/>
      <c r="G13"/>
      <c r="H13"/>
      <c r="I13"/>
      <c r="K13" s="45">
        <v>7</v>
      </c>
      <c r="L13" s="44">
        <f t="shared" si="0"/>
        <v>0</v>
      </c>
      <c r="M13" s="45">
        <v>0</v>
      </c>
    </row>
    <row r="14" spans="1:13" x14ac:dyDescent="0.15">
      <c r="A14" s="51">
        <v>1</v>
      </c>
      <c r="B14" s="46">
        <v>3</v>
      </c>
      <c r="C14" s="46">
        <v>6</v>
      </c>
      <c r="D14" s="48">
        <v>345</v>
      </c>
      <c r="E14"/>
      <c r="F14"/>
      <c r="G14"/>
      <c r="H14"/>
      <c r="I14"/>
      <c r="K14" s="45">
        <v>8</v>
      </c>
      <c r="L14" s="44">
        <f t="shared" si="0"/>
        <v>0</v>
      </c>
      <c r="M14" s="45">
        <v>0</v>
      </c>
    </row>
    <row r="15" spans="1:13" x14ac:dyDescent="0.15">
      <c r="A15" s="51">
        <v>0</v>
      </c>
      <c r="B15" s="46">
        <v>4</v>
      </c>
      <c r="C15" s="46">
        <v>6</v>
      </c>
      <c r="D15" s="48">
        <v>420</v>
      </c>
      <c r="E15"/>
      <c r="F15"/>
      <c r="G15"/>
      <c r="H15"/>
      <c r="I15"/>
      <c r="K15" s="45">
        <v>9</v>
      </c>
      <c r="L15" s="44">
        <f t="shared" si="0"/>
        <v>0</v>
      </c>
      <c r="M15" s="45">
        <v>0</v>
      </c>
    </row>
    <row r="16" spans="1:13" x14ac:dyDescent="0.15">
      <c r="A16" s="51">
        <v>0</v>
      </c>
      <c r="B16" s="46">
        <v>4</v>
      </c>
      <c r="C16" s="46">
        <v>7</v>
      </c>
      <c r="D16" s="48">
        <v>621</v>
      </c>
      <c r="E16"/>
      <c r="F16"/>
      <c r="G16"/>
      <c r="H16"/>
      <c r="I16"/>
      <c r="K16" s="45">
        <v>10</v>
      </c>
      <c r="L16" s="44">
        <f t="shared" si="0"/>
        <v>0</v>
      </c>
      <c r="M16" s="45">
        <v>0</v>
      </c>
    </row>
    <row r="17" spans="1:13" x14ac:dyDescent="0.15">
      <c r="A17" s="51">
        <v>0</v>
      </c>
      <c r="B17" s="46">
        <v>5</v>
      </c>
      <c r="C17" s="46">
        <v>10</v>
      </c>
      <c r="D17" s="48">
        <v>515</v>
      </c>
      <c r="E17"/>
      <c r="F17"/>
      <c r="G17"/>
      <c r="H17"/>
      <c r="I17"/>
      <c r="K17" s="45">
        <v>11</v>
      </c>
      <c r="L17" s="44">
        <f t="shared" si="0"/>
        <v>0</v>
      </c>
      <c r="M17" s="45">
        <v>0</v>
      </c>
    </row>
    <row r="18" spans="1:13" x14ac:dyDescent="0.15">
      <c r="A18" s="51">
        <v>0</v>
      </c>
      <c r="B18" s="46">
        <v>5</v>
      </c>
      <c r="C18" s="46">
        <v>8</v>
      </c>
      <c r="D18" s="48">
        <v>240</v>
      </c>
      <c r="E18"/>
      <c r="F18"/>
      <c r="G18"/>
      <c r="H18"/>
      <c r="I18"/>
      <c r="K18" s="45">
        <v>12</v>
      </c>
      <c r="L18" s="44">
        <f>SUMIF($C$9:$C$28,K18,$A$9:$A$28)-SUMIF($B$9:$B$28,K18,$A$9:$A$28)</f>
        <v>1</v>
      </c>
      <c r="M18" s="45">
        <v>1</v>
      </c>
    </row>
    <row r="19" spans="1:13" x14ac:dyDescent="0.15">
      <c r="A19" s="51">
        <v>1</v>
      </c>
      <c r="B19" s="46">
        <v>6</v>
      </c>
      <c r="C19" s="46">
        <v>8</v>
      </c>
      <c r="D19" s="48">
        <v>435</v>
      </c>
      <c r="E19"/>
      <c r="F19"/>
      <c r="G19"/>
      <c r="H19"/>
      <c r="I19"/>
      <c r="J19"/>
      <c r="L19" s="43"/>
      <c r="M19" s="2"/>
    </row>
    <row r="20" spans="1:13" x14ac:dyDescent="0.15">
      <c r="A20" s="51">
        <v>0</v>
      </c>
      <c r="B20" s="47">
        <v>6</v>
      </c>
      <c r="C20" s="47">
        <v>9</v>
      </c>
      <c r="D20" s="49">
        <v>541</v>
      </c>
    </row>
    <row r="21" spans="1:13" x14ac:dyDescent="0.15">
      <c r="A21" s="51">
        <v>0</v>
      </c>
      <c r="B21" s="47">
        <v>7</v>
      </c>
      <c r="C21" s="47">
        <v>6</v>
      </c>
      <c r="D21" s="49">
        <v>440</v>
      </c>
    </row>
    <row r="22" spans="1:13" x14ac:dyDescent="0.15">
      <c r="A22" s="51">
        <v>0</v>
      </c>
      <c r="B22" s="47">
        <v>7</v>
      </c>
      <c r="C22" s="47">
        <v>9</v>
      </c>
      <c r="D22" s="49">
        <v>543</v>
      </c>
    </row>
    <row r="23" spans="1:13" x14ac:dyDescent="0.15">
      <c r="A23" s="51">
        <v>0</v>
      </c>
      <c r="B23" s="47">
        <v>8</v>
      </c>
      <c r="C23" s="47">
        <v>9</v>
      </c>
      <c r="D23" s="49">
        <v>557</v>
      </c>
    </row>
    <row r="24" spans="1:13" x14ac:dyDescent="0.15">
      <c r="A24" s="51">
        <v>1</v>
      </c>
      <c r="B24" s="47">
        <v>8</v>
      </c>
      <c r="C24" s="47">
        <v>10</v>
      </c>
      <c r="D24" s="49">
        <v>290</v>
      </c>
    </row>
    <row r="25" spans="1:13" x14ac:dyDescent="0.15">
      <c r="A25" s="51">
        <v>0</v>
      </c>
      <c r="B25" s="47">
        <v>9</v>
      </c>
      <c r="C25" s="47">
        <v>12</v>
      </c>
      <c r="D25" s="49">
        <v>768</v>
      </c>
    </row>
    <row r="26" spans="1:13" x14ac:dyDescent="0.15">
      <c r="A26" s="51">
        <v>0</v>
      </c>
      <c r="B26" s="47">
        <v>10</v>
      </c>
      <c r="C26" s="47">
        <v>11</v>
      </c>
      <c r="D26" s="49">
        <v>117</v>
      </c>
    </row>
    <row r="27" spans="1:13" x14ac:dyDescent="0.15">
      <c r="A27" s="52">
        <v>1</v>
      </c>
      <c r="B27" s="47">
        <v>10</v>
      </c>
      <c r="C27" s="47">
        <v>12</v>
      </c>
      <c r="D27" s="49">
        <v>423</v>
      </c>
    </row>
    <row r="28" spans="1:13" x14ac:dyDescent="0.15">
      <c r="A28" s="52">
        <v>0</v>
      </c>
      <c r="B28" s="47">
        <v>11</v>
      </c>
      <c r="C28" s="47">
        <v>12</v>
      </c>
      <c r="D28" s="49">
        <v>312</v>
      </c>
    </row>
    <row r="30" spans="1:13" x14ac:dyDescent="0.15">
      <c r="E30" s="8" t="s">
        <v>50</v>
      </c>
      <c r="F30" s="53">
        <f>SUMPRODUCT(A9:A28,D9:D28)</f>
        <v>1863</v>
      </c>
    </row>
  </sheetData>
  <mergeCells count="4">
    <mergeCell ref="A7:A8"/>
    <mergeCell ref="B7:B8"/>
    <mergeCell ref="C7:C8"/>
    <mergeCell ref="D7:D8"/>
  </mergeCells>
  <printOptions gridLines="1" gridLinesSet="0"/>
  <pageMargins left="0.75" right="0.75" top="1" bottom="1" header="0.5" footer="0.5"/>
  <pageSetup orientation="portrait" horizontalDpi="4294967292" verticalDpi="12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B077F-5599-4FD9-8B2C-95245D9604A6}">
  <sheetPr syncVertical="1" syncRef="A1" transitionEvaluation="1" codeName="Sheet2"/>
  <dimension ref="A1:M30"/>
  <sheetViews>
    <sheetView workbookViewId="0">
      <selection activeCell="E45" sqref="E45"/>
    </sheetView>
  </sheetViews>
  <sheetFormatPr baseColWidth="10" defaultColWidth="5.6640625" defaultRowHeight="13" x14ac:dyDescent="0.15"/>
  <cols>
    <col min="1" max="1" width="9.33203125" style="8" customWidth="1"/>
    <col min="2" max="3" width="5.6640625" style="8" customWidth="1"/>
    <col min="4" max="4" width="14.1640625" style="8" customWidth="1"/>
    <col min="5" max="5" width="13.33203125" style="8" bestFit="1" customWidth="1"/>
    <col min="6" max="6" width="5.83203125" style="11" customWidth="1"/>
    <col min="7" max="7" width="10.33203125" style="11" customWidth="1"/>
    <col min="8" max="8" width="19.33203125" style="11" customWidth="1"/>
    <col min="9" max="9" width="6" style="8" customWidth="1"/>
    <col min="10" max="10" width="3" style="8" bestFit="1" customWidth="1"/>
    <col min="11" max="11" width="8.6640625" style="8" customWidth="1"/>
    <col min="12" max="12" width="9" style="8" bestFit="1" customWidth="1"/>
    <col min="13" max="13" width="15.5" style="8" bestFit="1" customWidth="1"/>
    <col min="14" max="16384" width="5.6640625" style="8"/>
  </cols>
  <sheetData>
    <row r="1" spans="1:13" x14ac:dyDescent="0.15">
      <c r="B1" s="9"/>
      <c r="C1" s="10"/>
      <c r="D1" s="10"/>
    </row>
    <row r="2" spans="1:13" x14ac:dyDescent="0.15">
      <c r="A2" s="12"/>
      <c r="I2" s="13"/>
      <c r="J2" s="13"/>
      <c r="K2" s="13"/>
    </row>
    <row r="3" spans="1:13" x14ac:dyDescent="0.15">
      <c r="A3"/>
      <c r="B3"/>
      <c r="C3"/>
      <c r="D3"/>
      <c r="E3"/>
      <c r="F3"/>
      <c r="G3"/>
      <c r="H3"/>
      <c r="I3"/>
      <c r="J3"/>
    </row>
    <row r="4" spans="1:13" x14ac:dyDescent="0.15">
      <c r="A4"/>
      <c r="B4"/>
      <c r="C4"/>
      <c r="D4"/>
      <c r="E4"/>
      <c r="F4"/>
      <c r="G4"/>
      <c r="H4"/>
      <c r="I4"/>
      <c r="J4"/>
    </row>
    <row r="5" spans="1:13" x14ac:dyDescent="0.15">
      <c r="A5"/>
      <c r="B5"/>
      <c r="C5"/>
      <c r="D5"/>
      <c r="E5"/>
      <c r="F5"/>
      <c r="G5"/>
      <c r="H5"/>
      <c r="I5"/>
      <c r="J5"/>
    </row>
    <row r="6" spans="1:13" x14ac:dyDescent="0.15">
      <c r="A6"/>
      <c r="B6"/>
      <c r="C6"/>
      <c r="D6"/>
      <c r="E6"/>
      <c r="F6"/>
      <c r="G6"/>
      <c r="H6"/>
      <c r="I6"/>
      <c r="J6"/>
      <c r="K6" s="44"/>
      <c r="L6" s="45" t="s">
        <v>44</v>
      </c>
      <c r="M6" s="45" t="s">
        <v>45</v>
      </c>
    </row>
    <row r="7" spans="1:13" x14ac:dyDescent="0.15">
      <c r="A7" s="80" t="s">
        <v>46</v>
      </c>
      <c r="B7" s="81" t="s">
        <v>47</v>
      </c>
      <c r="C7" s="81" t="s">
        <v>49</v>
      </c>
      <c r="D7" s="83" t="s">
        <v>48</v>
      </c>
      <c r="E7"/>
      <c r="F7"/>
      <c r="G7"/>
      <c r="H7"/>
      <c r="I7"/>
      <c r="K7" s="45">
        <v>1</v>
      </c>
      <c r="L7" s="44">
        <f>SUMIF($C$9:$C$28,K7,$A$9:$A$28)-SUMIF($B$9:$B$28,K7,$A$9:$A$28)</f>
        <v>-1</v>
      </c>
      <c r="M7" s="50">
        <v>-1</v>
      </c>
    </row>
    <row r="8" spans="1:13" x14ac:dyDescent="0.15">
      <c r="A8" s="80"/>
      <c r="B8" s="82"/>
      <c r="C8" s="82"/>
      <c r="D8" s="84"/>
      <c r="E8"/>
      <c r="F8"/>
      <c r="G8"/>
      <c r="H8"/>
      <c r="I8"/>
      <c r="K8" s="45">
        <v>2</v>
      </c>
      <c r="L8" s="44">
        <f t="shared" ref="L8:L17" si="0">SUMIF($C$9:$C$28,K8,$A$9:$A$28)-SUMIF($B$9:$B$28,K8,$A$9:$A$28)</f>
        <v>0</v>
      </c>
      <c r="M8" s="45">
        <v>0</v>
      </c>
    </row>
    <row r="9" spans="1:13" x14ac:dyDescent="0.15">
      <c r="A9" s="51">
        <v>0</v>
      </c>
      <c r="B9" s="46">
        <v>1</v>
      </c>
      <c r="C9" s="46">
        <v>2</v>
      </c>
      <c r="D9" s="48">
        <v>180</v>
      </c>
      <c r="E9"/>
      <c r="F9"/>
      <c r="G9"/>
      <c r="H9"/>
      <c r="I9"/>
      <c r="K9" s="45">
        <v>3</v>
      </c>
      <c r="L9" s="44">
        <f t="shared" si="0"/>
        <v>0</v>
      </c>
      <c r="M9" s="45">
        <v>0</v>
      </c>
    </row>
    <row r="10" spans="1:13" x14ac:dyDescent="0.15">
      <c r="A10" s="51">
        <v>1</v>
      </c>
      <c r="B10" s="46">
        <v>1</v>
      </c>
      <c r="C10" s="46">
        <v>3</v>
      </c>
      <c r="D10" s="48">
        <v>370</v>
      </c>
      <c r="E10"/>
      <c r="F10"/>
      <c r="G10"/>
      <c r="H10"/>
      <c r="I10"/>
      <c r="K10" s="45">
        <v>4</v>
      </c>
      <c r="L10" s="44">
        <f t="shared" si="0"/>
        <v>0</v>
      </c>
      <c r="M10" s="45">
        <v>0</v>
      </c>
    </row>
    <row r="11" spans="1:13" x14ac:dyDescent="0.15">
      <c r="A11" s="51">
        <v>0</v>
      </c>
      <c r="B11" s="46">
        <v>1</v>
      </c>
      <c r="C11" s="46">
        <v>4</v>
      </c>
      <c r="D11" s="48">
        <v>459</v>
      </c>
      <c r="E11"/>
      <c r="F11"/>
      <c r="G11"/>
      <c r="H11"/>
      <c r="I11"/>
      <c r="K11" s="45">
        <v>5</v>
      </c>
      <c r="L11" s="44">
        <f t="shared" si="0"/>
        <v>0</v>
      </c>
      <c r="M11" s="45">
        <v>0</v>
      </c>
    </row>
    <row r="12" spans="1:13" x14ac:dyDescent="0.15">
      <c r="A12" s="51">
        <v>0</v>
      </c>
      <c r="B12" s="46">
        <v>2</v>
      </c>
      <c r="C12" s="46">
        <v>5</v>
      </c>
      <c r="D12" s="48">
        <v>813</v>
      </c>
      <c r="E12"/>
      <c r="F12"/>
      <c r="G12"/>
      <c r="H12"/>
      <c r="I12"/>
      <c r="K12" s="45">
        <v>6</v>
      </c>
      <c r="L12" s="44">
        <f t="shared" si="0"/>
        <v>0</v>
      </c>
      <c r="M12" s="45">
        <v>0</v>
      </c>
    </row>
    <row r="13" spans="1:13" x14ac:dyDescent="0.15">
      <c r="A13" s="51">
        <v>0</v>
      </c>
      <c r="B13" s="46">
        <v>2</v>
      </c>
      <c r="C13" s="46">
        <v>3</v>
      </c>
      <c r="D13" s="48">
        <v>430</v>
      </c>
      <c r="E13"/>
      <c r="F13"/>
      <c r="G13"/>
      <c r="H13"/>
      <c r="I13"/>
      <c r="K13" s="45">
        <v>7</v>
      </c>
      <c r="L13" s="44">
        <f t="shared" si="0"/>
        <v>0</v>
      </c>
      <c r="M13" s="45">
        <v>0</v>
      </c>
    </row>
    <row r="14" spans="1:13" x14ac:dyDescent="0.15">
      <c r="A14" s="51">
        <v>1</v>
      </c>
      <c r="B14" s="46">
        <v>3</v>
      </c>
      <c r="C14" s="46">
        <v>6</v>
      </c>
      <c r="D14" s="48">
        <v>345</v>
      </c>
      <c r="E14"/>
      <c r="F14"/>
      <c r="G14"/>
      <c r="H14"/>
      <c r="I14"/>
      <c r="K14" s="45">
        <v>8</v>
      </c>
      <c r="L14" s="44">
        <f t="shared" si="0"/>
        <v>0</v>
      </c>
      <c r="M14" s="45">
        <v>0</v>
      </c>
    </row>
    <row r="15" spans="1:13" x14ac:dyDescent="0.15">
      <c r="A15" s="51">
        <v>0</v>
      </c>
      <c r="B15" s="46">
        <v>4</v>
      </c>
      <c r="C15" s="46">
        <v>6</v>
      </c>
      <c r="D15" s="48">
        <v>420</v>
      </c>
      <c r="E15"/>
      <c r="F15"/>
      <c r="G15"/>
      <c r="H15"/>
      <c r="I15"/>
      <c r="K15" s="45">
        <v>9</v>
      </c>
      <c r="L15" s="44">
        <f t="shared" si="0"/>
        <v>0</v>
      </c>
      <c r="M15" s="45">
        <v>0</v>
      </c>
    </row>
    <row r="16" spans="1:13" x14ac:dyDescent="0.15">
      <c r="A16" s="51">
        <v>0</v>
      </c>
      <c r="B16" s="46">
        <v>4</v>
      </c>
      <c r="C16" s="46">
        <v>7</v>
      </c>
      <c r="D16" s="48">
        <v>621</v>
      </c>
      <c r="E16"/>
      <c r="F16"/>
      <c r="G16"/>
      <c r="H16"/>
      <c r="I16"/>
      <c r="K16" s="45">
        <v>10</v>
      </c>
      <c r="L16" s="44">
        <f t="shared" si="0"/>
        <v>0</v>
      </c>
      <c r="M16" s="45">
        <v>0</v>
      </c>
    </row>
    <row r="17" spans="1:13" x14ac:dyDescent="0.15">
      <c r="A17" s="51">
        <v>0</v>
      </c>
      <c r="B17" s="46">
        <v>5</v>
      </c>
      <c r="C17" s="46">
        <v>10</v>
      </c>
      <c r="D17" s="48">
        <v>515</v>
      </c>
      <c r="E17"/>
      <c r="F17"/>
      <c r="G17"/>
      <c r="H17"/>
      <c r="I17"/>
      <c r="K17" s="45">
        <v>11</v>
      </c>
      <c r="L17" s="44">
        <f t="shared" si="0"/>
        <v>0</v>
      </c>
      <c r="M17" s="45">
        <v>0</v>
      </c>
    </row>
    <row r="18" spans="1:13" x14ac:dyDescent="0.15">
      <c r="A18" s="51">
        <v>0</v>
      </c>
      <c r="B18" s="46">
        <v>5</v>
      </c>
      <c r="C18" s="46">
        <v>8</v>
      </c>
      <c r="D18" s="48">
        <v>240</v>
      </c>
      <c r="E18"/>
      <c r="F18"/>
      <c r="G18"/>
      <c r="H18"/>
      <c r="I18"/>
      <c r="K18" s="45">
        <v>12</v>
      </c>
      <c r="L18" s="44">
        <f>SUMIF($C$9:$C$28,K18,$A$9:$A$28)-SUMIF($B$9:$B$28,K18,$A$9:$A$28)</f>
        <v>1</v>
      </c>
      <c r="M18" s="45">
        <v>1</v>
      </c>
    </row>
    <row r="19" spans="1:13" x14ac:dyDescent="0.15">
      <c r="A19" s="51">
        <v>1</v>
      </c>
      <c r="B19" s="46">
        <v>6</v>
      </c>
      <c r="C19" s="46">
        <v>8</v>
      </c>
      <c r="D19" s="48">
        <v>435</v>
      </c>
      <c r="E19"/>
      <c r="F19"/>
      <c r="G19"/>
      <c r="H19"/>
      <c r="I19"/>
      <c r="J19"/>
      <c r="L19" s="43"/>
      <c r="M19" s="2"/>
    </row>
    <row r="20" spans="1:13" x14ac:dyDescent="0.15">
      <c r="A20" s="51">
        <v>0</v>
      </c>
      <c r="B20" s="47">
        <v>6</v>
      </c>
      <c r="C20" s="47">
        <v>9</v>
      </c>
      <c r="D20" s="49">
        <v>541</v>
      </c>
    </row>
    <row r="21" spans="1:13" x14ac:dyDescent="0.15">
      <c r="A21" s="51">
        <v>0</v>
      </c>
      <c r="B21" s="47">
        <v>7</v>
      </c>
      <c r="C21" s="47">
        <v>6</v>
      </c>
      <c r="D21" s="49">
        <v>440</v>
      </c>
    </row>
    <row r="22" spans="1:13" x14ac:dyDescent="0.15">
      <c r="A22" s="51">
        <v>0</v>
      </c>
      <c r="B22" s="47">
        <v>7</v>
      </c>
      <c r="C22" s="47">
        <v>9</v>
      </c>
      <c r="D22" s="49">
        <v>543</v>
      </c>
    </row>
    <row r="23" spans="1:13" x14ac:dyDescent="0.15">
      <c r="A23" s="51">
        <v>0</v>
      </c>
      <c r="B23" s="47">
        <v>8</v>
      </c>
      <c r="C23" s="47">
        <v>9</v>
      </c>
      <c r="D23" s="49">
        <v>557</v>
      </c>
    </row>
    <row r="24" spans="1:13" x14ac:dyDescent="0.15">
      <c r="A24" s="51">
        <v>1</v>
      </c>
      <c r="B24" s="47">
        <v>8</v>
      </c>
      <c r="C24" s="47">
        <v>10</v>
      </c>
      <c r="D24" s="49">
        <v>290</v>
      </c>
    </row>
    <row r="25" spans="1:13" x14ac:dyDescent="0.15">
      <c r="A25" s="51">
        <v>0</v>
      </c>
      <c r="B25" s="47">
        <v>9</v>
      </c>
      <c r="C25" s="47">
        <v>12</v>
      </c>
      <c r="D25" s="49">
        <v>768</v>
      </c>
    </row>
    <row r="26" spans="1:13" x14ac:dyDescent="0.15">
      <c r="A26" s="51">
        <v>0</v>
      </c>
      <c r="B26" s="47">
        <v>10</v>
      </c>
      <c r="C26" s="47">
        <v>11</v>
      </c>
      <c r="D26" s="49">
        <v>117</v>
      </c>
    </row>
    <row r="27" spans="1:13" x14ac:dyDescent="0.15">
      <c r="A27" s="52">
        <v>1</v>
      </c>
      <c r="B27" s="47">
        <v>10</v>
      </c>
      <c r="C27" s="47">
        <v>12</v>
      </c>
      <c r="D27" s="49">
        <v>423</v>
      </c>
    </row>
    <row r="28" spans="1:13" x14ac:dyDescent="0.15">
      <c r="A28" s="52">
        <v>0</v>
      </c>
      <c r="B28" s="47">
        <v>11</v>
      </c>
      <c r="C28" s="47">
        <v>12</v>
      </c>
      <c r="D28" s="49">
        <v>312</v>
      </c>
    </row>
    <row r="30" spans="1:13" x14ac:dyDescent="0.15">
      <c r="E30" s="8" t="s">
        <v>50</v>
      </c>
      <c r="F30" s="53">
        <f>SUMPRODUCT(A9:A28,D9:D28)</f>
        <v>1863</v>
      </c>
    </row>
  </sheetData>
  <mergeCells count="4">
    <mergeCell ref="A7:A8"/>
    <mergeCell ref="B7:B8"/>
    <mergeCell ref="C7:C8"/>
    <mergeCell ref="D7:D8"/>
  </mergeCells>
  <printOptions gridLines="1" gridLinesSet="0"/>
  <pageMargins left="0.75" right="0.75" top="1" bottom="1" header="0.5" footer="0.5"/>
  <pageSetup orientation="portrait" horizontalDpi="4294967292" verticalDpi="12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703F0-BA80-4F31-A35E-543184D754C9}">
  <sheetPr syncVertical="1" syncRef="A1" transitionEvaluation="1"/>
  <dimension ref="A1:M30"/>
  <sheetViews>
    <sheetView workbookViewId="0">
      <selection activeCell="A23" sqref="A23"/>
    </sheetView>
  </sheetViews>
  <sheetFormatPr baseColWidth="10" defaultColWidth="5.6640625" defaultRowHeight="13" x14ac:dyDescent="0.15"/>
  <cols>
    <col min="1" max="1" width="9.33203125" style="8" customWidth="1"/>
    <col min="2" max="3" width="5.6640625" style="8" customWidth="1"/>
    <col min="4" max="4" width="14.1640625" style="8" customWidth="1"/>
    <col min="5" max="5" width="13.33203125" style="8" bestFit="1" customWidth="1"/>
    <col min="6" max="6" width="5.83203125" style="11" customWidth="1"/>
    <col min="7" max="7" width="10.33203125" style="11" customWidth="1"/>
    <col min="8" max="8" width="19.33203125" style="11" customWidth="1"/>
    <col min="9" max="9" width="6" style="8" customWidth="1"/>
    <col min="10" max="10" width="3" style="8" bestFit="1" customWidth="1"/>
    <col min="11" max="11" width="8.6640625" style="8" customWidth="1"/>
    <col min="12" max="12" width="9" style="8" bestFit="1" customWidth="1"/>
    <col min="13" max="13" width="15.5" style="8" bestFit="1" customWidth="1"/>
    <col min="14" max="16384" width="5.6640625" style="8"/>
  </cols>
  <sheetData>
    <row r="1" spans="1:13" x14ac:dyDescent="0.15">
      <c r="B1" s="9"/>
      <c r="C1" s="10"/>
      <c r="D1" s="10"/>
    </row>
    <row r="2" spans="1:13" x14ac:dyDescent="0.15">
      <c r="A2" s="12"/>
      <c r="I2" s="13"/>
      <c r="J2" s="13"/>
      <c r="K2" s="13"/>
    </row>
    <row r="3" spans="1:13" x14ac:dyDescent="0.15">
      <c r="A3"/>
      <c r="B3"/>
      <c r="C3"/>
      <c r="D3"/>
      <c r="E3"/>
      <c r="F3"/>
      <c r="G3"/>
      <c r="H3"/>
      <c r="I3"/>
      <c r="J3"/>
    </row>
    <row r="4" spans="1:13" x14ac:dyDescent="0.15">
      <c r="A4"/>
      <c r="B4"/>
      <c r="C4"/>
      <c r="D4"/>
      <c r="E4"/>
      <c r="F4"/>
      <c r="G4"/>
      <c r="H4"/>
      <c r="I4"/>
      <c r="J4"/>
    </row>
    <row r="5" spans="1:13" x14ac:dyDescent="0.15">
      <c r="A5"/>
      <c r="B5"/>
      <c r="C5"/>
      <c r="D5"/>
      <c r="E5"/>
      <c r="F5"/>
      <c r="G5"/>
      <c r="H5"/>
      <c r="I5"/>
      <c r="J5"/>
    </row>
    <row r="6" spans="1:13" x14ac:dyDescent="0.15">
      <c r="A6"/>
      <c r="B6"/>
      <c r="C6"/>
      <c r="D6"/>
      <c r="E6"/>
      <c r="F6"/>
      <c r="G6"/>
      <c r="H6"/>
      <c r="I6"/>
      <c r="J6"/>
      <c r="K6" s="44"/>
      <c r="L6" s="45" t="s">
        <v>44</v>
      </c>
      <c r="M6" s="45" t="s">
        <v>45</v>
      </c>
    </row>
    <row r="7" spans="1:13" x14ac:dyDescent="0.15">
      <c r="A7" s="80" t="s">
        <v>46</v>
      </c>
      <c r="B7" s="81" t="s">
        <v>47</v>
      </c>
      <c r="C7" s="81" t="s">
        <v>49</v>
      </c>
      <c r="D7" s="83" t="s">
        <v>48</v>
      </c>
      <c r="E7"/>
      <c r="F7"/>
      <c r="G7"/>
      <c r="H7"/>
      <c r="I7"/>
      <c r="K7" s="45">
        <v>1</v>
      </c>
      <c r="L7" s="44">
        <f>SUMIF($C$9:$C$28,K7,$A$9:$A$28)-SUMIF($B$9:$B$28,K7,$A$9:$A$28)</f>
        <v>-1</v>
      </c>
      <c r="M7" s="50">
        <v>-1</v>
      </c>
    </row>
    <row r="8" spans="1:13" x14ac:dyDescent="0.15">
      <c r="A8" s="80"/>
      <c r="B8" s="82"/>
      <c r="C8" s="82"/>
      <c r="D8" s="84"/>
      <c r="E8"/>
      <c r="F8"/>
      <c r="G8"/>
      <c r="H8"/>
      <c r="I8"/>
      <c r="K8" s="45">
        <v>2</v>
      </c>
      <c r="L8" s="44">
        <f t="shared" ref="L8:L17" si="0">SUMIF($C$9:$C$28,K8,$A$9:$A$28)-SUMIF($B$9:$B$28,K8,$A$9:$A$28)</f>
        <v>0</v>
      </c>
      <c r="M8" s="45">
        <v>0</v>
      </c>
    </row>
    <row r="9" spans="1:13" x14ac:dyDescent="0.15">
      <c r="A9" s="51">
        <v>0</v>
      </c>
      <c r="B9" s="46">
        <v>1</v>
      </c>
      <c r="C9" s="46">
        <v>2</v>
      </c>
      <c r="D9" s="48">
        <v>180</v>
      </c>
      <c r="E9"/>
      <c r="F9"/>
      <c r="G9"/>
      <c r="H9"/>
      <c r="I9"/>
      <c r="K9" s="45">
        <v>3</v>
      </c>
      <c r="L9" s="44">
        <f t="shared" si="0"/>
        <v>0</v>
      </c>
      <c r="M9" s="45">
        <v>0</v>
      </c>
    </row>
    <row r="10" spans="1:13" x14ac:dyDescent="0.15">
      <c r="A10" s="51">
        <v>0</v>
      </c>
      <c r="B10" s="46">
        <v>1</v>
      </c>
      <c r="C10" s="46">
        <v>3</v>
      </c>
      <c r="D10" s="48">
        <v>370</v>
      </c>
      <c r="E10"/>
      <c r="F10"/>
      <c r="G10"/>
      <c r="H10"/>
      <c r="I10"/>
      <c r="K10" s="45">
        <v>4</v>
      </c>
      <c r="L10" s="44">
        <f t="shared" si="0"/>
        <v>0</v>
      </c>
      <c r="M10" s="45">
        <v>0</v>
      </c>
    </row>
    <row r="11" spans="1:13" x14ac:dyDescent="0.15">
      <c r="A11" s="51">
        <v>1</v>
      </c>
      <c r="B11" s="46">
        <v>1</v>
      </c>
      <c r="C11" s="46">
        <v>4</v>
      </c>
      <c r="D11" s="48">
        <v>459</v>
      </c>
      <c r="E11"/>
      <c r="F11"/>
      <c r="G11"/>
      <c r="H11"/>
      <c r="I11"/>
      <c r="K11" s="45">
        <v>5</v>
      </c>
      <c r="L11" s="44">
        <f t="shared" si="0"/>
        <v>0</v>
      </c>
      <c r="M11" s="45">
        <v>0</v>
      </c>
    </row>
    <row r="12" spans="1:13" x14ac:dyDescent="0.15">
      <c r="A12" s="51">
        <v>0</v>
      </c>
      <c r="B12" s="46">
        <v>2</v>
      </c>
      <c r="C12" s="46">
        <v>5</v>
      </c>
      <c r="D12" s="48">
        <v>813</v>
      </c>
      <c r="E12"/>
      <c r="F12"/>
      <c r="G12"/>
      <c r="H12"/>
      <c r="I12"/>
      <c r="K12" s="45">
        <v>6</v>
      </c>
      <c r="L12" s="44">
        <f t="shared" si="0"/>
        <v>0</v>
      </c>
      <c r="M12" s="45">
        <v>0</v>
      </c>
    </row>
    <row r="13" spans="1:13" x14ac:dyDescent="0.15">
      <c r="A13" s="51">
        <v>0</v>
      </c>
      <c r="B13" s="46">
        <v>2</v>
      </c>
      <c r="C13" s="46">
        <v>3</v>
      </c>
      <c r="D13" s="48">
        <v>430</v>
      </c>
      <c r="E13"/>
      <c r="F13"/>
      <c r="G13"/>
      <c r="H13"/>
      <c r="I13"/>
      <c r="K13" s="45">
        <v>7</v>
      </c>
      <c r="L13" s="44">
        <f t="shared" si="0"/>
        <v>0</v>
      </c>
      <c r="M13" s="45">
        <v>0</v>
      </c>
    </row>
    <row r="14" spans="1:13" x14ac:dyDescent="0.15">
      <c r="A14" s="51">
        <v>0</v>
      </c>
      <c r="B14" s="46">
        <v>3</v>
      </c>
      <c r="C14" s="46">
        <v>6</v>
      </c>
      <c r="D14" s="48">
        <v>345</v>
      </c>
      <c r="E14"/>
      <c r="F14"/>
      <c r="G14"/>
      <c r="H14"/>
      <c r="I14"/>
      <c r="K14" s="45">
        <v>8</v>
      </c>
      <c r="L14" s="44">
        <f t="shared" si="0"/>
        <v>0</v>
      </c>
      <c r="M14" s="45">
        <v>0</v>
      </c>
    </row>
    <row r="15" spans="1:13" x14ac:dyDescent="0.15">
      <c r="A15" s="51">
        <v>0</v>
      </c>
      <c r="B15" s="46">
        <v>4</v>
      </c>
      <c r="C15" s="46">
        <v>6</v>
      </c>
      <c r="D15" s="48">
        <v>420</v>
      </c>
      <c r="E15"/>
      <c r="F15"/>
      <c r="G15"/>
      <c r="H15"/>
      <c r="I15"/>
      <c r="K15" s="45">
        <v>9</v>
      </c>
      <c r="L15" s="44">
        <f t="shared" si="0"/>
        <v>0</v>
      </c>
      <c r="M15" s="45">
        <v>0</v>
      </c>
    </row>
    <row r="16" spans="1:13" x14ac:dyDescent="0.15">
      <c r="A16" s="51">
        <v>1</v>
      </c>
      <c r="B16" s="46">
        <v>4</v>
      </c>
      <c r="C16" s="46">
        <v>7</v>
      </c>
      <c r="D16" s="48">
        <v>621</v>
      </c>
      <c r="E16"/>
      <c r="F16"/>
      <c r="G16"/>
      <c r="H16"/>
      <c r="I16"/>
      <c r="K16" s="45">
        <v>10</v>
      </c>
      <c r="L16" s="44">
        <f t="shared" si="0"/>
        <v>0</v>
      </c>
      <c r="M16" s="45">
        <v>0</v>
      </c>
    </row>
    <row r="17" spans="1:13" x14ac:dyDescent="0.15">
      <c r="A17" s="51">
        <v>0</v>
      </c>
      <c r="B17" s="46">
        <v>5</v>
      </c>
      <c r="C17" s="46">
        <v>10</v>
      </c>
      <c r="D17" s="48">
        <v>515</v>
      </c>
      <c r="E17"/>
      <c r="F17"/>
      <c r="G17"/>
      <c r="H17"/>
      <c r="I17"/>
      <c r="K17" s="45">
        <v>11</v>
      </c>
      <c r="L17" s="44">
        <f t="shared" si="0"/>
        <v>0</v>
      </c>
      <c r="M17" s="45">
        <v>0</v>
      </c>
    </row>
    <row r="18" spans="1:13" x14ac:dyDescent="0.15">
      <c r="A18" s="51">
        <v>0</v>
      </c>
      <c r="B18" s="46">
        <v>5</v>
      </c>
      <c r="C18" s="46">
        <v>8</v>
      </c>
      <c r="D18" s="48">
        <v>240</v>
      </c>
      <c r="E18"/>
      <c r="F18"/>
      <c r="G18"/>
      <c r="H18"/>
      <c r="I18"/>
      <c r="K18" s="45">
        <v>12</v>
      </c>
      <c r="L18" s="44">
        <f>SUMIF($C$9:$C$28,K18,$A$9:$A$28)-SUMIF($B$9:$B$28,K18,$A$9:$A$28)</f>
        <v>1</v>
      </c>
      <c r="M18" s="45">
        <v>1</v>
      </c>
    </row>
    <row r="19" spans="1:13" x14ac:dyDescent="0.15">
      <c r="A19" s="51">
        <v>1</v>
      </c>
      <c r="B19" s="46">
        <v>6</v>
      </c>
      <c r="C19" s="46">
        <v>8</v>
      </c>
      <c r="D19" s="48">
        <v>435</v>
      </c>
      <c r="E19"/>
      <c r="F19"/>
      <c r="G19"/>
      <c r="H19"/>
      <c r="I19"/>
      <c r="J19"/>
      <c r="L19" s="43"/>
      <c r="M19" s="2"/>
    </row>
    <row r="20" spans="1:13" x14ac:dyDescent="0.15">
      <c r="A20" s="51">
        <v>0</v>
      </c>
      <c r="B20" s="47">
        <v>6</v>
      </c>
      <c r="C20" s="47">
        <v>9</v>
      </c>
      <c r="D20" s="49">
        <v>541</v>
      </c>
    </row>
    <row r="21" spans="1:13" x14ac:dyDescent="0.15">
      <c r="A21" s="51">
        <v>1</v>
      </c>
      <c r="B21" s="47">
        <v>7</v>
      </c>
      <c r="C21" s="47">
        <v>6</v>
      </c>
      <c r="D21" s="49">
        <v>440</v>
      </c>
    </row>
    <row r="22" spans="1:13" x14ac:dyDescent="0.15">
      <c r="A22" s="51">
        <v>0</v>
      </c>
      <c r="B22" s="47">
        <v>7</v>
      </c>
      <c r="C22" s="47">
        <v>9</v>
      </c>
      <c r="D22" s="49">
        <v>543</v>
      </c>
    </row>
    <row r="23" spans="1:13" x14ac:dyDescent="0.15">
      <c r="A23" s="51">
        <v>1</v>
      </c>
      <c r="B23" s="47">
        <v>8</v>
      </c>
      <c r="C23" s="47">
        <v>9</v>
      </c>
      <c r="D23" s="49">
        <v>557</v>
      </c>
    </row>
    <row r="24" spans="1:13" x14ac:dyDescent="0.15">
      <c r="A24" s="51">
        <v>0</v>
      </c>
      <c r="B24" s="47">
        <v>8</v>
      </c>
      <c r="C24" s="47">
        <v>10</v>
      </c>
      <c r="D24" s="49">
        <v>290</v>
      </c>
    </row>
    <row r="25" spans="1:13" x14ac:dyDescent="0.15">
      <c r="A25" s="51">
        <v>1</v>
      </c>
      <c r="B25" s="47">
        <v>9</v>
      </c>
      <c r="C25" s="47">
        <v>12</v>
      </c>
      <c r="D25" s="49">
        <v>768</v>
      </c>
    </row>
    <row r="26" spans="1:13" x14ac:dyDescent="0.15">
      <c r="A26" s="51">
        <v>0</v>
      </c>
      <c r="B26" s="47">
        <v>10</v>
      </c>
      <c r="C26" s="47">
        <v>11</v>
      </c>
      <c r="D26" s="49">
        <v>117</v>
      </c>
    </row>
    <row r="27" spans="1:13" x14ac:dyDescent="0.15">
      <c r="A27" s="52">
        <v>0</v>
      </c>
      <c r="B27" s="47">
        <v>10</v>
      </c>
      <c r="C27" s="47">
        <v>12</v>
      </c>
      <c r="D27" s="49">
        <v>423</v>
      </c>
    </row>
    <row r="28" spans="1:13" x14ac:dyDescent="0.15">
      <c r="A28" s="52">
        <v>0</v>
      </c>
      <c r="B28" s="47">
        <v>11</v>
      </c>
      <c r="C28" s="47">
        <v>12</v>
      </c>
      <c r="D28" s="49">
        <v>312</v>
      </c>
    </row>
    <row r="30" spans="1:13" x14ac:dyDescent="0.15">
      <c r="E30" s="8" t="s">
        <v>50</v>
      </c>
      <c r="F30" s="53">
        <f>SUMPRODUCT(A9:A28,D9:D28)</f>
        <v>3280</v>
      </c>
    </row>
  </sheetData>
  <mergeCells count="4">
    <mergeCell ref="A7:A8"/>
    <mergeCell ref="B7:B8"/>
    <mergeCell ref="C7:C8"/>
    <mergeCell ref="D7:D8"/>
  </mergeCells>
  <printOptions gridLines="1" gridLinesSet="0"/>
  <pageMargins left="0.75" right="0.75" top="1" bottom="1" header="0.5" footer="0.5"/>
  <pageSetup orientation="portrait" horizontalDpi="4294967292" verticalDpi="12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ABA93-4FCA-4306-9A8E-C092290642B4}">
  <sheetPr syncVertical="1" syncRef="A4" transitionEvaluation="1"/>
  <dimension ref="A1:M31"/>
  <sheetViews>
    <sheetView topLeftCell="A4" workbookViewId="0">
      <selection activeCell="L14" sqref="L14"/>
    </sheetView>
  </sheetViews>
  <sheetFormatPr baseColWidth="10" defaultColWidth="5.6640625" defaultRowHeight="13" x14ac:dyDescent="0.15"/>
  <cols>
    <col min="1" max="1" width="9.33203125" style="8" customWidth="1"/>
    <col min="2" max="3" width="5.6640625" style="8" customWidth="1"/>
    <col min="4" max="4" width="14.1640625" style="8" customWidth="1"/>
    <col min="5" max="5" width="13.33203125" style="8" bestFit="1" customWidth="1"/>
    <col min="6" max="6" width="5.83203125" style="11" customWidth="1"/>
    <col min="7" max="7" width="10.33203125" style="11" customWidth="1"/>
    <col min="8" max="8" width="19.33203125" style="11" customWidth="1"/>
    <col min="9" max="9" width="6" style="8" customWidth="1"/>
    <col min="10" max="10" width="3" style="8" bestFit="1" customWidth="1"/>
    <col min="11" max="11" width="8.6640625" style="8" customWidth="1"/>
    <col min="12" max="12" width="9" style="8" bestFit="1" customWidth="1"/>
    <col min="13" max="13" width="15.5" style="8" bestFit="1" customWidth="1"/>
    <col min="14" max="16384" width="5.6640625" style="8"/>
  </cols>
  <sheetData>
    <row r="1" spans="1:13" x14ac:dyDescent="0.15">
      <c r="B1" s="9"/>
      <c r="C1" s="10"/>
      <c r="D1" s="10"/>
    </row>
    <row r="2" spans="1:13" x14ac:dyDescent="0.15">
      <c r="A2" s="12"/>
      <c r="I2" s="13"/>
      <c r="J2" s="13"/>
      <c r="K2" s="13"/>
    </row>
    <row r="3" spans="1:13" x14ac:dyDescent="0.15">
      <c r="A3"/>
      <c r="B3"/>
      <c r="C3"/>
      <c r="D3"/>
      <c r="E3"/>
      <c r="F3"/>
      <c r="G3"/>
      <c r="H3"/>
      <c r="I3"/>
      <c r="J3"/>
    </row>
    <row r="4" spans="1:13" x14ac:dyDescent="0.15">
      <c r="A4"/>
      <c r="B4"/>
      <c r="C4"/>
      <c r="D4"/>
      <c r="E4"/>
      <c r="F4"/>
      <c r="G4"/>
      <c r="H4"/>
      <c r="I4"/>
      <c r="J4"/>
    </row>
    <row r="5" spans="1:13" x14ac:dyDescent="0.15">
      <c r="A5"/>
      <c r="B5"/>
      <c r="C5"/>
      <c r="D5"/>
      <c r="E5"/>
      <c r="F5"/>
      <c r="G5"/>
      <c r="H5"/>
      <c r="I5"/>
      <c r="J5"/>
    </row>
    <row r="6" spans="1:13" x14ac:dyDescent="0.15">
      <c r="A6"/>
      <c r="B6"/>
      <c r="C6"/>
      <c r="D6"/>
      <c r="E6"/>
      <c r="F6"/>
      <c r="G6"/>
      <c r="H6"/>
      <c r="I6"/>
      <c r="J6"/>
      <c r="K6" s="44"/>
      <c r="L6" s="45" t="s">
        <v>44</v>
      </c>
      <c r="M6" s="45" t="s">
        <v>45</v>
      </c>
    </row>
    <row r="7" spans="1:13" x14ac:dyDescent="0.15">
      <c r="A7" s="80" t="s">
        <v>46</v>
      </c>
      <c r="B7" s="81" t="s">
        <v>47</v>
      </c>
      <c r="C7" s="81" t="s">
        <v>49</v>
      </c>
      <c r="D7" s="83" t="s">
        <v>48</v>
      </c>
      <c r="E7"/>
      <c r="F7"/>
      <c r="G7"/>
      <c r="H7"/>
      <c r="I7"/>
      <c r="K7" s="45">
        <v>1</v>
      </c>
      <c r="L7" s="44">
        <f>SUMIF($C$9:$C$29,K7,$A$9:$A$29)-SUMIF($B$9:$B$29,K7,$A$9:$A$29)</f>
        <v>-1</v>
      </c>
      <c r="M7" s="50">
        <v>-1</v>
      </c>
    </row>
    <row r="8" spans="1:13" x14ac:dyDescent="0.15">
      <c r="A8" s="80"/>
      <c r="B8" s="82"/>
      <c r="C8" s="82"/>
      <c r="D8" s="84"/>
      <c r="E8"/>
      <c r="F8"/>
      <c r="G8"/>
      <c r="H8"/>
      <c r="I8"/>
      <c r="K8" s="45">
        <v>2</v>
      </c>
      <c r="L8" s="44">
        <f t="shared" ref="L8:L17" si="0">SUMIF($C$9:$C$29,K8,$A$9:$A$29)-SUMIF($B$9:$B$29,K8,$A$9:$A$29)</f>
        <v>0</v>
      </c>
      <c r="M8" s="45">
        <v>0</v>
      </c>
    </row>
    <row r="9" spans="1:13" x14ac:dyDescent="0.15">
      <c r="A9" s="51">
        <v>0</v>
      </c>
      <c r="B9" s="46">
        <v>1</v>
      </c>
      <c r="C9" s="46">
        <v>2</v>
      </c>
      <c r="D9" s="48">
        <v>180</v>
      </c>
      <c r="E9"/>
      <c r="F9"/>
      <c r="G9"/>
      <c r="H9"/>
      <c r="I9"/>
      <c r="K9" s="45">
        <v>3</v>
      </c>
      <c r="L9" s="44">
        <f t="shared" si="0"/>
        <v>0</v>
      </c>
      <c r="M9" s="45">
        <v>0</v>
      </c>
    </row>
    <row r="10" spans="1:13" x14ac:dyDescent="0.15">
      <c r="A10" s="51">
        <v>1</v>
      </c>
      <c r="B10" s="46">
        <v>1</v>
      </c>
      <c r="C10" s="46">
        <v>3</v>
      </c>
      <c r="D10" s="48">
        <v>370</v>
      </c>
      <c r="E10"/>
      <c r="F10"/>
      <c r="G10"/>
      <c r="H10"/>
      <c r="I10"/>
      <c r="K10" s="45">
        <v>4</v>
      </c>
      <c r="L10" s="44">
        <f t="shared" si="0"/>
        <v>0</v>
      </c>
      <c r="M10" s="45">
        <v>0</v>
      </c>
    </row>
    <row r="11" spans="1:13" x14ac:dyDescent="0.15">
      <c r="A11" s="51">
        <v>0</v>
      </c>
      <c r="B11" s="46">
        <v>1</v>
      </c>
      <c r="C11" s="46">
        <v>4</v>
      </c>
      <c r="D11" s="48">
        <v>459</v>
      </c>
      <c r="E11"/>
      <c r="F11"/>
      <c r="G11"/>
      <c r="H11"/>
      <c r="I11"/>
      <c r="K11" s="45">
        <v>5</v>
      </c>
      <c r="L11" s="44">
        <f t="shared" si="0"/>
        <v>0</v>
      </c>
      <c r="M11" s="45">
        <v>0</v>
      </c>
    </row>
    <row r="12" spans="1:13" x14ac:dyDescent="0.15">
      <c r="A12" s="51">
        <v>0</v>
      </c>
      <c r="B12" s="46">
        <v>2</v>
      </c>
      <c r="C12" s="46">
        <v>5</v>
      </c>
      <c r="D12" s="48">
        <v>813</v>
      </c>
      <c r="E12"/>
      <c r="F12"/>
      <c r="G12"/>
      <c r="H12"/>
      <c r="I12"/>
      <c r="K12" s="45">
        <v>6</v>
      </c>
      <c r="L12" s="44">
        <f t="shared" si="0"/>
        <v>0</v>
      </c>
      <c r="M12" s="45">
        <v>0</v>
      </c>
    </row>
    <row r="13" spans="1:13" x14ac:dyDescent="0.15">
      <c r="A13" s="51">
        <v>0</v>
      </c>
      <c r="B13" s="46">
        <v>2</v>
      </c>
      <c r="C13" s="46">
        <v>3</v>
      </c>
      <c r="D13" s="48">
        <v>430</v>
      </c>
      <c r="E13"/>
      <c r="F13"/>
      <c r="G13"/>
      <c r="H13"/>
      <c r="I13"/>
      <c r="K13" s="45">
        <v>7</v>
      </c>
      <c r="L13" s="44">
        <f t="shared" si="0"/>
        <v>0</v>
      </c>
      <c r="M13" s="45">
        <v>0</v>
      </c>
    </row>
    <row r="14" spans="1:13" x14ac:dyDescent="0.15">
      <c r="A14" s="51">
        <v>1</v>
      </c>
      <c r="B14" s="46">
        <v>3</v>
      </c>
      <c r="C14" s="46">
        <v>6</v>
      </c>
      <c r="D14" s="48">
        <v>345</v>
      </c>
      <c r="E14"/>
      <c r="F14"/>
      <c r="G14"/>
      <c r="H14"/>
      <c r="I14"/>
      <c r="K14" s="45">
        <v>8</v>
      </c>
      <c r="L14" s="44">
        <f t="shared" si="0"/>
        <v>0</v>
      </c>
      <c r="M14" s="45">
        <v>0</v>
      </c>
    </row>
    <row r="15" spans="1:13" x14ac:dyDescent="0.15">
      <c r="A15" s="51">
        <v>0</v>
      </c>
      <c r="B15" s="46">
        <v>4</v>
      </c>
      <c r="C15" s="46">
        <v>6</v>
      </c>
      <c r="D15" s="48">
        <v>420</v>
      </c>
      <c r="E15"/>
      <c r="F15"/>
      <c r="G15"/>
      <c r="H15"/>
      <c r="I15"/>
      <c r="K15" s="45">
        <v>9</v>
      </c>
      <c r="L15" s="44">
        <f t="shared" si="0"/>
        <v>0</v>
      </c>
      <c r="M15" s="45">
        <v>0</v>
      </c>
    </row>
    <row r="16" spans="1:13" x14ac:dyDescent="0.15">
      <c r="A16" s="51">
        <v>0</v>
      </c>
      <c r="B16" s="46">
        <v>4</v>
      </c>
      <c r="C16" s="46">
        <v>7</v>
      </c>
      <c r="D16" s="48">
        <v>621</v>
      </c>
      <c r="E16"/>
      <c r="F16"/>
      <c r="G16"/>
      <c r="H16"/>
      <c r="I16"/>
      <c r="K16" s="45">
        <v>10</v>
      </c>
      <c r="L16" s="44">
        <f t="shared" si="0"/>
        <v>0</v>
      </c>
      <c r="M16" s="45">
        <v>0</v>
      </c>
    </row>
    <row r="17" spans="1:13" x14ac:dyDescent="0.15">
      <c r="A17" s="51">
        <v>0</v>
      </c>
      <c r="B17" s="46">
        <v>5</v>
      </c>
      <c r="C17" s="46">
        <v>10</v>
      </c>
      <c r="D17" s="48">
        <v>515</v>
      </c>
      <c r="E17"/>
      <c r="F17"/>
      <c r="G17"/>
      <c r="H17"/>
      <c r="I17"/>
      <c r="K17" s="45">
        <v>11</v>
      </c>
      <c r="L17" s="44">
        <f t="shared" si="0"/>
        <v>0</v>
      </c>
      <c r="M17" s="45">
        <v>0</v>
      </c>
    </row>
    <row r="18" spans="1:13" x14ac:dyDescent="0.15">
      <c r="A18" s="51">
        <v>0</v>
      </c>
      <c r="B18" s="46">
        <v>5</v>
      </c>
      <c r="C18" s="46">
        <v>8</v>
      </c>
      <c r="D18" s="48">
        <v>240</v>
      </c>
      <c r="E18"/>
      <c r="F18"/>
      <c r="G18"/>
      <c r="H18"/>
      <c r="I18"/>
      <c r="K18" s="45">
        <v>12</v>
      </c>
      <c r="L18" s="44">
        <f>SUMIF($C$9:$C$29,K18,$A$9:$A$29)-SUMIF($B$9:$B$29,K18,$A$9:$A$29)</f>
        <v>1</v>
      </c>
      <c r="M18" s="45">
        <v>1</v>
      </c>
    </row>
    <row r="19" spans="1:13" x14ac:dyDescent="0.15">
      <c r="A19" s="51">
        <v>1</v>
      </c>
      <c r="B19" s="46">
        <v>6</v>
      </c>
      <c r="C19" s="46">
        <v>8</v>
      </c>
      <c r="D19" s="48">
        <v>435</v>
      </c>
      <c r="E19"/>
      <c r="F19"/>
      <c r="G19"/>
      <c r="H19"/>
      <c r="I19"/>
      <c r="J19"/>
      <c r="L19" s="43"/>
      <c r="M19" s="2"/>
    </row>
    <row r="20" spans="1:13" x14ac:dyDescent="0.15">
      <c r="A20" s="51">
        <v>0</v>
      </c>
      <c r="B20" s="47">
        <v>6</v>
      </c>
      <c r="C20" s="47">
        <v>9</v>
      </c>
      <c r="D20" s="49">
        <v>541</v>
      </c>
    </row>
    <row r="21" spans="1:13" x14ac:dyDescent="0.15">
      <c r="A21" s="51">
        <v>0</v>
      </c>
      <c r="B21" s="47">
        <v>7</v>
      </c>
      <c r="C21" s="47">
        <v>6</v>
      </c>
      <c r="D21" s="49">
        <v>440</v>
      </c>
    </row>
    <row r="22" spans="1:13" x14ac:dyDescent="0.15">
      <c r="A22" s="51">
        <v>0</v>
      </c>
      <c r="B22" s="47">
        <v>7</v>
      </c>
      <c r="C22" s="47">
        <v>9</v>
      </c>
      <c r="D22" s="49">
        <v>543</v>
      </c>
    </row>
    <row r="23" spans="1:13" x14ac:dyDescent="0.15">
      <c r="A23" s="51">
        <v>0</v>
      </c>
      <c r="B23" s="47">
        <v>8</v>
      </c>
      <c r="C23" s="47">
        <v>9</v>
      </c>
      <c r="D23" s="49">
        <v>557</v>
      </c>
    </row>
    <row r="24" spans="1:13" x14ac:dyDescent="0.15">
      <c r="A24" s="51">
        <v>1</v>
      </c>
      <c r="B24" s="47">
        <v>8</v>
      </c>
      <c r="C24" s="47">
        <v>10</v>
      </c>
      <c r="D24" s="49">
        <v>290</v>
      </c>
    </row>
    <row r="25" spans="1:13" x14ac:dyDescent="0.15">
      <c r="A25" s="54">
        <v>0</v>
      </c>
      <c r="B25" s="55">
        <v>9</v>
      </c>
      <c r="C25" s="55">
        <v>6</v>
      </c>
      <c r="D25" s="56">
        <v>541</v>
      </c>
    </row>
    <row r="26" spans="1:13" x14ac:dyDescent="0.15">
      <c r="A26" s="51">
        <v>0</v>
      </c>
      <c r="B26" s="47">
        <v>9</v>
      </c>
      <c r="C26" s="47">
        <v>12</v>
      </c>
      <c r="D26" s="49">
        <v>768</v>
      </c>
    </row>
    <row r="27" spans="1:13" x14ac:dyDescent="0.15">
      <c r="A27" s="51">
        <v>0</v>
      </c>
      <c r="B27" s="47">
        <v>10</v>
      </c>
      <c r="C27" s="47">
        <v>11</v>
      </c>
      <c r="D27" s="49">
        <v>117</v>
      </c>
    </row>
    <row r="28" spans="1:13" x14ac:dyDescent="0.15">
      <c r="A28" s="52">
        <v>1</v>
      </c>
      <c r="B28" s="47">
        <v>10</v>
      </c>
      <c r="C28" s="47">
        <v>12</v>
      </c>
      <c r="D28" s="49">
        <v>423</v>
      </c>
    </row>
    <row r="29" spans="1:13" x14ac:dyDescent="0.15">
      <c r="A29" s="52">
        <v>0</v>
      </c>
      <c r="B29" s="47">
        <v>11</v>
      </c>
      <c r="C29" s="47">
        <v>12</v>
      </c>
      <c r="D29" s="49">
        <v>312</v>
      </c>
    </row>
    <row r="31" spans="1:13" x14ac:dyDescent="0.15">
      <c r="E31" s="8" t="s">
        <v>50</v>
      </c>
      <c r="F31" s="53">
        <f>SUMPRODUCT(A9:A29,D9:D29)</f>
        <v>1863</v>
      </c>
    </row>
  </sheetData>
  <mergeCells count="4">
    <mergeCell ref="A7:A8"/>
    <mergeCell ref="B7:B8"/>
    <mergeCell ref="C7:C8"/>
    <mergeCell ref="D7:D8"/>
  </mergeCells>
  <printOptions gridLines="1" gridLinesSet="0"/>
  <pageMargins left="0.75" right="0.75" top="1" bottom="1" header="0.5" footer="0.5"/>
  <pageSetup orientation="portrait" horizontalDpi="4294967292"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FCEF5-FFAD-4BD2-BA1A-93454A444B93}">
  <sheetPr codeName="Sheet3"/>
  <dimension ref="A1:L52"/>
  <sheetViews>
    <sheetView zoomScale="90" workbookViewId="0">
      <selection activeCell="G58" sqref="G58"/>
    </sheetView>
  </sheetViews>
  <sheetFormatPr baseColWidth="10" defaultColWidth="8.6640625" defaultRowHeight="13" x14ac:dyDescent="0.15"/>
  <cols>
    <col min="1" max="1" width="24" style="6" bestFit="1" customWidth="1"/>
    <col min="2" max="2" width="13.1640625" style="6" bestFit="1" customWidth="1"/>
    <col min="3" max="3" width="13.33203125" style="6" bestFit="1" customWidth="1"/>
    <col min="4" max="4" width="2.1640625" style="6" bestFit="1" customWidth="1"/>
    <col min="5" max="5" width="13.33203125" style="6" bestFit="1" customWidth="1"/>
    <col min="6" max="6" width="6.33203125" style="6" bestFit="1" customWidth="1"/>
    <col min="7" max="8" width="8.6640625" style="6"/>
    <col min="9" max="9" width="6" style="6" bestFit="1" customWidth="1"/>
    <col min="10" max="10" width="13.33203125" style="6" bestFit="1" customWidth="1"/>
    <col min="11" max="11" width="7.33203125" style="6" bestFit="1" customWidth="1"/>
    <col min="12" max="12" width="12.5" style="6" bestFit="1" customWidth="1"/>
    <col min="13" max="16384" width="8.6640625" style="6"/>
  </cols>
  <sheetData>
    <row r="1" spans="1:2" ht="24.75" customHeight="1" thickBot="1" x14ac:dyDescent="0.2">
      <c r="A1" s="18" t="s">
        <v>7</v>
      </c>
      <c r="B1" s="19" t="s">
        <v>8</v>
      </c>
    </row>
    <row r="2" spans="1:2" ht="24.75" customHeight="1" thickBot="1" x14ac:dyDescent="0.2">
      <c r="A2" s="16" t="s">
        <v>9</v>
      </c>
      <c r="B2" s="17">
        <v>800</v>
      </c>
    </row>
    <row r="3" spans="1:2" ht="24.75" customHeight="1" thickBot="1" x14ac:dyDescent="0.2">
      <c r="A3" s="16" t="s">
        <v>10</v>
      </c>
      <c r="B3" s="17">
        <v>650</v>
      </c>
    </row>
    <row r="4" spans="1:2" ht="24.75" customHeight="1" thickBot="1" x14ac:dyDescent="0.2">
      <c r="A4" s="16" t="s">
        <v>11</v>
      </c>
      <c r="B4" s="17">
        <v>700</v>
      </c>
    </row>
    <row r="5" spans="1:2" ht="24.75" customHeight="1" thickBot="1" x14ac:dyDescent="0.2">
      <c r="A5" s="16" t="s">
        <v>12</v>
      </c>
      <c r="B5" s="17">
        <v>725</v>
      </c>
    </row>
    <row r="6" spans="1:2" ht="24.75" customHeight="1" thickBot="1" x14ac:dyDescent="0.2">
      <c r="A6" s="16" t="s">
        <v>13</v>
      </c>
      <c r="B6" s="17">
        <v>700</v>
      </c>
    </row>
    <row r="7" spans="1:2" ht="24.75" customHeight="1" thickBot="1" x14ac:dyDescent="0.2">
      <c r="A7" s="16" t="s">
        <v>14</v>
      </c>
      <c r="B7" s="17">
        <v>750</v>
      </c>
    </row>
    <row r="8" spans="1:2" ht="24.75" customHeight="1" thickBot="1" x14ac:dyDescent="0.2">
      <c r="A8" s="16" t="s">
        <v>15</v>
      </c>
      <c r="B8" s="17">
        <v>625</v>
      </c>
    </row>
    <row r="9" spans="1:2" ht="24.75" customHeight="1" thickBot="1" x14ac:dyDescent="0.2">
      <c r="A9" s="16" t="s">
        <v>16</v>
      </c>
      <c r="B9" s="17">
        <v>900</v>
      </c>
    </row>
    <row r="10" spans="1:2" ht="24.75" customHeight="1" x14ac:dyDescent="0.15">
      <c r="A10" s="16" t="s">
        <v>17</v>
      </c>
      <c r="B10" s="17">
        <v>725</v>
      </c>
    </row>
    <row r="37" spans="1:12" x14ac:dyDescent="0.15">
      <c r="I37" s="27" t="s">
        <v>22</v>
      </c>
      <c r="J37" s="27" t="s">
        <v>25</v>
      </c>
      <c r="K37" s="27" t="s">
        <v>23</v>
      </c>
      <c r="L37" s="27" t="s">
        <v>24</v>
      </c>
    </row>
    <row r="38" spans="1:12" x14ac:dyDescent="0.15">
      <c r="A38" s="36" t="s">
        <v>56</v>
      </c>
      <c r="B38" s="58" t="s">
        <v>18</v>
      </c>
      <c r="C38" s="58"/>
      <c r="D38" s="58"/>
      <c r="E38" s="58"/>
      <c r="F38" s="36" t="s">
        <v>57</v>
      </c>
      <c r="I38" s="22">
        <v>1</v>
      </c>
      <c r="J38" s="27" t="s">
        <v>60</v>
      </c>
      <c r="K38" s="32">
        <f>SUMIF($B$40:$B$49,I38,$A$40:$A$49)-SUMIF($D$40:$D$49,I38,$A$40:$A$49)</f>
        <v>0</v>
      </c>
      <c r="L38" s="22">
        <v>0</v>
      </c>
    </row>
    <row r="39" spans="1:12" x14ac:dyDescent="0.15">
      <c r="A39" s="36" t="s">
        <v>58</v>
      </c>
      <c r="B39" s="74" t="s">
        <v>19</v>
      </c>
      <c r="C39" s="74"/>
      <c r="D39" s="74" t="s">
        <v>20</v>
      </c>
      <c r="E39" s="74"/>
      <c r="F39" s="36" t="s">
        <v>59</v>
      </c>
      <c r="I39" s="22">
        <v>2</v>
      </c>
      <c r="J39" s="27" t="s">
        <v>51</v>
      </c>
      <c r="K39" s="32">
        <f t="shared" ref="K39:K43" si="0">SUMIF($B$40:$B$49,I39,$A$40:$A$49)-SUMIF($D$40:$D$49,I39,$A$40:$A$49)</f>
        <v>0</v>
      </c>
      <c r="L39" s="22">
        <v>0</v>
      </c>
    </row>
    <row r="40" spans="1:12" x14ac:dyDescent="0.15">
      <c r="A40" s="59">
        <v>725</v>
      </c>
      <c r="B40" s="59">
        <v>1</v>
      </c>
      <c r="C40" s="27" t="s">
        <v>60</v>
      </c>
      <c r="D40" s="59">
        <v>2</v>
      </c>
      <c r="E40" s="27" t="s">
        <v>51</v>
      </c>
      <c r="F40" s="61">
        <v>800</v>
      </c>
      <c r="I40" s="22">
        <v>3</v>
      </c>
      <c r="J40" s="27" t="s">
        <v>52</v>
      </c>
      <c r="K40" s="32">
        <f t="shared" si="0"/>
        <v>0</v>
      </c>
      <c r="L40" s="22">
        <v>0</v>
      </c>
    </row>
    <row r="41" spans="1:12" x14ac:dyDescent="0.15">
      <c r="A41" s="59">
        <v>200</v>
      </c>
      <c r="B41" s="59">
        <v>1</v>
      </c>
      <c r="C41" s="27" t="s">
        <v>60</v>
      </c>
      <c r="D41" s="59">
        <v>3</v>
      </c>
      <c r="E41" s="27" t="s">
        <v>52</v>
      </c>
      <c r="F41" s="61">
        <v>650</v>
      </c>
      <c r="I41" s="22">
        <v>4</v>
      </c>
      <c r="J41" s="27" t="s">
        <v>53</v>
      </c>
      <c r="K41" s="32">
        <f t="shared" si="0"/>
        <v>0</v>
      </c>
      <c r="L41" s="22">
        <v>0</v>
      </c>
    </row>
    <row r="42" spans="1:12" x14ac:dyDescent="0.15">
      <c r="A42" s="59">
        <v>700</v>
      </c>
      <c r="B42" s="59">
        <v>1</v>
      </c>
      <c r="C42" s="27" t="s">
        <v>60</v>
      </c>
      <c r="D42" s="59">
        <v>4</v>
      </c>
      <c r="E42" s="27" t="s">
        <v>53</v>
      </c>
      <c r="F42" s="61">
        <v>700</v>
      </c>
      <c r="I42" s="22">
        <v>5</v>
      </c>
      <c r="J42" s="27" t="s">
        <v>54</v>
      </c>
      <c r="K42" s="32">
        <f t="shared" si="0"/>
        <v>0</v>
      </c>
      <c r="L42" s="22">
        <v>0</v>
      </c>
    </row>
    <row r="43" spans="1:12" x14ac:dyDescent="0.15">
      <c r="A43" s="59">
        <v>25</v>
      </c>
      <c r="B43" s="59">
        <v>2</v>
      </c>
      <c r="C43" s="27" t="s">
        <v>51</v>
      </c>
      <c r="D43" s="59">
        <v>4</v>
      </c>
      <c r="E43" s="60" t="s">
        <v>53</v>
      </c>
      <c r="F43" s="61">
        <v>725</v>
      </c>
      <c r="I43" s="22">
        <v>6</v>
      </c>
      <c r="J43" s="27" t="s">
        <v>55</v>
      </c>
      <c r="K43" s="32">
        <f t="shared" si="0"/>
        <v>0</v>
      </c>
      <c r="L43" s="22">
        <v>0</v>
      </c>
    </row>
    <row r="44" spans="1:12" x14ac:dyDescent="0.15">
      <c r="A44" s="59">
        <v>700</v>
      </c>
      <c r="B44" s="59">
        <v>2</v>
      </c>
      <c r="C44" s="27" t="s">
        <v>51</v>
      </c>
      <c r="D44" s="59">
        <v>5</v>
      </c>
      <c r="E44" s="60" t="s">
        <v>54</v>
      </c>
      <c r="F44" s="61">
        <v>700</v>
      </c>
      <c r="I44" s="1"/>
      <c r="J44" s="25"/>
      <c r="K44" s="57"/>
      <c r="L44" s="1"/>
    </row>
    <row r="45" spans="1:12" x14ac:dyDescent="0.15">
      <c r="A45" s="59">
        <v>0</v>
      </c>
      <c r="B45" s="59">
        <v>3</v>
      </c>
      <c r="C45" s="27" t="s">
        <v>52</v>
      </c>
      <c r="D45" s="59">
        <v>4</v>
      </c>
      <c r="E45" s="60" t="s">
        <v>53</v>
      </c>
      <c r="F45" s="61">
        <v>625</v>
      </c>
    </row>
    <row r="46" spans="1:12" x14ac:dyDescent="0.15">
      <c r="A46" s="59">
        <v>200</v>
      </c>
      <c r="B46" s="59">
        <v>3</v>
      </c>
      <c r="C46" s="27" t="s">
        <v>52</v>
      </c>
      <c r="D46" s="59">
        <v>5</v>
      </c>
      <c r="E46" s="60" t="s">
        <v>54</v>
      </c>
      <c r="F46" s="61">
        <v>750</v>
      </c>
    </row>
    <row r="47" spans="1:12" x14ac:dyDescent="0.15">
      <c r="A47" s="59">
        <v>725</v>
      </c>
      <c r="B47" s="59">
        <v>4</v>
      </c>
      <c r="C47" s="27" t="s">
        <v>53</v>
      </c>
      <c r="D47" s="59">
        <v>6</v>
      </c>
      <c r="E47" s="60" t="s">
        <v>55</v>
      </c>
      <c r="F47" s="61">
        <v>725</v>
      </c>
    </row>
    <row r="48" spans="1:12" x14ac:dyDescent="0.15">
      <c r="A48" s="59">
        <v>900</v>
      </c>
      <c r="B48" s="59">
        <v>5</v>
      </c>
      <c r="C48" s="27" t="s">
        <v>54</v>
      </c>
      <c r="D48" s="59">
        <v>6</v>
      </c>
      <c r="E48" s="60" t="s">
        <v>55</v>
      </c>
      <c r="F48" s="61">
        <v>900</v>
      </c>
    </row>
    <row r="49" spans="1:6" x14ac:dyDescent="0.15">
      <c r="A49" s="62">
        <v>1625</v>
      </c>
      <c r="B49" s="59">
        <v>6</v>
      </c>
      <c r="C49" s="27" t="s">
        <v>55</v>
      </c>
      <c r="D49" s="59">
        <v>1</v>
      </c>
      <c r="E49" s="27" t="s">
        <v>60</v>
      </c>
      <c r="F49" s="60">
        <v>9999</v>
      </c>
    </row>
    <row r="52" spans="1:6" x14ac:dyDescent="0.15">
      <c r="B52" s="63" t="s">
        <v>61</v>
      </c>
      <c r="C52" s="63">
        <f>A49</f>
        <v>1625</v>
      </c>
    </row>
  </sheetData>
  <mergeCells count="2">
    <mergeCell ref="B39:C39"/>
    <mergeCell ref="D39:E39"/>
  </mergeCells>
  <pageMargins left="0.75" right="0.75" top="1" bottom="1" header="0.5" footer="0.5"/>
  <headerFooter alignWithMargins="0">
    <oddHeader>&amp;A</oddHeader>
    <oddFooter>Page &amp;P</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A2DAD-BDB9-4645-80ED-BCF755C7C9E5}">
  <dimension ref="L37:M37"/>
  <sheetViews>
    <sheetView workbookViewId="0">
      <selection activeCell="J14" sqref="J14"/>
    </sheetView>
  </sheetViews>
  <sheetFormatPr baseColWidth="10" defaultColWidth="8.83203125" defaultRowHeight="13" x14ac:dyDescent="0.15"/>
  <cols>
    <col min="12" max="12" width="12.83203125" bestFit="1" customWidth="1"/>
  </cols>
  <sheetData>
    <row r="37" spans="12:13" x14ac:dyDescent="0.15">
      <c r="L37" s="35" t="s">
        <v>62</v>
      </c>
      <c r="M37" s="35" t="s">
        <v>63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3"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1</vt:lpstr>
      <vt:lpstr>1C</vt:lpstr>
      <vt:lpstr>2</vt:lpstr>
      <vt:lpstr>3</vt:lpstr>
      <vt:lpstr>4</vt:lpstr>
      <vt:lpstr>5A</vt:lpstr>
      <vt:lpstr>5B</vt:lpstr>
      <vt:lpstr>5C</vt:lpstr>
      <vt:lpstr>5D</vt:lpstr>
      <vt:lpstr>6</vt:lpstr>
      <vt:lpstr>7</vt:lpstr>
      <vt:lpstr>'4'!DATA</vt:lpstr>
      <vt:lpstr>'5A'!DATA</vt:lpstr>
      <vt:lpstr>'5C'!DATA</vt:lpstr>
      <vt:lpstr>'5D'!DATA</vt:lpstr>
    </vt:vector>
  </TitlesOfParts>
  <Company>Virginia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Cliff Ragsdale</dc:creator>
  <cp:lastModifiedBy>Khanna, Dhruva Navin</cp:lastModifiedBy>
  <cp:lastPrinted>1996-12-13T16:25:21Z</cp:lastPrinted>
  <dcterms:created xsi:type="dcterms:W3CDTF">1996-12-10T22:33:21Z</dcterms:created>
  <dcterms:modified xsi:type="dcterms:W3CDTF">2025-10-21T20:08:04Z</dcterms:modified>
</cp:coreProperties>
</file>