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ruv/Downloads/"/>
    </mc:Choice>
  </mc:AlternateContent>
  <xr:revisionPtr revIDLastSave="0" documentId="13_ncr:1_{924055AC-9B9A-DC49-8509-F00CEA9CAB21}" xr6:coauthVersionLast="47" xr6:coauthVersionMax="47" xr10:uidLastSave="{00000000-0000-0000-0000-000000000000}"/>
  <bookViews>
    <workbookView xWindow="160" yWindow="900" windowWidth="29080" windowHeight="18060" activeTab="9" xr2:uid="{00000000-000D-0000-FFFF-FFFF00000000}"/>
  </bookViews>
  <sheets>
    <sheet name="1. MA" sheetId="1" r:id="rId1"/>
    <sheet name="2. WMA" sheetId="3" r:id="rId2"/>
    <sheet name="3. SES " sheetId="4" r:id="rId3"/>
    <sheet name="4. DMA" sheetId="5" r:id="rId4"/>
    <sheet name="5. Holts" sheetId="6" r:id="rId5"/>
    <sheet name="6. Linear" sheetId="7" r:id="rId6"/>
    <sheet name="7. Quad" sheetId="8" r:id="rId7"/>
    <sheet name="8.  HW -Add. " sheetId="11" r:id="rId8"/>
    <sheet name="9.  HW -Mult." sheetId="9" r:id="rId9"/>
    <sheet name="10. Reg." sheetId="10" r:id="rId10"/>
  </sheets>
  <definedNames>
    <definedName name="coin_cuttype" localSheetId="0" hidden="1">1</definedName>
    <definedName name="coin_dualtol" localSheetId="0" hidden="1">0.0000001</definedName>
    <definedName name="coin_heurs" localSheetId="0" hidden="1">1</definedName>
    <definedName name="coin_integerpresolve" localSheetId="0" hidden="1">1</definedName>
    <definedName name="coin_presolve1" localSheetId="0" hidden="1">1</definedName>
    <definedName name="coin_primaltol" localSheetId="0" hidden="1">0.0000001</definedName>
    <definedName name="grb_bariter" localSheetId="0" hidden="1">1E+100</definedName>
    <definedName name="grb_bartol" localSheetId="0" hidden="1">0.00000001</definedName>
    <definedName name="grb_crossover" localSheetId="0" hidden="1">-1</definedName>
    <definedName name="grb_cutoff" localSheetId="0" hidden="1">1E+100</definedName>
    <definedName name="grb_cuts" localSheetId="0" hidden="1">-1</definedName>
    <definedName name="grb_focus" localSheetId="0" hidden="1">0</definedName>
    <definedName name="grb_heur" localSheetId="0" hidden="1">0.05</definedName>
    <definedName name="grb_infeas" localSheetId="0" hidden="1">0.000001</definedName>
    <definedName name="grb_inttol" localSheetId="0" hidden="1">0.00001</definedName>
    <definedName name="grb_method" localSheetId="0" hidden="1">1</definedName>
    <definedName name="grb_nodefilestart" localSheetId="0" hidden="1">1E+100</definedName>
    <definedName name="grb_optimal" localSheetId="0" hidden="1">0.000001</definedName>
    <definedName name="grb_order" localSheetId="0" hidden="1">-1</definedName>
    <definedName name="grb_presolve" localSheetId="0" hidden="1">-1</definedName>
    <definedName name="grb_pricing" localSheetId="0" hidden="1">-1</definedName>
    <definedName name="grb_relmip" localSheetId="0" hidden="1">0.0001</definedName>
    <definedName name="grb_rootmethod" localSheetId="0" hidden="1">1</definedName>
    <definedName name="grb_submip" localSheetId="0" hidden="1">500</definedName>
    <definedName name="grb_symmetry" localSheetId="0" hidden="1">-1</definedName>
    <definedName name="grb_threads" localSheetId="0" hidden="1">0</definedName>
    <definedName name="grb_var" localSheetId="0" hidden="1">-1</definedName>
    <definedName name="solver_acc" localSheetId="0" hidden="1">0.001</definedName>
    <definedName name="solver_adj" localSheetId="1" hidden="1">'2. WMA'!$H$3:$H$6</definedName>
    <definedName name="solver_adj" localSheetId="2" hidden="1">'3. SES '!$H$2</definedName>
    <definedName name="solver_adj" localSheetId="4" hidden="1">'5. Holts'!$J$3:$J$4</definedName>
    <definedName name="solver_adj" localSheetId="5" hidden="1">'6. Linear'!#REF!</definedName>
    <definedName name="solver_adj" localSheetId="6" hidden="1">'7. Quad'!#REF!</definedName>
    <definedName name="solver_adj" localSheetId="7" hidden="1">'8.  HW -Add. '!$K$2:$K$4</definedName>
    <definedName name="solver_adj" localSheetId="8" hidden="1">'9.  HW -Mult.'!$K$3:$K$5</definedName>
    <definedName name="solver_ars" localSheetId="0" hidden="1">1</definedName>
    <definedName name="solver_bigm" localSheetId="0" hidden="1">1000000</definedName>
    <definedName name="solver_bnd" localSheetId="0" hidden="1">1</definedName>
    <definedName name="solver_cha" localSheetId="0" hidden="1">0</definedName>
    <definedName name="solver_chn" localSheetId="0" hidden="1">4</definedName>
    <definedName name="solver_cht" localSheetId="0" hidden="1">0</definedName>
    <definedName name="solver_corr" hidden="1">1</definedName>
    <definedName name="solver_ctp1" hidden="1">0</definedName>
    <definedName name="solver_ctp2" hidden="1">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cvg" localSheetId="7" hidden="1">0.0001</definedName>
    <definedName name="solver_cvg" localSheetId="8" hidden="1">0.0001</definedName>
    <definedName name="solver_dia" localSheetId="0" hidden="1">5</definedName>
    <definedName name="solver_disp" hidden="1">0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eng" localSheetId="7" hidden="1">1</definedName>
    <definedName name="solver_eng" localSheetId="8" hidden="1">1</definedName>
    <definedName name="solver_est" localSheetId="0" hidden="1">1</definedName>
    <definedName name="solver_est" localSheetId="5" hidden="1">1</definedName>
    <definedName name="solver_est" localSheetId="6" hidden="1">1</definedName>
    <definedName name="solver_eval" hidden="1">0</definedName>
    <definedName name="solver_fea" localSheetId="0" hidden="1">0.000001</definedName>
    <definedName name="solver_fns" localSheetId="0" hidden="1">0</definedName>
    <definedName name="solver_gap" localSheetId="0" hidden="1">0.0000001</definedName>
    <definedName name="solver_glb" localSheetId="0" hidden="1">-1E+30</definedName>
    <definedName name="solver_gub" localSheetId="0" hidden="1">1E+30</definedName>
    <definedName name="solver_iao" localSheetId="0" hidden="1">0</definedName>
    <definedName name="solver_inc" localSheetId="0" hidden="1">0</definedName>
    <definedName name="solver_int" localSheetId="0" hidden="1">0</definedName>
    <definedName name="solver_ipd" localSheetId="0" hidden="1">3</definedName>
    <definedName name="solver_ipi" localSheetId="0" hidden="1">1</definedName>
    <definedName name="solver_ips" localSheetId="0" hidden="1">0.99</definedName>
    <definedName name="solver_irs" localSheetId="0" hidden="1">0</definedName>
    <definedName name="solver_ism" localSheetId="0" hidden="1">0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4" hidden="1">2147483647</definedName>
    <definedName name="solver_itr" localSheetId="5" hidden="1">100</definedName>
    <definedName name="solver_itr" localSheetId="6" hidden="1">100</definedName>
    <definedName name="solver_itr" localSheetId="7" hidden="1">2147483647</definedName>
    <definedName name="solver_itr" localSheetId="8" hidden="1">2147483647</definedName>
    <definedName name="solver_lcens" hidden="1">-1E+30</definedName>
    <definedName name="solver_lcut" hidden="1">-1E+30</definedName>
    <definedName name="solver_lhs1" localSheetId="0" hidden="1">'1. MA'!#REF!</definedName>
    <definedName name="solver_lhs1" localSheetId="1" hidden="1">'2. WMA'!$H$3:$H$6</definedName>
    <definedName name="solver_lhs1" localSheetId="2" hidden="1">'3. SES '!$H$2</definedName>
    <definedName name="solver_lhs1" localSheetId="4" hidden="1">'5. Holts'!$J$3</definedName>
    <definedName name="solver_lhs1" localSheetId="5" hidden="1">'6. Linear'!#REF!</definedName>
    <definedName name="solver_lhs1" localSheetId="6" hidden="1">'7. Quad'!#REF!</definedName>
    <definedName name="solver_lhs1" localSheetId="7" hidden="1">'8.  HW -Add. '!$K$2:$K$4</definedName>
    <definedName name="solver_lhs1" localSheetId="8" hidden="1">'9.  HW -Mult.'!$K$3</definedName>
    <definedName name="solver_lhs2" localSheetId="0" hidden="1">'1. MA'!#REF!</definedName>
    <definedName name="solver_lhs2" localSheetId="1" hidden="1">'2. WMA'!$H$7</definedName>
    <definedName name="solver_lhs2" localSheetId="4" hidden="1">'5. Holts'!$J$4</definedName>
    <definedName name="solver_lhs2" localSheetId="5" hidden="1">'6. Linear'!#REF!</definedName>
    <definedName name="solver_lhs2" localSheetId="6" hidden="1">'7. Quad'!#REF!</definedName>
    <definedName name="solver_lhs2" localSheetId="8" hidden="1">'9.  HW -Mult.'!$K$4</definedName>
    <definedName name="solver_lhs3" localSheetId="8" hidden="1">'9.  HW -Mult.'!$K$5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4" hidden="1">2</definedName>
    <definedName name="solver_lin" localSheetId="5" hidden="1">0</definedName>
    <definedName name="solver_lin" localSheetId="6" hidden="1">0</definedName>
    <definedName name="solver_lin" localSheetId="7" hidden="1">2</definedName>
    <definedName name="solver_lin" localSheetId="8" hidden="1">2</definedName>
    <definedName name="solver_loc" localSheetId="0" hidden="1">4</definedName>
    <definedName name="solver_log" localSheetId="0" hidden="1">1</definedName>
    <definedName name="solver_lpp" localSheetId="0" hidden="1">0</definedName>
    <definedName name="solver_lpt" localSheetId="0" hidden="1">0</definedName>
    <definedName name="solver_lva" localSheetId="0" hidden="1">0</definedName>
    <definedName name="solver_mda" localSheetId="0" hidden="1">4</definedName>
    <definedName name="solver_met" localSheetId="0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ni" localSheetId="7" hidden="1">30</definedName>
    <definedName name="solver_mni" localSheetId="8" hidden="1">30</definedName>
    <definedName name="solver_mod" localSheetId="0" hidden="1">1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rt" localSheetId="7" hidden="1">0.075</definedName>
    <definedName name="solver_mrt" localSheetId="8" hidden="1">0.075</definedName>
    <definedName name="solver_msl" localSheetId="0" hidden="1">0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msl" localSheetId="7" hidden="1">2</definedName>
    <definedName name="solver_msl" localSheetId="8" hidden="1">2</definedName>
    <definedName name="solver_neg" localSheetId="0" hidden="1">0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od" localSheetId="7" hidden="1">2147483647</definedName>
    <definedName name="solver_nod" localSheetId="8" hidden="1">2147483647</definedName>
    <definedName name="solver_nopt" localSheetId="0" hidden="1">1</definedName>
    <definedName name="solver_nsim" hidden="1">1</definedName>
    <definedName name="solver_ntr" localSheetId="0" hidden="1">0</definedName>
    <definedName name="solver_ntri" hidden="1">1000</definedName>
    <definedName name="solver_num" localSheetId="0" hidden="1">0</definedName>
    <definedName name="solver_num" localSheetId="1" hidden="1">2</definedName>
    <definedName name="solver_num" localSheetId="2" hidden="1">1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1</definedName>
    <definedName name="solver_num" localSheetId="8" hidden="1">3</definedName>
    <definedName name="solver_nwt" localSheetId="0" hidden="1">1</definedName>
    <definedName name="solver_nwt" localSheetId="5" hidden="1">1</definedName>
    <definedName name="solver_nwt" localSheetId="6" hidden="1">1</definedName>
    <definedName name="solver_opt" localSheetId="1" hidden="1">'2. WMA'!$H$9</definedName>
    <definedName name="solver_opt" localSheetId="2" hidden="1">'3. SES '!$H$4</definedName>
    <definedName name="solver_opt" localSheetId="4" hidden="1">'5. Holts'!$K$6</definedName>
    <definedName name="solver_opt" localSheetId="5" hidden="1">'6. Linear'!#REF!</definedName>
    <definedName name="solver_opt" localSheetId="6" hidden="1">'7. Quad'!#REF!</definedName>
    <definedName name="solver_opt" localSheetId="7" hidden="1">'8.  HW -Add. '!$K$6</definedName>
    <definedName name="solver_opt" localSheetId="8" hidden="1">'9.  HW -Mult.'!$K$7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si" localSheetId="0" hidden="1">0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4" hidden="1">1</definedName>
    <definedName name="solver_rbv" localSheetId="7" hidden="1">1</definedName>
    <definedName name="solver_rbv" localSheetId="8" hidden="1">1</definedName>
    <definedName name="solver_rdp" localSheetId="0" hidden="1">1</definedName>
    <definedName name="solver_rel1" localSheetId="0" hidden="1">2</definedName>
    <definedName name="solver_rel1" localSheetId="1" hidden="1">1</definedName>
    <definedName name="solver_rel1" localSheetId="2" hidden="1">1</definedName>
    <definedName name="solver_rel1" localSheetId="4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2" localSheetId="0" hidden="1">2</definedName>
    <definedName name="solver_rel2" localSheetId="1" hidden="1">2</definedName>
    <definedName name="solver_rel2" localSheetId="4" hidden="1">1</definedName>
    <definedName name="solver_rel2" localSheetId="5" hidden="1">3</definedName>
    <definedName name="solver_rel2" localSheetId="6" hidden="1">3</definedName>
    <definedName name="solver_rel2" localSheetId="8" hidden="1">1</definedName>
    <definedName name="solver_rel3" localSheetId="8" hidden="1">1</definedName>
    <definedName name="solver_rep" localSheetId="0" hidden="1">0</definedName>
    <definedName name="solver_res" localSheetId="0" hidden="1">0.05</definedName>
    <definedName name="solver_rhs1" localSheetId="0" hidden="1">0</definedName>
    <definedName name="solver_rhs1" localSheetId="1" hidden="1">1</definedName>
    <definedName name="solver_rhs1" localSheetId="2" hidden="1">1</definedName>
    <definedName name="solver_rhs1" localSheetId="4" hidden="1">1</definedName>
    <definedName name="solver_rhs1" localSheetId="5" hidden="1">1</definedName>
    <definedName name="solver_rhs1" localSheetId="6" hidden="1">1</definedName>
    <definedName name="solver_rhs1" localSheetId="7" hidden="1">1</definedName>
    <definedName name="solver_rhs1" localSheetId="8" hidden="1">1</definedName>
    <definedName name="solver_rhs2" localSheetId="0" hidden="1">0</definedName>
    <definedName name="solver_rhs2" localSheetId="1" hidden="1">1</definedName>
    <definedName name="solver_rhs2" localSheetId="4" hidden="1">1</definedName>
    <definedName name="solver_rhs2" localSheetId="5" hidden="1">0</definedName>
    <definedName name="solver_rhs2" localSheetId="6" hidden="1">0</definedName>
    <definedName name="solver_rhs2" localSheetId="8" hidden="1">1</definedName>
    <definedName name="solver_rhs3" localSheetId="8" hidden="1">1</definedName>
    <definedName name="solver_rlx" localSheetId="0" hidden="1">0</definedName>
    <definedName name="solver_rlx" localSheetId="1" hidden="1">2</definedName>
    <definedName name="solver_rlx" localSheetId="2" hidden="1">2</definedName>
    <definedName name="solver_rlx" localSheetId="4" hidden="1">2</definedName>
    <definedName name="solver_rlx" localSheetId="7" hidden="1">2</definedName>
    <definedName name="solver_rlx" localSheetId="8" hidden="1">2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rsd" localSheetId="7" hidden="1">0</definedName>
    <definedName name="solver_rsd" localSheetId="8" hidden="1">0</definedName>
    <definedName name="solver_rsmp" hidden="1">2</definedName>
    <definedName name="solver_rtr" localSheetId="0" hidden="1">0</definedName>
    <definedName name="solver_scl" localSheetId="0" hidden="1">0</definedName>
    <definedName name="solver_scl" localSheetId="1" hidden="1">2</definedName>
    <definedName name="solver_scl" localSheetId="2" hidden="1">1</definedName>
    <definedName name="solver_scl" localSheetId="4" hidden="1">1</definedName>
    <definedName name="solver_scl" localSheetId="5" hidden="1">0</definedName>
    <definedName name="solver_scl" localSheetId="6" hidden="1">0</definedName>
    <definedName name="solver_scl" localSheetId="7" hidden="1">1</definedName>
    <definedName name="solver_scl" localSheetId="8" hidden="1">1</definedName>
    <definedName name="solver_seed" hidden="1">0</definedName>
    <definedName name="solver_sel" localSheetId="0" hidden="1">1</definedName>
    <definedName name="solver_sho" localSheetId="0" hidden="1">0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ho" localSheetId="5" hidden="1">0</definedName>
    <definedName name="solver_sho" localSheetId="6" hidden="1">0</definedName>
    <definedName name="solver_sho" localSheetId="7" hidden="1">2</definedName>
    <definedName name="solver_sho" localSheetId="8" hidden="1">2</definedName>
    <definedName name="solver_slv" localSheetId="0" hidden="1">0</definedName>
    <definedName name="solver_slvu" localSheetId="0" hidden="1">0</definedName>
    <definedName name="solver_soc" localSheetId="0" hidden="1">0</definedName>
    <definedName name="solver_ssz" localSheetId="0" hidden="1">0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ssz" localSheetId="7" hidden="1">100</definedName>
    <definedName name="solver_ssz" localSheetId="8" hidden="1">100</definedName>
    <definedName name="solver_sta" localSheetId="0" hidden="1">0</definedName>
    <definedName name="solver_sthr" hidden="1">0</definedName>
    <definedName name="solver_thr" localSheetId="0" hidden="1">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4" hidden="1">2147483647</definedName>
    <definedName name="solver_tim" localSheetId="5" hidden="1">100</definedName>
    <definedName name="solver_tim" localSheetId="6" hidden="1">100</definedName>
    <definedName name="solver_tim" localSheetId="7" hidden="1">2147483647</definedName>
    <definedName name="solver_tim" localSheetId="8" hidden="1">2147483647</definedName>
    <definedName name="solver_tmp" localSheetId="5" hidden="1">0</definedName>
    <definedName name="solver_tmp" localSheetId="6" hidden="1">0</definedName>
    <definedName name="solver_tms" localSheetId="0" hidden="1">0</definedName>
    <definedName name="solver_tol" localSheetId="0" hidden="1">0</definedName>
    <definedName name="solver_tol" localSheetId="1" hidden="1">0.01</definedName>
    <definedName name="solver_tol" localSheetId="2" hidden="1">0.01</definedName>
    <definedName name="solver_tol" localSheetId="4" hidden="1">0.01</definedName>
    <definedName name="solver_tol" localSheetId="5" hidden="1">0</definedName>
    <definedName name="solver_tol" localSheetId="6" hidden="1">0</definedName>
    <definedName name="solver_tol" localSheetId="7" hidden="1">0.01</definedName>
    <definedName name="solver_tol" localSheetId="8" hidden="1">0.01</definedName>
    <definedName name="solver_tree_a" localSheetId="0" hidden="1">1</definedName>
    <definedName name="solver_tree_b" localSheetId="0" hidden="1">1</definedName>
    <definedName name="solver_tree_ce" localSheetId="0" hidden="1">1</definedName>
    <definedName name="solver_tree_dn" localSheetId="0" hidden="1">1</definedName>
    <definedName name="solver_tree_rt" localSheetId="0" hidden="1">999999999999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ubigm" localSheetId="0" hidden="1">1000000</definedName>
    <definedName name="solver_ucens" hidden="1">1E+30</definedName>
    <definedName name="solver_ucut" hidden="1">1E+30</definedName>
    <definedName name="solver_umod" localSheetId="0" hidden="1">1</definedName>
    <definedName name="solver_urs" localSheetId="0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10</definedName>
    <definedName name="solver_ver" localSheetId="1" hidden="1">2</definedName>
    <definedName name="solver_ver" localSheetId="2" hidden="1">2</definedName>
    <definedName name="solver_ver" localSheetId="4" hidden="1">2</definedName>
    <definedName name="solver_ver" localSheetId="7" hidden="1">2</definedName>
    <definedName name="solver_ver" localSheetId="8" hidden="1">2</definedName>
    <definedName name="solver_vo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H16" i="9"/>
  <c r="H17" i="9"/>
  <c r="H18" i="9"/>
  <c r="H15" i="9"/>
  <c r="H7" i="9"/>
  <c r="G7" i="9"/>
  <c r="E7" i="9"/>
  <c r="F7" i="9" s="1"/>
  <c r="E8" i="9" s="1"/>
  <c r="E6" i="9"/>
  <c r="G4" i="9"/>
  <c r="G5" i="9"/>
  <c r="G6" i="9"/>
  <c r="G3" i="9"/>
  <c r="H16" i="11"/>
  <c r="H17" i="11"/>
  <c r="H18" i="11"/>
  <c r="H15" i="11"/>
  <c r="H7" i="11"/>
  <c r="E7" i="11"/>
  <c r="F7" i="11" s="1"/>
  <c r="E8" i="11" s="1"/>
  <c r="F8" i="11" s="1"/>
  <c r="E6" i="11"/>
  <c r="G4" i="11"/>
  <c r="G5" i="11"/>
  <c r="G6" i="11"/>
  <c r="G3" i="11"/>
  <c r="K8" i="8"/>
  <c r="H15" i="8"/>
  <c r="H16" i="8"/>
  <c r="H17" i="8"/>
  <c r="H18" i="8"/>
  <c r="H3" i="8"/>
  <c r="H4" i="8"/>
  <c r="H5" i="8"/>
  <c r="H6" i="8"/>
  <c r="H7" i="8"/>
  <c r="H8" i="8"/>
  <c r="H9" i="8"/>
  <c r="H10" i="8"/>
  <c r="H11" i="8"/>
  <c r="H12" i="8"/>
  <c r="H13" i="8"/>
  <c r="H14" i="8"/>
  <c r="K4" i="8"/>
  <c r="K5" i="8"/>
  <c r="K6" i="8"/>
  <c r="K3" i="8"/>
  <c r="G4" i="8"/>
  <c r="G5" i="8"/>
  <c r="G6" i="8"/>
  <c r="G7" i="8"/>
  <c r="G8" i="8"/>
  <c r="G9" i="8"/>
  <c r="G10" i="8"/>
  <c r="G11" i="8"/>
  <c r="G12" i="8"/>
  <c r="G13" i="8"/>
  <c r="G14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3" i="8"/>
  <c r="D15" i="8"/>
  <c r="D16" i="8"/>
  <c r="D17" i="8"/>
  <c r="D18" i="8"/>
  <c r="D4" i="8"/>
  <c r="D5" i="8"/>
  <c r="D6" i="8"/>
  <c r="D7" i="8"/>
  <c r="D8" i="8"/>
  <c r="D9" i="8"/>
  <c r="D10" i="8"/>
  <c r="D11" i="8"/>
  <c r="D12" i="8"/>
  <c r="D13" i="8"/>
  <c r="D14" i="8"/>
  <c r="D3" i="8"/>
  <c r="K8" i="7"/>
  <c r="E15" i="7"/>
  <c r="E16" i="7"/>
  <c r="E17" i="7"/>
  <c r="E18" i="7"/>
  <c r="G15" i="7"/>
  <c r="G16" i="7"/>
  <c r="G17" i="7"/>
  <c r="G18" i="7"/>
  <c r="E4" i="7"/>
  <c r="E5" i="7"/>
  <c r="E6" i="7"/>
  <c r="E7" i="7"/>
  <c r="E8" i="7"/>
  <c r="E9" i="7"/>
  <c r="E10" i="7"/>
  <c r="E11" i="7"/>
  <c r="E12" i="7"/>
  <c r="E13" i="7"/>
  <c r="E14" i="7"/>
  <c r="F4" i="7"/>
  <c r="F5" i="7"/>
  <c r="F6" i="7"/>
  <c r="F7" i="7"/>
  <c r="K3" i="7" s="1"/>
  <c r="F8" i="7"/>
  <c r="K4" i="7" s="1"/>
  <c r="F9" i="7"/>
  <c r="K5" i="7" s="1"/>
  <c r="F10" i="7"/>
  <c r="F11" i="7"/>
  <c r="F12" i="7"/>
  <c r="F13" i="7"/>
  <c r="F3" i="7"/>
  <c r="E3" i="7"/>
  <c r="F8" i="9" l="1"/>
  <c r="E9" i="9" s="1"/>
  <c r="H9" i="9"/>
  <c r="H8" i="9"/>
  <c r="F9" i="9"/>
  <c r="E10" i="9" s="1"/>
  <c r="G9" i="9"/>
  <c r="G8" i="9"/>
  <c r="G7" i="11"/>
  <c r="E9" i="11"/>
  <c r="H9" i="11"/>
  <c r="G8" i="11"/>
  <c r="H8" i="11"/>
  <c r="F9" i="11"/>
  <c r="E10" i="11" s="1"/>
  <c r="G4" i="7"/>
  <c r="G12" i="7"/>
  <c r="G8" i="7"/>
  <c r="G11" i="7"/>
  <c r="G7" i="7"/>
  <c r="G3" i="7"/>
  <c r="G9" i="7"/>
  <c r="G5" i="7"/>
  <c r="G13" i="7"/>
  <c r="F14" i="7"/>
  <c r="K6" i="7" s="1"/>
  <c r="H10" i="9" l="1"/>
  <c r="G10" i="9"/>
  <c r="F10" i="9"/>
  <c r="E11" i="9" s="1"/>
  <c r="G10" i="11"/>
  <c r="G9" i="11"/>
  <c r="H10" i="11"/>
  <c r="F10" i="11"/>
  <c r="H11" i="11" s="1"/>
  <c r="G10" i="7"/>
  <c r="G14" i="7"/>
  <c r="G6" i="7"/>
  <c r="H11" i="9" l="1"/>
  <c r="G11" i="9"/>
  <c r="F11" i="9"/>
  <c r="H12" i="9" s="1"/>
  <c r="E11" i="11"/>
  <c r="F11" i="11" s="1"/>
  <c r="E12" i="11" s="1"/>
  <c r="E12" i="9" l="1"/>
  <c r="G12" i="9" s="1"/>
  <c r="G12" i="11"/>
  <c r="G11" i="11"/>
  <c r="H12" i="11"/>
  <c r="F12" i="11"/>
  <c r="E13" i="11" s="1"/>
  <c r="F12" i="9" l="1"/>
  <c r="E13" i="9" s="1"/>
  <c r="F13" i="9" s="1"/>
  <c r="H13" i="11"/>
  <c r="G13" i="11"/>
  <c r="F13" i="11"/>
  <c r="E14" i="11" s="1"/>
  <c r="G13" i="9" l="1"/>
  <c r="H14" i="9"/>
  <c r="E14" i="9"/>
  <c r="H13" i="9"/>
  <c r="F14" i="9"/>
  <c r="G14" i="9"/>
  <c r="H14" i="11"/>
  <c r="K6" i="11" s="1"/>
  <c r="F14" i="11"/>
  <c r="G14" i="11"/>
  <c r="H4" i="10" l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3" i="10"/>
  <c r="D15" i="10"/>
  <c r="E15" i="10"/>
  <c r="F15" i="10"/>
  <c r="D16" i="10"/>
  <c r="E16" i="10"/>
  <c r="F16" i="10"/>
  <c r="D17" i="10"/>
  <c r="E17" i="10"/>
  <c r="F17" i="10"/>
  <c r="D18" i="10"/>
  <c r="E18" i="10"/>
  <c r="F18" i="10"/>
  <c r="E3" i="10"/>
  <c r="F3" i="10"/>
  <c r="E4" i="10"/>
  <c r="F4" i="10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D4" i="10"/>
  <c r="D5" i="10"/>
  <c r="D6" i="10"/>
  <c r="D7" i="10"/>
  <c r="D8" i="10"/>
  <c r="D9" i="10"/>
  <c r="D10" i="10"/>
  <c r="D11" i="10"/>
  <c r="D12" i="10"/>
  <c r="D13" i="10"/>
  <c r="D14" i="10"/>
  <c r="D3" i="10"/>
  <c r="K7" i="9" l="1"/>
  <c r="G4" i="6" l="1"/>
  <c r="E4" i="6"/>
  <c r="E3" i="6"/>
  <c r="L3" i="5"/>
  <c r="I86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1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9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6" i="5"/>
  <c r="H4" i="4"/>
  <c r="E86" i="4"/>
  <c r="F4" i="6" l="1"/>
  <c r="G5" i="6" s="1"/>
  <c r="E5" i="6" l="1"/>
  <c r="F5" i="6" s="1"/>
  <c r="E6" i="6" s="1"/>
  <c r="F6" i="6" s="1"/>
  <c r="E7" i="6" s="1"/>
  <c r="G6" i="6" l="1"/>
  <c r="G7" i="6"/>
  <c r="F7" i="6"/>
  <c r="E8" i="6" s="1"/>
  <c r="G8" i="6" l="1"/>
  <c r="F8" i="6"/>
  <c r="E9" i="6" s="1"/>
  <c r="G9" i="6" l="1"/>
  <c r="F9" i="6"/>
  <c r="G10" i="6" s="1"/>
  <c r="E10" i="6"/>
  <c r="F10" i="6" l="1"/>
  <c r="G11" i="6" s="1"/>
  <c r="E11" i="6" l="1"/>
  <c r="F11" i="6" s="1"/>
  <c r="E12" i="6" s="1"/>
  <c r="G12" i="6" l="1"/>
  <c r="F12" i="6"/>
  <c r="E13" i="6" s="1"/>
  <c r="G13" i="6" l="1"/>
  <c r="F13" i="6"/>
  <c r="G14" i="6" s="1"/>
  <c r="E14" i="6" l="1"/>
  <c r="F14" i="6" s="1"/>
  <c r="E15" i="6" s="1"/>
  <c r="G15" i="6" l="1"/>
  <c r="F15" i="6"/>
  <c r="G16" i="6" s="1"/>
  <c r="E16" i="6" l="1"/>
  <c r="F16" i="6"/>
  <c r="E17" i="6" s="1"/>
  <c r="G17" i="6" l="1"/>
  <c r="F17" i="6"/>
  <c r="G18" i="6" s="1"/>
  <c r="E18" i="6" l="1"/>
  <c r="F18" i="6" s="1"/>
  <c r="E19" i="6" s="1"/>
  <c r="G19" i="6" l="1"/>
  <c r="F19" i="6"/>
  <c r="G20" i="6" s="1"/>
  <c r="E20" i="6" l="1"/>
  <c r="F20" i="6" s="1"/>
  <c r="E21" i="6" s="1"/>
  <c r="G21" i="6" l="1"/>
  <c r="F21" i="6"/>
  <c r="G22" i="6" s="1"/>
  <c r="E22" i="6"/>
  <c r="F22" i="6" l="1"/>
  <c r="G23" i="6" s="1"/>
  <c r="E23" i="6"/>
  <c r="F23" i="6" l="1"/>
  <c r="E24" i="6" s="1"/>
  <c r="G24" i="6" l="1"/>
  <c r="F24" i="6"/>
  <c r="E25" i="6" s="1"/>
  <c r="G25" i="6" l="1"/>
  <c r="F25" i="6"/>
  <c r="G26" i="6" s="1"/>
  <c r="E26" i="6" l="1"/>
  <c r="F26" i="6" s="1"/>
  <c r="G27" i="6" s="1"/>
  <c r="E27" i="6" l="1"/>
  <c r="F27" i="6" s="1"/>
  <c r="G28" i="6" s="1"/>
  <c r="E28" i="6" l="1"/>
  <c r="F28" i="6" s="1"/>
  <c r="E29" i="6" s="1"/>
  <c r="E4" i="4"/>
  <c r="E5" i="4" s="1"/>
  <c r="F89" i="1"/>
  <c r="E89" i="1"/>
  <c r="F88" i="1"/>
  <c r="F87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9" i="1"/>
  <c r="E8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7" i="1"/>
  <c r="E86" i="3"/>
  <c r="E87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H7" i="3"/>
  <c r="G29" i="6" l="1"/>
  <c r="F29" i="6"/>
  <c r="G30" i="6" s="1"/>
  <c r="E30" i="6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H9" i="3"/>
  <c r="E89" i="3"/>
  <c r="F30" i="6" l="1"/>
  <c r="E31" i="6" s="1"/>
  <c r="C4" i="10"/>
  <c r="G31" i="6" l="1"/>
  <c r="F31" i="6"/>
  <c r="E32" i="6" s="1"/>
  <c r="C5" i="10"/>
  <c r="G32" i="6" l="1"/>
  <c r="F32" i="6"/>
  <c r="E33" i="6" s="1"/>
  <c r="C6" i="10"/>
  <c r="G33" i="6" l="1"/>
  <c r="F33" i="6"/>
  <c r="G34" i="6" s="1"/>
  <c r="C7" i="10"/>
  <c r="E34" i="6" l="1"/>
  <c r="F34" i="6" s="1"/>
  <c r="E35" i="6" s="1"/>
  <c r="C8" i="10"/>
  <c r="G35" i="6" l="1"/>
  <c r="F35" i="6"/>
  <c r="E36" i="6" s="1"/>
  <c r="C9" i="10"/>
  <c r="G36" i="6" l="1"/>
  <c r="F36" i="6"/>
  <c r="E37" i="6" s="1"/>
  <c r="C10" i="10"/>
  <c r="G37" i="6" l="1"/>
  <c r="F37" i="6"/>
  <c r="G38" i="6" s="1"/>
  <c r="C11" i="10"/>
  <c r="E38" i="6" l="1"/>
  <c r="F38" i="6"/>
  <c r="E39" i="6" s="1"/>
  <c r="C12" i="10"/>
  <c r="G39" i="6" l="1"/>
  <c r="F39" i="6"/>
  <c r="G40" i="6" s="1"/>
  <c r="C13" i="10"/>
  <c r="E40" i="6" l="1"/>
  <c r="F40" i="6" s="1"/>
  <c r="E41" i="6" s="1"/>
  <c r="C14" i="10"/>
  <c r="G41" i="6" l="1"/>
  <c r="F41" i="6"/>
  <c r="E42" i="6" s="1"/>
  <c r="A15" i="6"/>
  <c r="A27" i="6" s="1"/>
  <c r="A39" i="6" s="1"/>
  <c r="A51" i="6" s="1"/>
  <c r="A63" i="6" s="1"/>
  <c r="A75" i="6" s="1"/>
  <c r="G42" i="6" l="1"/>
  <c r="F42" i="6"/>
  <c r="G43" i="6" s="1"/>
  <c r="A27" i="5"/>
  <c r="A39" i="5" s="1"/>
  <c r="A51" i="5" s="1"/>
  <c r="A63" i="5" s="1"/>
  <c r="A75" i="5" s="1"/>
  <c r="A15" i="5"/>
  <c r="A39" i="4"/>
  <c r="A51" i="4" s="1"/>
  <c r="A63" i="4" s="1"/>
  <c r="A75" i="4" s="1"/>
  <c r="A27" i="4"/>
  <c r="A15" i="4"/>
  <c r="E43" i="6" l="1"/>
  <c r="F43" i="6" s="1"/>
  <c r="G44" i="6" s="1"/>
  <c r="A40" i="3"/>
  <c r="A52" i="3" s="1"/>
  <c r="A64" i="3" s="1"/>
  <c r="A76" i="3" s="1"/>
  <c r="A28" i="3"/>
  <c r="A16" i="3"/>
  <c r="E44" i="6" l="1"/>
  <c r="F44" i="6" s="1"/>
  <c r="E45" i="6" s="1"/>
  <c r="A17" i="1"/>
  <c r="A29" i="1" s="1"/>
  <c r="A41" i="1" s="1"/>
  <c r="A53" i="1" s="1"/>
  <c r="A65" i="1" s="1"/>
  <c r="A77" i="1" s="1"/>
  <c r="G45" i="6" l="1"/>
  <c r="F45" i="6"/>
  <c r="G46" i="6" s="1"/>
  <c r="E46" i="6" l="1"/>
  <c r="F46" i="6" s="1"/>
  <c r="E47" i="6" s="1"/>
  <c r="G47" i="6" l="1"/>
  <c r="F47" i="6"/>
  <c r="E48" i="6" s="1"/>
  <c r="G48" i="6" l="1"/>
  <c r="F48" i="6"/>
  <c r="E49" i="6" s="1"/>
  <c r="G49" i="6" l="1"/>
  <c r="F49" i="6"/>
  <c r="G50" i="6" s="1"/>
  <c r="E50" i="6" l="1"/>
  <c r="F50" i="6" s="1"/>
  <c r="G51" i="6" s="1"/>
  <c r="E51" i="6" l="1"/>
  <c r="F51" i="6" s="1"/>
  <c r="E52" i="6" s="1"/>
  <c r="G52" i="6" l="1"/>
  <c r="F52" i="6"/>
  <c r="E53" i="6" s="1"/>
  <c r="G53" i="6" l="1"/>
  <c r="F53" i="6"/>
  <c r="G54" i="6" s="1"/>
  <c r="E54" i="6" l="1"/>
  <c r="F54" i="6"/>
  <c r="E55" i="6" s="1"/>
  <c r="G55" i="6" l="1"/>
  <c r="F55" i="6"/>
  <c r="G56" i="6" s="1"/>
  <c r="E56" i="6"/>
  <c r="F56" i="6" l="1"/>
  <c r="E57" i="6" s="1"/>
  <c r="G57" i="6" l="1"/>
  <c r="F57" i="6"/>
  <c r="G58" i="6" s="1"/>
  <c r="E58" i="6" l="1"/>
  <c r="F58" i="6"/>
  <c r="E59" i="6" s="1"/>
  <c r="G59" i="6" l="1"/>
  <c r="F59" i="6"/>
  <c r="G60" i="6" s="1"/>
  <c r="E60" i="6" l="1"/>
  <c r="F60" i="6" s="1"/>
  <c r="E61" i="6" s="1"/>
  <c r="G61" i="6" l="1"/>
  <c r="F61" i="6"/>
  <c r="G62" i="6" s="1"/>
  <c r="E62" i="6" l="1"/>
  <c r="F62" i="6" s="1"/>
  <c r="G63" i="6" s="1"/>
  <c r="E63" i="6" l="1"/>
  <c r="F63" i="6" s="1"/>
  <c r="E64" i="6" s="1"/>
  <c r="G64" i="6" l="1"/>
  <c r="F64" i="6"/>
  <c r="E65" i="6" s="1"/>
  <c r="G65" i="6" l="1"/>
  <c r="F65" i="6"/>
  <c r="G66" i="6" s="1"/>
  <c r="E66" i="6"/>
  <c r="F66" i="6" l="1"/>
  <c r="E67" i="6" s="1"/>
  <c r="G67" i="6" l="1"/>
  <c r="F67" i="6"/>
  <c r="E68" i="6" s="1"/>
  <c r="G68" i="6" l="1"/>
  <c r="F68" i="6"/>
  <c r="E69" i="6" s="1"/>
  <c r="G69" i="6" l="1"/>
  <c r="F69" i="6"/>
  <c r="G70" i="6" s="1"/>
  <c r="E70" i="6"/>
  <c r="F70" i="6" l="1"/>
  <c r="E71" i="6" s="1"/>
  <c r="G71" i="6" l="1"/>
  <c r="F71" i="6"/>
  <c r="G72" i="6" s="1"/>
  <c r="E72" i="6" l="1"/>
  <c r="F72" i="6" s="1"/>
  <c r="E73" i="6" s="1"/>
  <c r="G73" i="6" l="1"/>
  <c r="F73" i="6"/>
  <c r="G74" i="6" s="1"/>
  <c r="E74" i="6" l="1"/>
  <c r="F74" i="6" s="1"/>
  <c r="E75" i="6" s="1"/>
  <c r="G75" i="6" l="1"/>
  <c r="F75" i="6"/>
  <c r="E76" i="6" s="1"/>
  <c r="G76" i="6" l="1"/>
  <c r="F76" i="6"/>
  <c r="E77" i="6" s="1"/>
  <c r="G77" i="6" l="1"/>
  <c r="F77" i="6"/>
  <c r="G78" i="6" s="1"/>
  <c r="E78" i="6"/>
  <c r="F78" i="6" l="1"/>
  <c r="E79" i="6" s="1"/>
  <c r="G79" i="6" l="1"/>
  <c r="F79" i="6"/>
  <c r="E80" i="6" s="1"/>
  <c r="G80" i="6" l="1"/>
  <c r="F80" i="6"/>
  <c r="E81" i="6" s="1"/>
  <c r="G81" i="6" l="1"/>
  <c r="F81" i="6"/>
  <c r="G82" i="6" s="1"/>
  <c r="E82" i="6" l="1"/>
  <c r="F82" i="6" s="1"/>
  <c r="E83" i="6" s="1"/>
  <c r="G83" i="6" l="1"/>
  <c r="F83" i="6"/>
  <c r="G84" i="6" s="1"/>
  <c r="K6" i="6" s="1"/>
  <c r="E84" i="6" l="1"/>
  <c r="F84" i="6" l="1"/>
  <c r="G85" i="6"/>
  <c r="G8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BIT</author>
  </authors>
  <commentList>
    <comment ref="H9" authorId="0" shapeId="0" xr:uid="{C7274E3F-1DBD-447D-999E-5099559D85F6}">
      <text>
        <r>
          <rPr>
            <b/>
            <sz val="8"/>
            <color rgb="FF000000"/>
            <rFont val="Tahoma"/>
            <family val="2"/>
          </rPr>
          <t>Objective cell</t>
        </r>
      </text>
    </comment>
  </commentList>
</comments>
</file>

<file path=xl/sharedStrings.xml><?xml version="1.0" encoding="utf-8"?>
<sst xmlns="http://schemas.openxmlformats.org/spreadsheetml/2006/main" count="212" uniqueCount="49">
  <si>
    <t>30 yr Mortgage rates</t>
  </si>
  <si>
    <t>Year</t>
  </si>
  <si>
    <t>t</t>
  </si>
  <si>
    <t>Month</t>
  </si>
  <si>
    <t>Rate</t>
  </si>
  <si>
    <t>MSE</t>
  </si>
  <si>
    <t>Moving Avg</t>
  </si>
  <si>
    <t>2-Month</t>
  </si>
  <si>
    <t>4-Month</t>
  </si>
  <si>
    <t>w1</t>
  </si>
  <si>
    <t>w2</t>
  </si>
  <si>
    <t>w3</t>
  </si>
  <si>
    <t>w4</t>
  </si>
  <si>
    <t>sum</t>
  </si>
  <si>
    <t>4-Period</t>
  </si>
  <si>
    <t>--</t>
  </si>
  <si>
    <t>Exponential</t>
  </si>
  <si>
    <t>Smoothing</t>
  </si>
  <si>
    <t>alpha =</t>
  </si>
  <si>
    <t>MSE:</t>
  </si>
  <si>
    <t>Moving</t>
  </si>
  <si>
    <t>Dbl Moving</t>
  </si>
  <si>
    <t>Predicted</t>
  </si>
  <si>
    <t>Average</t>
  </si>
  <si>
    <t>Level</t>
  </si>
  <si>
    <t>Trend</t>
  </si>
  <si>
    <t>MSE =</t>
  </si>
  <si>
    <t>Base</t>
  </si>
  <si>
    <t>beta =</t>
  </si>
  <si>
    <t>Quarter</t>
  </si>
  <si>
    <t>Time</t>
  </si>
  <si>
    <t>Units Sold</t>
  </si>
  <si>
    <t>Linear</t>
  </si>
  <si>
    <t>Actual as a</t>
  </si>
  <si>
    <t>Percent of Trend</t>
  </si>
  <si>
    <t xml:space="preserve">Seasonal </t>
  </si>
  <si>
    <t>Forecast</t>
  </si>
  <si>
    <t>Seasonal Index</t>
  </si>
  <si>
    <t>Units</t>
  </si>
  <si>
    <t>Seasonal</t>
  </si>
  <si>
    <t>Qtr</t>
  </si>
  <si>
    <t>Sold</t>
  </si>
  <si>
    <t>Factor</t>
  </si>
  <si>
    <t>gamma=</t>
  </si>
  <si>
    <t>Indicator For Qtr:</t>
  </si>
  <si>
    <t>Period</t>
  </si>
  <si>
    <t>Prediction</t>
  </si>
  <si>
    <t>-</t>
  </si>
  <si>
    <t>Time^2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</si>
</sst>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164" formatCode="0.000"/>
    <numFmt numFmtId="165" formatCode="&quot;$&quot;#,##0.0_);\(&quot;$&quot;#,##0.0\)"/>
    <numFmt numFmtId="166" formatCode="0.00000"/>
    <numFmt numFmtId="167" formatCode="0.0"/>
    <numFmt numFmtId="168" formatCode="0.0%"/>
    <numFmt numFmtId="169" formatCode="General_)"/>
    <numFmt numFmtId="170" formatCode="0.000_)"/>
  </numFmts>
  <fonts count="1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color indexed="22"/>
      <name val="Arial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quotePrefix="1" applyFont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164" fontId="5" fillId="3" borderId="3" xfId="0" applyNumberFormat="1" applyFont="1" applyFill="1" applyBorder="1" applyAlignment="1">
      <alignment horizontal="center"/>
    </xf>
    <xf numFmtId="2" fontId="7" fillId="0" borderId="0" xfId="0" quotePrefix="1" applyNumberFormat="1" applyFont="1" applyAlignment="1">
      <alignment horizontal="center"/>
    </xf>
    <xf numFmtId="165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8" fillId="0" borderId="0" xfId="0" quotePrefix="1" applyNumberFormat="1" applyFont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5" fontId="9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4" fillId="3" borderId="2" xfId="0" applyFont="1" applyFill="1" applyBorder="1" applyAlignment="1">
      <alignment horizontal="center"/>
    </xf>
    <xf numFmtId="0" fontId="1" fillId="0" borderId="0" xfId="0" quotePrefix="1" applyFont="1" applyAlignment="1">
      <alignment horizontal="center"/>
    </xf>
    <xf numFmtId="2" fontId="0" fillId="0" borderId="0" xfId="0" quotePrefix="1" applyNumberForma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2" fillId="0" borderId="0" xfId="2"/>
    <xf numFmtId="0" fontId="2" fillId="0" borderId="0" xfId="2" applyAlignment="1">
      <alignment horizontal="center"/>
    </xf>
    <xf numFmtId="1" fontId="10" fillId="0" borderId="0" xfId="2" applyNumberFormat="1" applyFont="1" applyAlignment="1">
      <alignment horizontal="center"/>
    </xf>
    <xf numFmtId="0" fontId="2" fillId="0" borderId="1" xfId="2" applyBorder="1" applyAlignment="1">
      <alignment horizontal="center"/>
    </xf>
    <xf numFmtId="1" fontId="10" fillId="0" borderId="1" xfId="2" applyNumberFormat="1" applyFont="1" applyBorder="1" applyAlignment="1">
      <alignment horizontal="center"/>
    </xf>
    <xf numFmtId="0" fontId="2" fillId="0" borderId="0" xfId="2" quotePrefix="1" applyAlignment="1">
      <alignment horizontal="center"/>
    </xf>
    <xf numFmtId="2" fontId="2" fillId="0" borderId="0" xfId="2" applyNumberFormat="1"/>
    <xf numFmtId="0" fontId="1" fillId="0" borderId="0" xfId="2" applyFont="1" applyAlignment="1">
      <alignment horizontal="center"/>
    </xf>
    <xf numFmtId="0" fontId="1" fillId="0" borderId="0" xfId="2" applyFont="1"/>
    <xf numFmtId="1" fontId="1" fillId="0" borderId="0" xfId="0" applyNumberFormat="1" applyFont="1" applyAlignment="1">
      <alignment horizontal="centerContinuous"/>
    </xf>
    <xf numFmtId="168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1" fontId="10" fillId="0" borderId="0" xfId="0" applyNumberFormat="1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4" fontId="7" fillId="0" borderId="0" xfId="1" applyNumberFormat="1" applyFont="1" applyAlignment="1">
      <alignment horizontal="center"/>
    </xf>
    <xf numFmtId="167" fontId="7" fillId="0" borderId="0" xfId="0" quotePrefix="1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" fontId="9" fillId="0" borderId="0" xfId="0" quotePrefix="1" applyNumberFormat="1" applyFont="1" applyAlignment="1">
      <alignment horizontal="center"/>
    </xf>
    <xf numFmtId="0" fontId="2" fillId="0" borderId="0" xfId="0" quotePrefix="1" applyFont="1"/>
    <xf numFmtId="2" fontId="0" fillId="0" borderId="0" xfId="0" applyNumberFormat="1"/>
    <xf numFmtId="169" fontId="2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14" fillId="0" borderId="0" xfId="0" quotePrefix="1" applyNumberFormat="1" applyFont="1" applyAlignment="1">
      <alignment horizontal="center"/>
    </xf>
    <xf numFmtId="4" fontId="12" fillId="0" borderId="0" xfId="1" applyNumberFormat="1" applyFont="1" applyAlignment="1">
      <alignment horizontal="center"/>
    </xf>
    <xf numFmtId="167" fontId="12" fillId="0" borderId="0" xfId="0" quotePrefix="1" applyNumberFormat="1" applyFont="1" applyAlignment="1">
      <alignment horizontal="center"/>
    </xf>
    <xf numFmtId="2" fontId="12" fillId="0" borderId="0" xfId="0" quotePrefix="1" applyNumberFormat="1" applyFont="1" applyAlignment="1">
      <alignment horizontal="center"/>
    </xf>
    <xf numFmtId="9" fontId="2" fillId="0" borderId="0" xfId="1" applyFont="1"/>
    <xf numFmtId="167" fontId="2" fillId="0" borderId="0" xfId="2" applyNumberFormat="1"/>
    <xf numFmtId="9" fontId="2" fillId="0" borderId="0" xfId="1" quotePrefix="1" applyFont="1" applyAlignment="1">
      <alignment horizontal="center"/>
    </xf>
    <xf numFmtId="167" fontId="2" fillId="0" borderId="0" xfId="2" applyNumberFormat="1" applyAlignment="1">
      <alignment horizontal="center"/>
    </xf>
    <xf numFmtId="168" fontId="2" fillId="0" borderId="0" xfId="3" applyNumberFormat="1" applyFont="1" applyFill="1" applyBorder="1" applyAlignment="1">
      <alignment horizontal="center"/>
    </xf>
    <xf numFmtId="2" fontId="0" fillId="4" borderId="0" xfId="0" applyNumberFormat="1" applyFill="1"/>
    <xf numFmtId="2" fontId="0" fillId="4" borderId="0" xfId="0" applyNumberFormat="1" applyFill="1" applyAlignment="1">
      <alignment horizontal="center"/>
    </xf>
    <xf numFmtId="2" fontId="8" fillId="4" borderId="0" xfId="0" quotePrefix="1" applyNumberFormat="1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7" fontId="2" fillId="4" borderId="0" xfId="2" applyNumberFormat="1" applyFill="1"/>
    <xf numFmtId="2" fontId="2" fillId="4" borderId="0" xfId="2" applyNumberFormat="1" applyFill="1"/>
    <xf numFmtId="2" fontId="6" fillId="4" borderId="0" xfId="0" applyNumberFormat="1" applyFont="1" applyFill="1" applyAlignment="1">
      <alignment horizontal="center"/>
    </xf>
    <xf numFmtId="170" fontId="2" fillId="0" borderId="0" xfId="0" applyNumberFormat="1" applyFont="1" applyAlignment="1">
      <alignment horizontal="center"/>
    </xf>
    <xf numFmtId="167" fontId="6" fillId="4" borderId="0" xfId="0" applyNumberFormat="1" applyFont="1" applyFill="1" applyAlignment="1">
      <alignment horizontal="center"/>
    </xf>
    <xf numFmtId="1" fontId="1" fillId="0" borderId="0" xfId="0" quotePrefix="1" applyNumberFormat="1" applyFont="1" applyAlignment="1">
      <alignment horizontal="center"/>
    </xf>
    <xf numFmtId="1" fontId="1" fillId="4" borderId="0" xfId="0" quotePrefix="1" applyNumberFormat="1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Normal" xfId="0" builtinId="0"/>
    <cellStyle name="Normal 2" xfId="2" xr:uid="{E6DE088F-6DA1-4A34-B7CD-A44FB128A6F8}"/>
    <cellStyle name="Percent" xfId="1" builtinId="5"/>
    <cellStyle name="Percent 2" xfId="3" xr:uid="{B842C2E1-19C6-D74F-A43C-69E9AA837F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MA'!$D$4</c:f>
              <c:strCache>
                <c:ptCount val="1"/>
                <c:pt idx="0">
                  <c:v>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 MA'!$B$5:$B$88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xVal>
          <c:yVal>
            <c:numRef>
              <c:f>'1. MA'!$D$5:$D$86</c:f>
              <c:numCache>
                <c:formatCode>0.00</c:formatCode>
                <c:ptCount val="82"/>
                <c:pt idx="0">
                  <c:v>7.03</c:v>
                </c:pt>
                <c:pt idx="1">
                  <c:v>7.08</c:v>
                </c:pt>
                <c:pt idx="2">
                  <c:v>7.62</c:v>
                </c:pt>
                <c:pt idx="3">
                  <c:v>7.93</c:v>
                </c:pt>
                <c:pt idx="4">
                  <c:v>8.07</c:v>
                </c:pt>
                <c:pt idx="5">
                  <c:v>8.32</c:v>
                </c:pt>
                <c:pt idx="6">
                  <c:v>8.25</c:v>
                </c:pt>
                <c:pt idx="7">
                  <c:v>8</c:v>
                </c:pt>
                <c:pt idx="8">
                  <c:v>8.23</c:v>
                </c:pt>
                <c:pt idx="9">
                  <c:v>7.92</c:v>
                </c:pt>
                <c:pt idx="10">
                  <c:v>7.62</c:v>
                </c:pt>
                <c:pt idx="11">
                  <c:v>7.6</c:v>
                </c:pt>
                <c:pt idx="12">
                  <c:v>7.82</c:v>
                </c:pt>
                <c:pt idx="13">
                  <c:v>7.65</c:v>
                </c:pt>
                <c:pt idx="14">
                  <c:v>7.9</c:v>
                </c:pt>
                <c:pt idx="15">
                  <c:v>8.14</c:v>
                </c:pt>
                <c:pt idx="16">
                  <c:v>7.94</c:v>
                </c:pt>
                <c:pt idx="17">
                  <c:v>7.69</c:v>
                </c:pt>
                <c:pt idx="18">
                  <c:v>7.5</c:v>
                </c:pt>
                <c:pt idx="19">
                  <c:v>7.48</c:v>
                </c:pt>
                <c:pt idx="20">
                  <c:v>7.43</c:v>
                </c:pt>
                <c:pt idx="21">
                  <c:v>7.29</c:v>
                </c:pt>
                <c:pt idx="22">
                  <c:v>7.21</c:v>
                </c:pt>
                <c:pt idx="23">
                  <c:v>7.1</c:v>
                </c:pt>
                <c:pt idx="24">
                  <c:v>6.99</c:v>
                </c:pt>
                <c:pt idx="25">
                  <c:v>7.04</c:v>
                </c:pt>
                <c:pt idx="26">
                  <c:v>7.13</c:v>
                </c:pt>
                <c:pt idx="27">
                  <c:v>7.14</c:v>
                </c:pt>
                <c:pt idx="28">
                  <c:v>7.14</c:v>
                </c:pt>
                <c:pt idx="29">
                  <c:v>7</c:v>
                </c:pt>
                <c:pt idx="30">
                  <c:v>6.95</c:v>
                </c:pt>
                <c:pt idx="31">
                  <c:v>6.92</c:v>
                </c:pt>
                <c:pt idx="32">
                  <c:v>6.72</c:v>
                </c:pt>
                <c:pt idx="33">
                  <c:v>6.71</c:v>
                </c:pt>
                <c:pt idx="34">
                  <c:v>6.87</c:v>
                </c:pt>
                <c:pt idx="35">
                  <c:v>6.74</c:v>
                </c:pt>
                <c:pt idx="36">
                  <c:v>6.79</c:v>
                </c:pt>
                <c:pt idx="37">
                  <c:v>6.81</c:v>
                </c:pt>
                <c:pt idx="38">
                  <c:v>7.04</c:v>
                </c:pt>
                <c:pt idx="39">
                  <c:v>6.92</c:v>
                </c:pt>
                <c:pt idx="40">
                  <c:v>7.15</c:v>
                </c:pt>
                <c:pt idx="41">
                  <c:v>7.55</c:v>
                </c:pt>
                <c:pt idx="42">
                  <c:v>7.63</c:v>
                </c:pt>
                <c:pt idx="43">
                  <c:v>7.94</c:v>
                </c:pt>
                <c:pt idx="44">
                  <c:v>7.82</c:v>
                </c:pt>
                <c:pt idx="45">
                  <c:v>7.85</c:v>
                </c:pt>
                <c:pt idx="46">
                  <c:v>7.74</c:v>
                </c:pt>
                <c:pt idx="47">
                  <c:v>7.91</c:v>
                </c:pt>
                <c:pt idx="48">
                  <c:v>8.2100000000000009</c:v>
                </c:pt>
                <c:pt idx="49">
                  <c:v>8.33</c:v>
                </c:pt>
                <c:pt idx="50">
                  <c:v>8.24</c:v>
                </c:pt>
                <c:pt idx="51">
                  <c:v>8.15</c:v>
                </c:pt>
                <c:pt idx="52">
                  <c:v>8.52</c:v>
                </c:pt>
                <c:pt idx="53">
                  <c:v>8.2899999999999991</c:v>
                </c:pt>
                <c:pt idx="54">
                  <c:v>8.15</c:v>
                </c:pt>
                <c:pt idx="55">
                  <c:v>8.0299999999999994</c:v>
                </c:pt>
                <c:pt idx="56">
                  <c:v>7.91</c:v>
                </c:pt>
                <c:pt idx="57">
                  <c:v>7.8</c:v>
                </c:pt>
                <c:pt idx="58">
                  <c:v>7.75</c:v>
                </c:pt>
                <c:pt idx="59">
                  <c:v>7.38</c:v>
                </c:pt>
                <c:pt idx="60">
                  <c:v>7.03</c:v>
                </c:pt>
                <c:pt idx="61">
                  <c:v>7.05</c:v>
                </c:pt>
                <c:pt idx="62">
                  <c:v>6.95</c:v>
                </c:pt>
                <c:pt idx="63">
                  <c:v>7.08</c:v>
                </c:pt>
                <c:pt idx="64">
                  <c:v>7.15</c:v>
                </c:pt>
                <c:pt idx="65">
                  <c:v>7.16</c:v>
                </c:pt>
                <c:pt idx="66">
                  <c:v>7.13</c:v>
                </c:pt>
                <c:pt idx="67">
                  <c:v>6.95</c:v>
                </c:pt>
                <c:pt idx="68">
                  <c:v>6.82</c:v>
                </c:pt>
                <c:pt idx="69">
                  <c:v>6.62</c:v>
                </c:pt>
                <c:pt idx="70">
                  <c:v>6.66</c:v>
                </c:pt>
                <c:pt idx="71">
                  <c:v>7.07</c:v>
                </c:pt>
                <c:pt idx="72">
                  <c:v>7</c:v>
                </c:pt>
                <c:pt idx="73">
                  <c:v>6.89</c:v>
                </c:pt>
                <c:pt idx="74">
                  <c:v>7.01</c:v>
                </c:pt>
                <c:pt idx="75">
                  <c:v>6.99</c:v>
                </c:pt>
                <c:pt idx="76">
                  <c:v>6.81</c:v>
                </c:pt>
                <c:pt idx="77">
                  <c:v>6.65</c:v>
                </c:pt>
                <c:pt idx="78">
                  <c:v>6.49</c:v>
                </c:pt>
                <c:pt idx="79">
                  <c:v>6.29</c:v>
                </c:pt>
                <c:pt idx="80">
                  <c:v>6.09</c:v>
                </c:pt>
                <c:pt idx="81">
                  <c:v>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8-2A49-A5D9-97576037E761}"/>
            </c:ext>
          </c:extLst>
        </c:ser>
        <c:ser>
          <c:idx val="1"/>
          <c:order val="1"/>
          <c:tx>
            <c:strRef>
              <c:f>'1. MA'!$E$4</c:f>
              <c:strCache>
                <c:ptCount val="1"/>
                <c:pt idx="0">
                  <c:v>2-Month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'1. MA'!$B$5:$B$87</c:f>
              <c:numCache>
                <c:formatCode>General</c:formatCode>
                <c:ptCount val="8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</c:numCache>
            </c:numRef>
          </c:xVal>
          <c:yVal>
            <c:numRef>
              <c:f>'1. MA'!$E$7:$E$88</c:f>
              <c:numCache>
                <c:formatCode>0.00</c:formatCode>
                <c:ptCount val="82"/>
                <c:pt idx="0">
                  <c:v>7.0549999999999997</c:v>
                </c:pt>
                <c:pt idx="1">
                  <c:v>7.35</c:v>
                </c:pt>
                <c:pt idx="2">
                  <c:v>7.7750000000000004</c:v>
                </c:pt>
                <c:pt idx="3">
                  <c:v>8</c:v>
                </c:pt>
                <c:pt idx="4">
                  <c:v>8.1950000000000003</c:v>
                </c:pt>
                <c:pt idx="5">
                  <c:v>8.2850000000000001</c:v>
                </c:pt>
                <c:pt idx="6">
                  <c:v>8.125</c:v>
                </c:pt>
                <c:pt idx="7">
                  <c:v>8.1150000000000002</c:v>
                </c:pt>
                <c:pt idx="8">
                  <c:v>8.0749999999999993</c:v>
                </c:pt>
                <c:pt idx="9">
                  <c:v>7.77</c:v>
                </c:pt>
                <c:pt idx="10">
                  <c:v>7.6099999999999994</c:v>
                </c:pt>
                <c:pt idx="11">
                  <c:v>7.71</c:v>
                </c:pt>
                <c:pt idx="12">
                  <c:v>7.7350000000000003</c:v>
                </c:pt>
                <c:pt idx="13">
                  <c:v>7.7750000000000004</c:v>
                </c:pt>
                <c:pt idx="14">
                  <c:v>8.02</c:v>
                </c:pt>
                <c:pt idx="15">
                  <c:v>8.0400000000000009</c:v>
                </c:pt>
                <c:pt idx="16">
                  <c:v>7.8150000000000004</c:v>
                </c:pt>
                <c:pt idx="17">
                  <c:v>7.5950000000000006</c:v>
                </c:pt>
                <c:pt idx="18">
                  <c:v>7.49</c:v>
                </c:pt>
                <c:pt idx="19">
                  <c:v>7.4550000000000001</c:v>
                </c:pt>
                <c:pt idx="20">
                  <c:v>7.3599999999999994</c:v>
                </c:pt>
                <c:pt idx="21">
                  <c:v>7.25</c:v>
                </c:pt>
                <c:pt idx="22">
                  <c:v>7.1549999999999994</c:v>
                </c:pt>
                <c:pt idx="23">
                  <c:v>7.0449999999999999</c:v>
                </c:pt>
                <c:pt idx="24">
                  <c:v>7.0150000000000006</c:v>
                </c:pt>
                <c:pt idx="25">
                  <c:v>7.085</c:v>
                </c:pt>
                <c:pt idx="26">
                  <c:v>7.1349999999999998</c:v>
                </c:pt>
                <c:pt idx="27">
                  <c:v>7.14</c:v>
                </c:pt>
                <c:pt idx="28">
                  <c:v>7.07</c:v>
                </c:pt>
                <c:pt idx="29">
                  <c:v>6.9749999999999996</c:v>
                </c:pt>
                <c:pt idx="30">
                  <c:v>6.9350000000000005</c:v>
                </c:pt>
                <c:pt idx="31">
                  <c:v>6.82</c:v>
                </c:pt>
                <c:pt idx="32">
                  <c:v>6.7149999999999999</c:v>
                </c:pt>
                <c:pt idx="33">
                  <c:v>6.79</c:v>
                </c:pt>
                <c:pt idx="34">
                  <c:v>6.8049999999999997</c:v>
                </c:pt>
                <c:pt idx="35">
                  <c:v>6.7650000000000006</c:v>
                </c:pt>
                <c:pt idx="36">
                  <c:v>6.8</c:v>
                </c:pt>
                <c:pt idx="37">
                  <c:v>6.9249999999999998</c:v>
                </c:pt>
                <c:pt idx="38">
                  <c:v>6.98</c:v>
                </c:pt>
                <c:pt idx="39">
                  <c:v>7.0350000000000001</c:v>
                </c:pt>
                <c:pt idx="40">
                  <c:v>7.35</c:v>
                </c:pt>
                <c:pt idx="41">
                  <c:v>7.59</c:v>
                </c:pt>
                <c:pt idx="42">
                  <c:v>7.7850000000000001</c:v>
                </c:pt>
                <c:pt idx="43">
                  <c:v>7.8800000000000008</c:v>
                </c:pt>
                <c:pt idx="44">
                  <c:v>7.835</c:v>
                </c:pt>
                <c:pt idx="45">
                  <c:v>7.7949999999999999</c:v>
                </c:pt>
                <c:pt idx="46">
                  <c:v>7.8250000000000002</c:v>
                </c:pt>
                <c:pt idx="47">
                  <c:v>8.06</c:v>
                </c:pt>
                <c:pt idx="48">
                  <c:v>8.27</c:v>
                </c:pt>
                <c:pt idx="49">
                  <c:v>8.2850000000000001</c:v>
                </c:pt>
                <c:pt idx="50">
                  <c:v>8.1950000000000003</c:v>
                </c:pt>
                <c:pt idx="51">
                  <c:v>8.3350000000000009</c:v>
                </c:pt>
                <c:pt idx="52">
                  <c:v>8.4049999999999994</c:v>
                </c:pt>
                <c:pt idx="53">
                  <c:v>8.2199999999999989</c:v>
                </c:pt>
                <c:pt idx="54">
                  <c:v>8.09</c:v>
                </c:pt>
                <c:pt idx="55">
                  <c:v>7.97</c:v>
                </c:pt>
                <c:pt idx="56">
                  <c:v>7.8550000000000004</c:v>
                </c:pt>
                <c:pt idx="57">
                  <c:v>7.7750000000000004</c:v>
                </c:pt>
                <c:pt idx="58">
                  <c:v>7.5649999999999995</c:v>
                </c:pt>
                <c:pt idx="59">
                  <c:v>7.2050000000000001</c:v>
                </c:pt>
                <c:pt idx="60">
                  <c:v>7.04</c:v>
                </c:pt>
                <c:pt idx="61">
                  <c:v>7</c:v>
                </c:pt>
                <c:pt idx="62">
                  <c:v>7.0150000000000006</c:v>
                </c:pt>
                <c:pt idx="63">
                  <c:v>7.1150000000000002</c:v>
                </c:pt>
                <c:pt idx="64">
                  <c:v>7.1550000000000002</c:v>
                </c:pt>
                <c:pt idx="65">
                  <c:v>7.1449999999999996</c:v>
                </c:pt>
                <c:pt idx="66">
                  <c:v>7.04</c:v>
                </c:pt>
                <c:pt idx="67">
                  <c:v>6.8849999999999998</c:v>
                </c:pt>
                <c:pt idx="68">
                  <c:v>6.7200000000000006</c:v>
                </c:pt>
                <c:pt idx="69">
                  <c:v>6.6400000000000006</c:v>
                </c:pt>
                <c:pt idx="70">
                  <c:v>6.8650000000000002</c:v>
                </c:pt>
                <c:pt idx="71">
                  <c:v>7.0350000000000001</c:v>
                </c:pt>
                <c:pt idx="72">
                  <c:v>6.9450000000000003</c:v>
                </c:pt>
                <c:pt idx="73">
                  <c:v>6.9499999999999993</c:v>
                </c:pt>
                <c:pt idx="74">
                  <c:v>7</c:v>
                </c:pt>
                <c:pt idx="75">
                  <c:v>6.9</c:v>
                </c:pt>
                <c:pt idx="76">
                  <c:v>6.73</c:v>
                </c:pt>
                <c:pt idx="77">
                  <c:v>6.57</c:v>
                </c:pt>
                <c:pt idx="78">
                  <c:v>6.3900000000000006</c:v>
                </c:pt>
                <c:pt idx="79">
                  <c:v>6.1899999999999995</c:v>
                </c:pt>
                <c:pt idx="80">
                  <c:v>6.1</c:v>
                </c:pt>
                <c:pt idx="81">
                  <c:v>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8-2A49-A5D9-97576037E761}"/>
            </c:ext>
          </c:extLst>
        </c:ser>
        <c:ser>
          <c:idx val="2"/>
          <c:order val="2"/>
          <c:tx>
            <c:strRef>
              <c:f>'1. MA'!$F$4</c:f>
              <c:strCache>
                <c:ptCount val="1"/>
                <c:pt idx="0">
                  <c:v>4-Month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'1. MA'!$B$5:$B$88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xVal>
          <c:yVal>
            <c:numRef>
              <c:f>'1. MA'!$F$9:$F$88</c:f>
              <c:numCache>
                <c:formatCode>0.00</c:formatCode>
                <c:ptCount val="80"/>
                <c:pt idx="0">
                  <c:v>7.415</c:v>
                </c:pt>
                <c:pt idx="1">
                  <c:v>7.6749999999999998</c:v>
                </c:pt>
                <c:pt idx="2">
                  <c:v>7.9850000000000003</c:v>
                </c:pt>
                <c:pt idx="3">
                  <c:v>8.1425000000000001</c:v>
                </c:pt>
                <c:pt idx="4">
                  <c:v>8.16</c:v>
                </c:pt>
                <c:pt idx="5">
                  <c:v>8.1999999999999993</c:v>
                </c:pt>
                <c:pt idx="6">
                  <c:v>8.1</c:v>
                </c:pt>
                <c:pt idx="7">
                  <c:v>7.9424999999999999</c:v>
                </c:pt>
                <c:pt idx="8">
                  <c:v>7.8424999999999994</c:v>
                </c:pt>
                <c:pt idx="9">
                  <c:v>7.74</c:v>
                </c:pt>
                <c:pt idx="10">
                  <c:v>7.6724999999999994</c:v>
                </c:pt>
                <c:pt idx="11">
                  <c:v>7.7424999999999997</c:v>
                </c:pt>
                <c:pt idx="12">
                  <c:v>7.8775000000000004</c:v>
                </c:pt>
                <c:pt idx="13">
                  <c:v>7.9075000000000006</c:v>
                </c:pt>
                <c:pt idx="14">
                  <c:v>7.9175000000000004</c:v>
                </c:pt>
                <c:pt idx="15">
                  <c:v>7.8175000000000008</c:v>
                </c:pt>
                <c:pt idx="16">
                  <c:v>7.6525000000000007</c:v>
                </c:pt>
                <c:pt idx="17">
                  <c:v>7.5250000000000004</c:v>
                </c:pt>
                <c:pt idx="18">
                  <c:v>7.4249999999999998</c:v>
                </c:pt>
                <c:pt idx="19">
                  <c:v>7.3525</c:v>
                </c:pt>
                <c:pt idx="20">
                  <c:v>7.2575000000000003</c:v>
                </c:pt>
                <c:pt idx="21">
                  <c:v>7.1475000000000009</c:v>
                </c:pt>
                <c:pt idx="22">
                  <c:v>7.0849999999999991</c:v>
                </c:pt>
                <c:pt idx="23">
                  <c:v>7.0649999999999995</c:v>
                </c:pt>
                <c:pt idx="24">
                  <c:v>7.0750000000000002</c:v>
                </c:pt>
                <c:pt idx="25">
                  <c:v>7.1124999999999998</c:v>
                </c:pt>
                <c:pt idx="26">
                  <c:v>7.1025</c:v>
                </c:pt>
                <c:pt idx="27">
                  <c:v>7.0575000000000001</c:v>
                </c:pt>
                <c:pt idx="28">
                  <c:v>7.0024999999999995</c:v>
                </c:pt>
                <c:pt idx="29">
                  <c:v>6.8974999999999991</c:v>
                </c:pt>
                <c:pt idx="30">
                  <c:v>6.8250000000000002</c:v>
                </c:pt>
                <c:pt idx="31">
                  <c:v>6.8050000000000006</c:v>
                </c:pt>
                <c:pt idx="32">
                  <c:v>6.76</c:v>
                </c:pt>
                <c:pt idx="33">
                  <c:v>6.7774999999999999</c:v>
                </c:pt>
                <c:pt idx="34">
                  <c:v>6.8024999999999993</c:v>
                </c:pt>
                <c:pt idx="35">
                  <c:v>6.8449999999999998</c:v>
                </c:pt>
                <c:pt idx="36">
                  <c:v>6.8900000000000006</c:v>
                </c:pt>
                <c:pt idx="37">
                  <c:v>6.98</c:v>
                </c:pt>
                <c:pt idx="38">
                  <c:v>7.165</c:v>
                </c:pt>
                <c:pt idx="39">
                  <c:v>7.3125</c:v>
                </c:pt>
                <c:pt idx="40">
                  <c:v>7.5674999999999999</c:v>
                </c:pt>
                <c:pt idx="41">
                  <c:v>7.7350000000000003</c:v>
                </c:pt>
                <c:pt idx="42">
                  <c:v>7.8100000000000005</c:v>
                </c:pt>
                <c:pt idx="43">
                  <c:v>7.8375000000000004</c:v>
                </c:pt>
                <c:pt idx="44">
                  <c:v>7.83</c:v>
                </c:pt>
                <c:pt idx="45">
                  <c:v>7.9275000000000002</c:v>
                </c:pt>
                <c:pt idx="46">
                  <c:v>8.0474999999999994</c:v>
                </c:pt>
                <c:pt idx="47">
                  <c:v>8.1725000000000012</c:v>
                </c:pt>
                <c:pt idx="48">
                  <c:v>8.2324999999999999</c:v>
                </c:pt>
                <c:pt idx="49">
                  <c:v>8.3099999999999987</c:v>
                </c:pt>
                <c:pt idx="50">
                  <c:v>8.3000000000000007</c:v>
                </c:pt>
                <c:pt idx="51">
                  <c:v>8.2774999999999999</c:v>
                </c:pt>
                <c:pt idx="52">
                  <c:v>8.2475000000000005</c:v>
                </c:pt>
                <c:pt idx="53">
                  <c:v>8.0949999999999989</c:v>
                </c:pt>
                <c:pt idx="54">
                  <c:v>7.9725000000000001</c:v>
                </c:pt>
                <c:pt idx="55">
                  <c:v>7.8724999999999996</c:v>
                </c:pt>
                <c:pt idx="56">
                  <c:v>7.71</c:v>
                </c:pt>
                <c:pt idx="57">
                  <c:v>7.49</c:v>
                </c:pt>
                <c:pt idx="58">
                  <c:v>7.3025000000000002</c:v>
                </c:pt>
                <c:pt idx="59">
                  <c:v>7.1025</c:v>
                </c:pt>
                <c:pt idx="60">
                  <c:v>7.0274999999999999</c:v>
                </c:pt>
                <c:pt idx="61">
                  <c:v>7.0574999999999992</c:v>
                </c:pt>
                <c:pt idx="62">
                  <c:v>7.085</c:v>
                </c:pt>
                <c:pt idx="63">
                  <c:v>7.13</c:v>
                </c:pt>
                <c:pt idx="64">
                  <c:v>7.0975000000000001</c:v>
                </c:pt>
                <c:pt idx="65">
                  <c:v>7.0149999999999997</c:v>
                </c:pt>
                <c:pt idx="66">
                  <c:v>6.88</c:v>
                </c:pt>
                <c:pt idx="67">
                  <c:v>6.7625000000000002</c:v>
                </c:pt>
                <c:pt idx="68">
                  <c:v>6.7925000000000004</c:v>
                </c:pt>
                <c:pt idx="69">
                  <c:v>6.8375000000000004</c:v>
                </c:pt>
                <c:pt idx="70">
                  <c:v>6.9050000000000002</c:v>
                </c:pt>
                <c:pt idx="71">
                  <c:v>6.9924999999999997</c:v>
                </c:pt>
                <c:pt idx="72">
                  <c:v>6.9725000000000001</c:v>
                </c:pt>
                <c:pt idx="73">
                  <c:v>6.9249999999999998</c:v>
                </c:pt>
                <c:pt idx="74">
                  <c:v>6.8650000000000002</c:v>
                </c:pt>
                <c:pt idx="75">
                  <c:v>6.7350000000000012</c:v>
                </c:pt>
                <c:pt idx="76">
                  <c:v>6.5600000000000005</c:v>
                </c:pt>
                <c:pt idx="77">
                  <c:v>6.38</c:v>
                </c:pt>
                <c:pt idx="78">
                  <c:v>6.2450000000000001</c:v>
                </c:pt>
                <c:pt idx="79">
                  <c:v>6.2450000000000001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8-2A49-A5D9-97576037E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22863"/>
        <c:axId val="139028272"/>
      </c:scatterChart>
      <c:valAx>
        <c:axId val="211262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8272"/>
        <c:crosses val="autoZero"/>
        <c:crossBetween val="midCat"/>
      </c:valAx>
      <c:valAx>
        <c:axId val="139028272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22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'2. WMA'!$D$3</c:f>
              <c:strCache>
                <c:ptCount val="1"/>
                <c:pt idx="0">
                  <c:v>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'2. WMA'!$D$4:$D$85</c:f>
              <c:numCache>
                <c:formatCode>0.00</c:formatCode>
                <c:ptCount val="82"/>
                <c:pt idx="0">
                  <c:v>7.03</c:v>
                </c:pt>
                <c:pt idx="1">
                  <c:v>7.08</c:v>
                </c:pt>
                <c:pt idx="2">
                  <c:v>7.62</c:v>
                </c:pt>
                <c:pt idx="3">
                  <c:v>7.93</c:v>
                </c:pt>
                <c:pt idx="4">
                  <c:v>8.07</c:v>
                </c:pt>
                <c:pt idx="5">
                  <c:v>8.32</c:v>
                </c:pt>
                <c:pt idx="6">
                  <c:v>8.25</c:v>
                </c:pt>
                <c:pt idx="7">
                  <c:v>8</c:v>
                </c:pt>
                <c:pt idx="8">
                  <c:v>8.23</c:v>
                </c:pt>
                <c:pt idx="9">
                  <c:v>7.92</c:v>
                </c:pt>
                <c:pt idx="10">
                  <c:v>7.62</c:v>
                </c:pt>
                <c:pt idx="11">
                  <c:v>7.6</c:v>
                </c:pt>
                <c:pt idx="12">
                  <c:v>7.82</c:v>
                </c:pt>
                <c:pt idx="13">
                  <c:v>7.65</c:v>
                </c:pt>
                <c:pt idx="14">
                  <c:v>7.9</c:v>
                </c:pt>
                <c:pt idx="15">
                  <c:v>8.14</c:v>
                </c:pt>
                <c:pt idx="16">
                  <c:v>7.94</c:v>
                </c:pt>
                <c:pt idx="17">
                  <c:v>7.69</c:v>
                </c:pt>
                <c:pt idx="18">
                  <c:v>7.5</c:v>
                </c:pt>
                <c:pt idx="19">
                  <c:v>7.48</c:v>
                </c:pt>
                <c:pt idx="20">
                  <c:v>7.43</c:v>
                </c:pt>
                <c:pt idx="21">
                  <c:v>7.29</c:v>
                </c:pt>
                <c:pt idx="22">
                  <c:v>7.21</c:v>
                </c:pt>
                <c:pt idx="23">
                  <c:v>7.1</c:v>
                </c:pt>
                <c:pt idx="24">
                  <c:v>6.99</c:v>
                </c:pt>
                <c:pt idx="25">
                  <c:v>7.04</c:v>
                </c:pt>
                <c:pt idx="26">
                  <c:v>7.13</c:v>
                </c:pt>
                <c:pt idx="27">
                  <c:v>7.14</c:v>
                </c:pt>
                <c:pt idx="28">
                  <c:v>7.14</c:v>
                </c:pt>
                <c:pt idx="29">
                  <c:v>7</c:v>
                </c:pt>
                <c:pt idx="30">
                  <c:v>6.95</c:v>
                </c:pt>
                <c:pt idx="31">
                  <c:v>6.92</c:v>
                </c:pt>
                <c:pt idx="32">
                  <c:v>6.72</c:v>
                </c:pt>
                <c:pt idx="33">
                  <c:v>6.71</c:v>
                </c:pt>
                <c:pt idx="34">
                  <c:v>6.87</c:v>
                </c:pt>
                <c:pt idx="35">
                  <c:v>6.74</c:v>
                </c:pt>
                <c:pt idx="36">
                  <c:v>6.79</c:v>
                </c:pt>
                <c:pt idx="37">
                  <c:v>6.81</c:v>
                </c:pt>
                <c:pt idx="38">
                  <c:v>7.04</c:v>
                </c:pt>
                <c:pt idx="39">
                  <c:v>6.92</c:v>
                </c:pt>
                <c:pt idx="40">
                  <c:v>7.15</c:v>
                </c:pt>
                <c:pt idx="41">
                  <c:v>7.55</c:v>
                </c:pt>
                <c:pt idx="42">
                  <c:v>7.63</c:v>
                </c:pt>
                <c:pt idx="43">
                  <c:v>7.94</c:v>
                </c:pt>
                <c:pt idx="44">
                  <c:v>7.82</c:v>
                </c:pt>
                <c:pt idx="45">
                  <c:v>7.85</c:v>
                </c:pt>
                <c:pt idx="46">
                  <c:v>7.74</c:v>
                </c:pt>
                <c:pt idx="47">
                  <c:v>7.91</c:v>
                </c:pt>
                <c:pt idx="48">
                  <c:v>8.2100000000000009</c:v>
                </c:pt>
                <c:pt idx="49">
                  <c:v>8.33</c:v>
                </c:pt>
                <c:pt idx="50">
                  <c:v>8.24</c:v>
                </c:pt>
                <c:pt idx="51">
                  <c:v>8.15</c:v>
                </c:pt>
                <c:pt idx="52">
                  <c:v>8.52</c:v>
                </c:pt>
                <c:pt idx="53">
                  <c:v>8.2899999999999991</c:v>
                </c:pt>
                <c:pt idx="54">
                  <c:v>8.15</c:v>
                </c:pt>
                <c:pt idx="55">
                  <c:v>8.0299999999999994</c:v>
                </c:pt>
                <c:pt idx="56">
                  <c:v>7.91</c:v>
                </c:pt>
                <c:pt idx="57">
                  <c:v>7.8</c:v>
                </c:pt>
                <c:pt idx="58">
                  <c:v>7.75</c:v>
                </c:pt>
                <c:pt idx="59">
                  <c:v>7.38</c:v>
                </c:pt>
                <c:pt idx="60">
                  <c:v>7.03</c:v>
                </c:pt>
                <c:pt idx="61">
                  <c:v>7.05</c:v>
                </c:pt>
                <c:pt idx="62">
                  <c:v>6.95</c:v>
                </c:pt>
                <c:pt idx="63">
                  <c:v>7.08</c:v>
                </c:pt>
                <c:pt idx="64">
                  <c:v>7.15</c:v>
                </c:pt>
                <c:pt idx="65">
                  <c:v>7.16</c:v>
                </c:pt>
                <c:pt idx="66">
                  <c:v>7.13</c:v>
                </c:pt>
                <c:pt idx="67">
                  <c:v>6.95</c:v>
                </c:pt>
                <c:pt idx="68">
                  <c:v>6.82</c:v>
                </c:pt>
                <c:pt idx="69">
                  <c:v>6.62</c:v>
                </c:pt>
                <c:pt idx="70">
                  <c:v>6.66</c:v>
                </c:pt>
                <c:pt idx="71">
                  <c:v>7.07</c:v>
                </c:pt>
                <c:pt idx="72">
                  <c:v>7</c:v>
                </c:pt>
                <c:pt idx="73">
                  <c:v>6.89</c:v>
                </c:pt>
                <c:pt idx="74">
                  <c:v>7.01</c:v>
                </c:pt>
                <c:pt idx="75">
                  <c:v>6.99</c:v>
                </c:pt>
                <c:pt idx="76">
                  <c:v>6.81</c:v>
                </c:pt>
                <c:pt idx="77">
                  <c:v>6.65</c:v>
                </c:pt>
                <c:pt idx="78">
                  <c:v>6.49</c:v>
                </c:pt>
                <c:pt idx="79">
                  <c:v>6.29</c:v>
                </c:pt>
                <c:pt idx="80">
                  <c:v>6.09</c:v>
                </c:pt>
                <c:pt idx="81">
                  <c:v>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6-2946-B22F-01F248CAD04F}"/>
            </c:ext>
          </c:extLst>
        </c:ser>
        <c:ser>
          <c:idx val="2"/>
          <c:order val="1"/>
          <c:tx>
            <c:strRef>
              <c:f>'2. WMA'!$E$3</c:f>
              <c:strCache>
                <c:ptCount val="1"/>
                <c:pt idx="0">
                  <c:v>4-Period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'2. WMA'!$E$9:$E$87</c:f>
              <c:numCache>
                <c:formatCode>0.00</c:formatCode>
                <c:ptCount val="79"/>
                <c:pt idx="0">
                  <c:v>8.07</c:v>
                </c:pt>
                <c:pt idx="1">
                  <c:v>8.32</c:v>
                </c:pt>
                <c:pt idx="2">
                  <c:v>8.25</c:v>
                </c:pt>
                <c:pt idx="3">
                  <c:v>8</c:v>
                </c:pt>
                <c:pt idx="4">
                  <c:v>8.23</c:v>
                </c:pt>
                <c:pt idx="5">
                  <c:v>7.92</c:v>
                </c:pt>
                <c:pt idx="6">
                  <c:v>7.62</c:v>
                </c:pt>
                <c:pt idx="7">
                  <c:v>7.6</c:v>
                </c:pt>
                <c:pt idx="8">
                  <c:v>7.82</c:v>
                </c:pt>
                <c:pt idx="9">
                  <c:v>7.65</c:v>
                </c:pt>
                <c:pt idx="10">
                  <c:v>7.9</c:v>
                </c:pt>
                <c:pt idx="11">
                  <c:v>8.14</c:v>
                </c:pt>
                <c:pt idx="12">
                  <c:v>7.94</c:v>
                </c:pt>
                <c:pt idx="13">
                  <c:v>7.69</c:v>
                </c:pt>
                <c:pt idx="14">
                  <c:v>7.5</c:v>
                </c:pt>
                <c:pt idx="15">
                  <c:v>7.48</c:v>
                </c:pt>
                <c:pt idx="16">
                  <c:v>7.43</c:v>
                </c:pt>
                <c:pt idx="17">
                  <c:v>7.29</c:v>
                </c:pt>
                <c:pt idx="18">
                  <c:v>7.21</c:v>
                </c:pt>
                <c:pt idx="19">
                  <c:v>7.1</c:v>
                </c:pt>
                <c:pt idx="20">
                  <c:v>6.99</c:v>
                </c:pt>
                <c:pt idx="21">
                  <c:v>7.04</c:v>
                </c:pt>
                <c:pt idx="22">
                  <c:v>7.13</c:v>
                </c:pt>
                <c:pt idx="23">
                  <c:v>7.14</c:v>
                </c:pt>
                <c:pt idx="24">
                  <c:v>7.14</c:v>
                </c:pt>
                <c:pt idx="25">
                  <c:v>7</c:v>
                </c:pt>
                <c:pt idx="26">
                  <c:v>6.95</c:v>
                </c:pt>
                <c:pt idx="27">
                  <c:v>6.92</c:v>
                </c:pt>
                <c:pt idx="28">
                  <c:v>6.72</c:v>
                </c:pt>
                <c:pt idx="29">
                  <c:v>6.71</c:v>
                </c:pt>
                <c:pt idx="30">
                  <c:v>6.87</c:v>
                </c:pt>
                <c:pt idx="31">
                  <c:v>6.74</c:v>
                </c:pt>
                <c:pt idx="32">
                  <c:v>6.79</c:v>
                </c:pt>
                <c:pt idx="33">
                  <c:v>6.81</c:v>
                </c:pt>
                <c:pt idx="34">
                  <c:v>7.04</c:v>
                </c:pt>
                <c:pt idx="35">
                  <c:v>6.92</c:v>
                </c:pt>
                <c:pt idx="36">
                  <c:v>7.15</c:v>
                </c:pt>
                <c:pt idx="37">
                  <c:v>7.55</c:v>
                </c:pt>
                <c:pt idx="38">
                  <c:v>7.63</c:v>
                </c:pt>
                <c:pt idx="39">
                  <c:v>7.94</c:v>
                </c:pt>
                <c:pt idx="40">
                  <c:v>7.82</c:v>
                </c:pt>
                <c:pt idx="41">
                  <c:v>7.85</c:v>
                </c:pt>
                <c:pt idx="42">
                  <c:v>7.74</c:v>
                </c:pt>
                <c:pt idx="43">
                  <c:v>7.91</c:v>
                </c:pt>
                <c:pt idx="44">
                  <c:v>8.2100000000000009</c:v>
                </c:pt>
                <c:pt idx="45">
                  <c:v>8.33</c:v>
                </c:pt>
                <c:pt idx="46">
                  <c:v>8.24</c:v>
                </c:pt>
                <c:pt idx="47">
                  <c:v>8.15</c:v>
                </c:pt>
                <c:pt idx="48">
                  <c:v>8.52</c:v>
                </c:pt>
                <c:pt idx="49">
                  <c:v>8.2899999999999991</c:v>
                </c:pt>
                <c:pt idx="50">
                  <c:v>8.15</c:v>
                </c:pt>
                <c:pt idx="51">
                  <c:v>8.0299999999999994</c:v>
                </c:pt>
                <c:pt idx="52">
                  <c:v>7.91</c:v>
                </c:pt>
                <c:pt idx="53">
                  <c:v>7.8</c:v>
                </c:pt>
                <c:pt idx="54">
                  <c:v>7.75</c:v>
                </c:pt>
                <c:pt idx="55">
                  <c:v>7.38</c:v>
                </c:pt>
                <c:pt idx="56">
                  <c:v>7.03</c:v>
                </c:pt>
                <c:pt idx="57">
                  <c:v>7.05</c:v>
                </c:pt>
                <c:pt idx="58">
                  <c:v>6.95</c:v>
                </c:pt>
                <c:pt idx="59">
                  <c:v>7.08</c:v>
                </c:pt>
                <c:pt idx="60">
                  <c:v>7.15</c:v>
                </c:pt>
                <c:pt idx="61">
                  <c:v>7.16</c:v>
                </c:pt>
                <c:pt idx="62">
                  <c:v>7.13</c:v>
                </c:pt>
                <c:pt idx="63">
                  <c:v>6.95</c:v>
                </c:pt>
                <c:pt idx="64">
                  <c:v>6.82</c:v>
                </c:pt>
                <c:pt idx="65">
                  <c:v>6.62</c:v>
                </c:pt>
                <c:pt idx="66">
                  <c:v>6.66</c:v>
                </c:pt>
                <c:pt idx="67">
                  <c:v>7.07</c:v>
                </c:pt>
                <c:pt idx="68">
                  <c:v>7</c:v>
                </c:pt>
                <c:pt idx="69">
                  <c:v>6.89</c:v>
                </c:pt>
                <c:pt idx="70">
                  <c:v>7.01</c:v>
                </c:pt>
                <c:pt idx="71">
                  <c:v>6.99</c:v>
                </c:pt>
                <c:pt idx="72">
                  <c:v>6.81</c:v>
                </c:pt>
                <c:pt idx="73">
                  <c:v>6.65</c:v>
                </c:pt>
                <c:pt idx="74">
                  <c:v>6.49</c:v>
                </c:pt>
                <c:pt idx="75">
                  <c:v>6.29</c:v>
                </c:pt>
                <c:pt idx="76">
                  <c:v>6.09</c:v>
                </c:pt>
                <c:pt idx="77">
                  <c:v>6.11</c:v>
                </c:pt>
                <c:pt idx="78">
                  <c:v>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6-2946-B22F-01F248CAD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03840"/>
        <c:axId val="379827392"/>
      </c:scatterChart>
      <c:valAx>
        <c:axId val="25780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27392"/>
        <c:crosses val="autoZero"/>
        <c:crossBetween val="midCat"/>
      </c:valAx>
      <c:valAx>
        <c:axId val="379827392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0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'6. Linear'!$D$2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 Linear'!$C$3:$C$18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'6. Linear'!$D$2:$D$14</c:f>
              <c:numCache>
                <c:formatCode>0</c:formatCode>
                <c:ptCount val="13"/>
                <c:pt idx="0" formatCode="General">
                  <c:v>0</c:v>
                </c:pt>
                <c:pt idx="1">
                  <c:v>23</c:v>
                </c:pt>
                <c:pt idx="2">
                  <c:v>25</c:v>
                </c:pt>
                <c:pt idx="3">
                  <c:v>36</c:v>
                </c:pt>
                <c:pt idx="4">
                  <c:v>31</c:v>
                </c:pt>
                <c:pt idx="5">
                  <c:v>26</c:v>
                </c:pt>
                <c:pt idx="6">
                  <c:v>28</c:v>
                </c:pt>
                <c:pt idx="7">
                  <c:v>48</c:v>
                </c:pt>
                <c:pt idx="8">
                  <c:v>36</c:v>
                </c:pt>
                <c:pt idx="9">
                  <c:v>31</c:v>
                </c:pt>
                <c:pt idx="10">
                  <c:v>42</c:v>
                </c:pt>
                <c:pt idx="11">
                  <c:v>53</c:v>
                </c:pt>
                <c:pt idx="12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7-F64D-8042-B5AA42FCE579}"/>
            </c:ext>
          </c:extLst>
        </c:ser>
        <c:ser>
          <c:idx val="1"/>
          <c:order val="1"/>
          <c:tx>
            <c:strRef>
              <c:f>'6. Linear'!$G$2</c:f>
              <c:strCache>
                <c:ptCount val="1"/>
                <c:pt idx="0">
                  <c:v>Forecast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737541409336858E-2"/>
                  <c:y val="-9.59312145451882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'6. Linear'!$C$3:$C$18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'6. Linear'!$G$3:$G$18</c:f>
              <c:numCache>
                <c:formatCode>0.0</c:formatCode>
                <c:ptCount val="16"/>
                <c:pt idx="0">
                  <c:v>20.478448938674632</c:v>
                </c:pt>
                <c:pt idx="1">
                  <c:v>24.262601620881956</c:v>
                </c:pt>
                <c:pt idx="2">
                  <c:v>35.847119351327535</c:v>
                </c:pt>
                <c:pt idx="3">
                  <c:v>29.269421953408266</c:v>
                </c:pt>
                <c:pt idx="4">
                  <c:v>27.120426339208965</c:v>
                </c:pt>
                <c:pt idx="5">
                  <c:v>31.541704762427639</c:v>
                </c:pt>
                <c:pt idx="6">
                  <c:v>45.851379124936244</c:v>
                </c:pt>
                <c:pt idx="7">
                  <c:v>36.905217650924641</c:v>
                </c:pt>
                <c:pt idx="8">
                  <c:v>33.762403739743291</c:v>
                </c:pt>
                <c:pt idx="9">
                  <c:v>38.820807903973318</c:v>
                </c:pt>
                <c:pt idx="10">
                  <c:v>55.855638898544946</c:v>
                </c:pt>
                <c:pt idx="11">
                  <c:v>44.541013348441005</c:v>
                </c:pt>
                <c:pt idx="12">
                  <c:v>40.404381140277629</c:v>
                </c:pt>
                <c:pt idx="13">
                  <c:v>46.099911045519008</c:v>
                </c:pt>
                <c:pt idx="14">
                  <c:v>65.859898672153648</c:v>
                </c:pt>
                <c:pt idx="15">
                  <c:v>52.17680904595737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07-F64D-8042-B5AA42FCE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524111"/>
        <c:axId val="383356704"/>
      </c:scatterChart>
      <c:valAx>
        <c:axId val="286524111"/>
        <c:scaling>
          <c:orientation val="minMax"/>
          <c:max val="16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6704"/>
        <c:crosses val="autoZero"/>
        <c:crossBetween val="midCat"/>
      </c:valAx>
      <c:valAx>
        <c:axId val="3833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2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'7. Quad'!$E$2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'7. Quad'!$E$3:$E$14</c:f>
              <c:numCache>
                <c:formatCode>0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36</c:v>
                </c:pt>
                <c:pt idx="3">
                  <c:v>31</c:v>
                </c:pt>
                <c:pt idx="4">
                  <c:v>26</c:v>
                </c:pt>
                <c:pt idx="5">
                  <c:v>28</c:v>
                </c:pt>
                <c:pt idx="6">
                  <c:v>48</c:v>
                </c:pt>
                <c:pt idx="7">
                  <c:v>36</c:v>
                </c:pt>
                <c:pt idx="8">
                  <c:v>31</c:v>
                </c:pt>
                <c:pt idx="9">
                  <c:v>42</c:v>
                </c:pt>
                <c:pt idx="10">
                  <c:v>53</c:v>
                </c:pt>
                <c:pt idx="1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93-4247-8D87-E53BCD3A8631}"/>
            </c:ext>
          </c:extLst>
        </c:ser>
        <c:ser>
          <c:idx val="2"/>
          <c:order val="1"/>
          <c:tx>
            <c:strRef>
              <c:f>'7. Quad'!$H$2</c:f>
              <c:strCache>
                <c:ptCount val="1"/>
                <c:pt idx="0">
                  <c:v>Forecast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29774258809147"/>
                  <c:y val="-0.169463696070249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'7. Quad'!$H$3:$H$18</c:f>
              <c:numCache>
                <c:formatCode>0.00</c:formatCode>
                <c:ptCount val="16"/>
                <c:pt idx="0">
                  <c:v>20.938364371719757</c:v>
                </c:pt>
                <c:pt idx="1">
                  <c:v>24.535665459015306</c:v>
                </c:pt>
                <c:pt idx="2">
                  <c:v>35.928658117644666</c:v>
                </c:pt>
                <c:pt idx="3">
                  <c:v>29.094262366898967</c:v>
                </c:pt>
                <c:pt idx="4">
                  <c:v>26.69235480472533</c:v>
                </c:pt>
                <c:pt idx="5">
                  <c:v>31.139826473149832</c:v>
                </c:pt>
                <c:pt idx="6">
                  <c:v>45.395393049331418</c:v>
                </c:pt>
                <c:pt idx="7">
                  <c:v>36.595278113521282</c:v>
                </c:pt>
                <c:pt idx="8">
                  <c:v>33.424038113167413</c:v>
                </c:pt>
                <c:pt idx="9">
                  <c:v>38.820412279987281</c:v>
                </c:pt>
                <c:pt idx="10">
                  <c:v>56.344716664339472</c:v>
                </c:pt>
                <c:pt idx="11">
                  <c:v>45.226769523634566</c:v>
                </c:pt>
                <c:pt idx="12">
                  <c:v>41.133414297046002</c:v>
                </c:pt>
                <c:pt idx="13">
                  <c:v>47.57742287952766</c:v>
                </c:pt>
                <c:pt idx="14">
                  <c:v>68.776628962668823</c:v>
                </c:pt>
                <c:pt idx="15">
                  <c:v>54.988736597238791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93-4247-8D87-E53BCD3A8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67647"/>
        <c:axId val="509289247"/>
      </c:scatterChart>
      <c:valAx>
        <c:axId val="508767647"/>
        <c:scaling>
          <c:orientation val="minMax"/>
          <c:max val="16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289247"/>
        <c:crosses val="autoZero"/>
        <c:crossBetween val="midCat"/>
      </c:valAx>
      <c:valAx>
        <c:axId val="50928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6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'9.  HW -Mult.'!$D$1</c:f>
              <c:strCache>
                <c:ptCount val="1"/>
                <c:pt idx="0">
                  <c:v>Units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'9.  HW -Mult.'!$C$2:$C$14</c:f>
              <c:strCache>
                <c:ptCount val="13"/>
                <c:pt idx="0">
                  <c:v>Time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xVal>
          <c:yVal>
            <c:numRef>
              <c:f>'9.  HW -Mult.'!$D$3:$D$14</c:f>
              <c:numCache>
                <c:formatCode>0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36</c:v>
                </c:pt>
                <c:pt idx="3">
                  <c:v>31</c:v>
                </c:pt>
                <c:pt idx="4">
                  <c:v>26</c:v>
                </c:pt>
                <c:pt idx="5">
                  <c:v>28</c:v>
                </c:pt>
                <c:pt idx="6">
                  <c:v>48</c:v>
                </c:pt>
                <c:pt idx="7">
                  <c:v>36</c:v>
                </c:pt>
                <c:pt idx="8">
                  <c:v>31</c:v>
                </c:pt>
                <c:pt idx="9">
                  <c:v>42</c:v>
                </c:pt>
                <c:pt idx="10">
                  <c:v>53</c:v>
                </c:pt>
                <c:pt idx="1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62-6041-9581-BA462EB3B56C}"/>
            </c:ext>
          </c:extLst>
        </c:ser>
        <c:ser>
          <c:idx val="2"/>
          <c:order val="1"/>
          <c:tx>
            <c:strRef>
              <c:f>'9.  HW -Mult.'!$H$1:$H$2</c:f>
              <c:strCache>
                <c:ptCount val="2"/>
                <c:pt idx="0">
                  <c:v>Seasonal</c:v>
                </c:pt>
                <c:pt idx="1">
                  <c:v>Forecast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'9.  HW -Mult.'!$C$14:$C$18</c:f>
              <c:numCache>
                <c:formatCode>0</c:formatCode>
                <c:ptCount val="5"/>
                <c:pt idx="0" formatCode="General">
                  <c:v>12</c:v>
                </c:pt>
                <c:pt idx="1">
                  <c:v>13</c:v>
                </c:pt>
                <c:pt idx="2" formatCode="General">
                  <c:v>14</c:v>
                </c:pt>
                <c:pt idx="3" formatCode="General">
                  <c:v>15</c:v>
                </c:pt>
                <c:pt idx="4" formatCode="General">
                  <c:v>16</c:v>
                </c:pt>
              </c:numCache>
            </c:numRef>
          </c:xVal>
          <c:yVal>
            <c:numRef>
              <c:f>'9.  HW -Mult.'!$H$15:$H$18</c:f>
              <c:numCache>
                <c:formatCode>0</c:formatCode>
                <c:ptCount val="4"/>
                <c:pt idx="0">
                  <c:v>43.74941924659074</c:v>
                </c:pt>
                <c:pt idx="1">
                  <c:v>45.436671808327517</c:v>
                </c:pt>
                <c:pt idx="2">
                  <c:v>48.521958207650258</c:v>
                </c:pt>
                <c:pt idx="3">
                  <c:v>48.867623507006158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62-6041-9581-BA462EB3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23280"/>
        <c:axId val="1947463167"/>
      </c:scatterChart>
      <c:valAx>
        <c:axId val="13732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63167"/>
        <c:crosses val="autoZero"/>
        <c:crossBetween val="midCat"/>
      </c:valAx>
      <c:valAx>
        <c:axId val="194746316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23280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'10. Reg.'!$G$1:$G$2</c:f>
              <c:strCache>
                <c:ptCount val="2"/>
                <c:pt idx="0">
                  <c:v>Units</c:v>
                </c:pt>
                <c:pt idx="1">
                  <c:v>Sold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'10. Reg.'!$G$3:$G$14</c:f>
              <c:numCache>
                <c:formatCode>0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36</c:v>
                </c:pt>
                <c:pt idx="3">
                  <c:v>31</c:v>
                </c:pt>
                <c:pt idx="4">
                  <c:v>26</c:v>
                </c:pt>
                <c:pt idx="5">
                  <c:v>28</c:v>
                </c:pt>
                <c:pt idx="6">
                  <c:v>48</c:v>
                </c:pt>
                <c:pt idx="7">
                  <c:v>36</c:v>
                </c:pt>
                <c:pt idx="8">
                  <c:v>31</c:v>
                </c:pt>
                <c:pt idx="9">
                  <c:v>42</c:v>
                </c:pt>
                <c:pt idx="10">
                  <c:v>53</c:v>
                </c:pt>
                <c:pt idx="1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F-FA47-8477-776BA9B8C967}"/>
            </c:ext>
          </c:extLst>
        </c:ser>
        <c:ser>
          <c:idx val="2"/>
          <c:order val="1"/>
          <c:tx>
            <c:strRef>
              <c:f>'10. Reg.'!$H$2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16295025728988"/>
                  <c:y val="3.93942562158983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'10. Reg.'!$H$3:$H$18</c:f>
              <c:numCache>
                <c:formatCode>0.00</c:formatCode>
                <c:ptCount val="16"/>
                <c:pt idx="0">
                  <c:v>19.916666666666668</c:v>
                </c:pt>
                <c:pt idx="1">
                  <c:v>24.916666666666668</c:v>
                </c:pt>
                <c:pt idx="2">
                  <c:v>38.916666666666664</c:v>
                </c:pt>
                <c:pt idx="3">
                  <c:v>29.916666666666664</c:v>
                </c:pt>
                <c:pt idx="4">
                  <c:v>26.666666666666664</c:v>
                </c:pt>
                <c:pt idx="5">
                  <c:v>31.666666666666664</c:v>
                </c:pt>
                <c:pt idx="6">
                  <c:v>45.666666666666664</c:v>
                </c:pt>
                <c:pt idx="7">
                  <c:v>36.666666666666664</c:v>
                </c:pt>
                <c:pt idx="8">
                  <c:v>33.416666666666664</c:v>
                </c:pt>
                <c:pt idx="9">
                  <c:v>38.416666666666664</c:v>
                </c:pt>
                <c:pt idx="10">
                  <c:v>52.416666666666657</c:v>
                </c:pt>
                <c:pt idx="11">
                  <c:v>43.416666666666657</c:v>
                </c:pt>
                <c:pt idx="12">
                  <c:v>40.166666666666664</c:v>
                </c:pt>
                <c:pt idx="13">
                  <c:v>45.166666666666664</c:v>
                </c:pt>
                <c:pt idx="14">
                  <c:v>59.166666666666664</c:v>
                </c:pt>
                <c:pt idx="15">
                  <c:v>50.166666666666657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AF-FA47-8477-776BA9B8C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685199"/>
        <c:axId val="258300496"/>
      </c:scatterChart>
      <c:valAx>
        <c:axId val="2045685199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300496"/>
        <c:crosses val="autoZero"/>
        <c:crossBetween val="midCat"/>
      </c:valAx>
      <c:valAx>
        <c:axId val="258300496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8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49" name="AutoShape 1" descr="invisibl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50" name="AutoShape 2" descr="invisibl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51" name="AutoShape 3" descr="invisibl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52" name="AutoShape 4" descr="invisibl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53" name="AutoShape 5" descr="invisibl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28575</xdr:colOff>
      <xdr:row>3</xdr:row>
      <xdr:rowOff>28575</xdr:rowOff>
    </xdr:to>
    <xdr:sp macro="" textlink="">
      <xdr:nvSpPr>
        <xdr:cNvPr id="1054" name="AutoShape 6" descr="invisibl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485775"/>
          <a:ext cx="285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222250</xdr:colOff>
      <xdr:row>5</xdr:row>
      <xdr:rowOff>38101</xdr:rowOff>
    </xdr:from>
    <xdr:to>
      <xdr:col>14</xdr:col>
      <xdr:colOff>25400</xdr:colOff>
      <xdr:row>22</xdr:row>
      <xdr:rowOff>60325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3E596-8B5C-AF5A-0121-4C8C8E8C5495}"/>
            </a:ext>
          </a:extLst>
        </xdr:cNvPr>
        <xdr:cNvSpPr txBox="1"/>
      </xdr:nvSpPr>
      <xdr:spPr>
        <a:xfrm>
          <a:off x="5772150" y="889001"/>
          <a:ext cx="3841750" cy="28289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following columns contains montly</a:t>
          </a:r>
          <a:r>
            <a:rPr lang="en-US" sz="1100" baseline="0"/>
            <a:t> data on the average monthly 30-yr mortgage rates over 82 consecutive months .</a:t>
          </a:r>
          <a:br>
            <a:rPr lang="en-US" sz="1100" baseline="0"/>
          </a:br>
          <a:br>
            <a:rPr lang="en-US" sz="1100" baseline="0"/>
          </a:br>
          <a:r>
            <a:rPr lang="en-US" sz="1100" baseline="0"/>
            <a:t>A) Compute the 2 period and 4 period moving average predictions for this data set</a:t>
          </a:r>
        </a:p>
        <a:p>
          <a:r>
            <a:rPr lang="en-US" sz="1100" baseline="0"/>
            <a:t>B) Compute the MSE for each of the two predictions.  Highlight in Yellow the predictions that appears to best fit the data set.</a:t>
          </a:r>
        </a:p>
        <a:p>
          <a:r>
            <a:rPr lang="en-US" sz="1100" baseline="0"/>
            <a:t>C) Compute forecasts for the next 2 months using the 2 and 4 period moving average techniques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 Create a line graph of the data and the predictions.  Does the actual data appear stationary or nonstationary?</a:t>
          </a:r>
        </a:p>
        <a:p>
          <a:r>
            <a:rPr lang="en-US" sz="1100" baseline="0"/>
            <a:t>Ans:- Non-Stationary</a:t>
          </a:r>
        </a:p>
        <a:p>
          <a:endParaRPr lang="en-US" sz="1100" baseline="0"/>
        </a:p>
        <a:p>
          <a:br>
            <a:rPr lang="en-US" sz="1100" baseline="0"/>
          </a:br>
          <a:endParaRPr lang="en-US" sz="1100"/>
        </a:p>
      </xdr:txBody>
    </xdr:sp>
    <xdr:clientData/>
  </xdr:twoCellAnchor>
  <xdr:twoCellAnchor>
    <xdr:from>
      <xdr:col>8</xdr:col>
      <xdr:colOff>138544</xdr:colOff>
      <xdr:row>23</xdr:row>
      <xdr:rowOff>111990</xdr:rowOff>
    </xdr:from>
    <xdr:to>
      <xdr:col>21</xdr:col>
      <xdr:colOff>438727</xdr:colOff>
      <xdr:row>56</xdr:row>
      <xdr:rowOff>69272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6C85EA-3D9A-AA2D-16EE-CB54CEC3B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2" name="AutoShape 1" descr="invisible">
          <a:extLst>
            <a:ext uri="{FF2B5EF4-FFF2-40B4-BE49-F238E27FC236}">
              <a16:creationId xmlns:a16="http://schemas.microsoft.com/office/drawing/2014/main" id="{F92B9523-7984-4F81-A072-81C612847C0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3" name="AutoShape 2" descr="invisible">
          <a:extLst>
            <a:ext uri="{FF2B5EF4-FFF2-40B4-BE49-F238E27FC236}">
              <a16:creationId xmlns:a16="http://schemas.microsoft.com/office/drawing/2014/main" id="{2D8BF7D6-C5DB-4B13-8981-5B55D10440B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4" name="AutoShape 3" descr="invisible">
          <a:extLst>
            <a:ext uri="{FF2B5EF4-FFF2-40B4-BE49-F238E27FC236}">
              <a16:creationId xmlns:a16="http://schemas.microsoft.com/office/drawing/2014/main" id="{A6BFC32D-01C4-4E6A-B1F8-0208EA717BB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5" name="AutoShape 4" descr="invisible">
          <a:extLst>
            <a:ext uri="{FF2B5EF4-FFF2-40B4-BE49-F238E27FC236}">
              <a16:creationId xmlns:a16="http://schemas.microsoft.com/office/drawing/2014/main" id="{98BD0E08-D86A-40EA-82F0-C5176E275CE8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6" name="AutoShape 5" descr="invisible">
          <a:extLst>
            <a:ext uri="{FF2B5EF4-FFF2-40B4-BE49-F238E27FC236}">
              <a16:creationId xmlns:a16="http://schemas.microsoft.com/office/drawing/2014/main" id="{FD1F45A3-C9D4-450A-BB87-9FD834356263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28575</xdr:colOff>
      <xdr:row>2</xdr:row>
      <xdr:rowOff>28575</xdr:rowOff>
    </xdr:to>
    <xdr:sp macro="" textlink="">
      <xdr:nvSpPr>
        <xdr:cNvPr id="7" name="AutoShape 6" descr="invisible">
          <a:extLst>
            <a:ext uri="{FF2B5EF4-FFF2-40B4-BE49-F238E27FC236}">
              <a16:creationId xmlns:a16="http://schemas.microsoft.com/office/drawing/2014/main" id="{F85D4D5D-E2E0-4EC7-9600-7C2C5E3748C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323850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</xdr:row>
      <xdr:rowOff>57150</xdr:rowOff>
    </xdr:from>
    <xdr:to>
      <xdr:col>14</xdr:col>
      <xdr:colOff>314325</xdr:colOff>
      <xdr:row>9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3271DB-9C8A-52B0-D391-0131ACB72240}"/>
            </a:ext>
          </a:extLst>
        </xdr:cNvPr>
        <xdr:cNvSpPr txBox="1"/>
      </xdr:nvSpPr>
      <xdr:spPr>
        <a:xfrm>
          <a:off x="4876800" y="552450"/>
          <a:ext cx="397192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</a:t>
          </a:r>
          <a:r>
            <a:rPr lang="en-US" sz="1100" baseline="0"/>
            <a:t> Solver to determine the weights for a four-period weighted moving average on the data set that minimizes the MSE.</a:t>
          </a:r>
          <a:br>
            <a:rPr lang="en-US" sz="1100" baseline="0"/>
          </a:br>
          <a:r>
            <a:rPr lang="en-US" sz="1100" baseline="0"/>
            <a:t>A) What are the optimal value for the weights?</a:t>
          </a:r>
          <a:br>
            <a:rPr lang="en-US" sz="1100" baseline="0"/>
          </a:br>
          <a:r>
            <a:rPr lang="en-US" sz="1100" baseline="0"/>
            <a:t>B) What are the forecasts for the next 2 months?</a:t>
          </a:r>
          <a:endParaRPr lang="en-US" sz="1100"/>
        </a:p>
      </xdr:txBody>
    </xdr:sp>
    <xdr:clientData/>
  </xdr:twoCellAnchor>
  <xdr:twoCellAnchor>
    <xdr:from>
      <xdr:col>6</xdr:col>
      <xdr:colOff>641350</xdr:colOff>
      <xdr:row>13</xdr:row>
      <xdr:rowOff>146050</xdr:rowOff>
    </xdr:from>
    <xdr:to>
      <xdr:col>18</xdr:col>
      <xdr:colOff>190500</xdr:colOff>
      <xdr:row>40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EA47E9-E1B5-DA10-463C-E6F3697E5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85725</xdr:rowOff>
    </xdr:from>
    <xdr:to>
      <xdr:col>12</xdr:col>
      <xdr:colOff>257175</xdr:colOff>
      <xdr:row>11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0BDD81-50A2-4B70-B6AB-DDE73AFFCCFE}"/>
            </a:ext>
          </a:extLst>
        </xdr:cNvPr>
        <xdr:cNvSpPr txBox="1"/>
      </xdr:nvSpPr>
      <xdr:spPr>
        <a:xfrm>
          <a:off x="3600450" y="771525"/>
          <a:ext cx="3971925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Create</a:t>
          </a:r>
          <a:r>
            <a:rPr lang="en-US" sz="1100" baseline="0"/>
            <a:t> an exponential smoothing model that minimizes the MSE for the data set.  </a:t>
          </a:r>
          <a:r>
            <a:rPr lang="en-US" sz="1100"/>
            <a:t>Use</a:t>
          </a:r>
          <a:r>
            <a:rPr lang="en-US" sz="1100" baseline="0"/>
            <a:t> Solver to estimate the optimal value of alpha.</a:t>
          </a:r>
          <a:br>
            <a:rPr lang="en-US" sz="1100" baseline="0"/>
          </a:br>
          <a:r>
            <a:rPr lang="en-US" sz="1100" baseline="0"/>
            <a:t>A) What are the optimal value of alpha? 1</a:t>
          </a:r>
          <a:br>
            <a:rPr lang="en-US" sz="1100" baseline="0"/>
          </a:br>
          <a:r>
            <a:rPr lang="en-US" sz="1100" baseline="0"/>
            <a:t>B) What are the forecasts for the next 2 months? 6.11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3" name="AutoShape 6" descr="invisible">
          <a:extLst>
            <a:ext uri="{FF2B5EF4-FFF2-40B4-BE49-F238E27FC236}">
              <a16:creationId xmlns:a16="http://schemas.microsoft.com/office/drawing/2014/main" id="{00E91ADA-52E9-4156-A243-D684399D5DB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4" name="AutoShape 7" descr="invisible">
          <a:extLst>
            <a:ext uri="{FF2B5EF4-FFF2-40B4-BE49-F238E27FC236}">
              <a16:creationId xmlns:a16="http://schemas.microsoft.com/office/drawing/2014/main" id="{61D8E9BF-93C1-4F8C-A7E9-93D51774CD17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5" name="AutoShape 8" descr="invisible">
          <a:extLst>
            <a:ext uri="{FF2B5EF4-FFF2-40B4-BE49-F238E27FC236}">
              <a16:creationId xmlns:a16="http://schemas.microsoft.com/office/drawing/2014/main" id="{EA908384-CCAC-4D95-AB13-78E5ADA6076E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6" name="AutoShape 9" descr="invisible">
          <a:extLst>
            <a:ext uri="{FF2B5EF4-FFF2-40B4-BE49-F238E27FC236}">
              <a16:creationId xmlns:a16="http://schemas.microsoft.com/office/drawing/2014/main" id="{F94BBC81-0BBF-41B5-9F90-08451B095670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7" name="AutoShape 10" descr="invisible">
          <a:extLst>
            <a:ext uri="{FF2B5EF4-FFF2-40B4-BE49-F238E27FC236}">
              <a16:creationId xmlns:a16="http://schemas.microsoft.com/office/drawing/2014/main" id="{ACF4B0E4-59AF-4DE9-8068-C58B3668791F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8" name="AutoShape 11" descr="invisible">
          <a:extLst>
            <a:ext uri="{FF2B5EF4-FFF2-40B4-BE49-F238E27FC236}">
              <a16:creationId xmlns:a16="http://schemas.microsoft.com/office/drawing/2014/main" id="{651DCA83-0241-49B2-A0AD-F2D0FD236245}"/>
            </a:ext>
          </a:extLst>
        </xdr:cNvPr>
        <xdr:cNvSpPr>
          <a:spLocks noChangeAspect="1" noChangeArrowheads="1"/>
        </xdr:cNvSpPr>
      </xdr:nvSpPr>
      <xdr:spPr bwMode="auto">
        <a:xfrm>
          <a:off x="1952625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5</xdr:row>
      <xdr:rowOff>142875</xdr:rowOff>
    </xdr:from>
    <xdr:to>
      <xdr:col>16</xdr:col>
      <xdr:colOff>180975</xdr:colOff>
      <xdr:row>13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44E6C5-EDA9-4EAF-9F89-5D37D99C7B36}"/>
            </a:ext>
          </a:extLst>
        </xdr:cNvPr>
        <xdr:cNvSpPr txBox="1"/>
      </xdr:nvSpPr>
      <xdr:spPr>
        <a:xfrm>
          <a:off x="5962650" y="990600"/>
          <a:ext cx="3971925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A)   Create</a:t>
          </a:r>
          <a:r>
            <a:rPr lang="en-US" sz="1100" baseline="0"/>
            <a:t> a double moving average model (with k= 4) A) What are the optimal value of alpha?</a:t>
          </a:r>
        </a:p>
        <a:p>
          <a:br>
            <a:rPr lang="en-US" sz="1100" baseline="0"/>
          </a:br>
          <a:r>
            <a:rPr lang="en-US" sz="1100" baseline="0"/>
            <a:t>B) What are the forecasts for the next 2 months? 5.9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3" name="AutoShape 8" descr="invisible">
          <a:extLst>
            <a:ext uri="{FF2B5EF4-FFF2-40B4-BE49-F238E27FC236}">
              <a16:creationId xmlns:a16="http://schemas.microsoft.com/office/drawing/2014/main" id="{FA2C2D4C-146B-4918-B21F-0DCDBF00EEA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4" name="AutoShape 9" descr="invisible">
          <a:extLst>
            <a:ext uri="{FF2B5EF4-FFF2-40B4-BE49-F238E27FC236}">
              <a16:creationId xmlns:a16="http://schemas.microsoft.com/office/drawing/2014/main" id="{91E1780D-43F7-4F35-A6EE-79D99BAA289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5" name="AutoShape 10" descr="invisible">
          <a:extLst>
            <a:ext uri="{FF2B5EF4-FFF2-40B4-BE49-F238E27FC236}">
              <a16:creationId xmlns:a16="http://schemas.microsoft.com/office/drawing/2014/main" id="{4532667B-3AFC-4F37-84F5-16247451F48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6" name="AutoShape 11" descr="invisible">
          <a:extLst>
            <a:ext uri="{FF2B5EF4-FFF2-40B4-BE49-F238E27FC236}">
              <a16:creationId xmlns:a16="http://schemas.microsoft.com/office/drawing/2014/main" id="{B5108E80-9E44-4A87-95FD-00C7E18BBD4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7" name="AutoShape 12" descr="invisible">
          <a:extLst>
            <a:ext uri="{FF2B5EF4-FFF2-40B4-BE49-F238E27FC236}">
              <a16:creationId xmlns:a16="http://schemas.microsoft.com/office/drawing/2014/main" id="{44667C55-61F4-40EC-9C7E-5580F7C4F45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8" name="AutoShape 13" descr="invisible">
          <a:extLst>
            <a:ext uri="{FF2B5EF4-FFF2-40B4-BE49-F238E27FC236}">
              <a16:creationId xmlns:a16="http://schemas.microsoft.com/office/drawing/2014/main" id="{A29DF138-C7E8-4C41-A202-D3951C9E117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19</xdr:row>
      <xdr:rowOff>15875</xdr:rowOff>
    </xdr:from>
    <xdr:to>
      <xdr:col>13</xdr:col>
      <xdr:colOff>514350</xdr:colOff>
      <xdr:row>25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222F3F-1B7C-46EC-AA75-F1B233C2B72A}"/>
            </a:ext>
          </a:extLst>
        </xdr:cNvPr>
        <xdr:cNvSpPr txBox="1"/>
      </xdr:nvSpPr>
      <xdr:spPr>
        <a:xfrm>
          <a:off x="4911725" y="3228975"/>
          <a:ext cx="4352925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A)  Use Holt's method to create a model that minimizes the MSE.Use Solver</a:t>
          </a:r>
          <a:r>
            <a:rPr lang="en-US" sz="1100" baseline="0"/>
            <a:t> to estimate the optimal values of alpha and beta.</a:t>
          </a:r>
        </a:p>
        <a:p>
          <a:br>
            <a:rPr lang="en-US" sz="1100" baseline="0"/>
          </a:br>
          <a:r>
            <a:rPr lang="en-US" sz="1100" baseline="0"/>
            <a:t>B) What are the forecasts for the next 2 months?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3" name="AutoShape 6" descr="invisible">
          <a:extLst>
            <a:ext uri="{FF2B5EF4-FFF2-40B4-BE49-F238E27FC236}">
              <a16:creationId xmlns:a16="http://schemas.microsoft.com/office/drawing/2014/main" id="{6782F21B-CF19-4268-82FB-180AAC2DB4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4" name="AutoShape 7" descr="invisible">
          <a:extLst>
            <a:ext uri="{FF2B5EF4-FFF2-40B4-BE49-F238E27FC236}">
              <a16:creationId xmlns:a16="http://schemas.microsoft.com/office/drawing/2014/main" id="{21235CAC-5ED5-4E34-9F66-1DCA07E0CB2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5" name="AutoShape 8" descr="invisible">
          <a:extLst>
            <a:ext uri="{FF2B5EF4-FFF2-40B4-BE49-F238E27FC236}">
              <a16:creationId xmlns:a16="http://schemas.microsoft.com/office/drawing/2014/main" id="{CA611F72-27FE-4B93-AC1A-0BBBA4B525B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6" name="AutoShape 9" descr="invisible">
          <a:extLst>
            <a:ext uri="{FF2B5EF4-FFF2-40B4-BE49-F238E27FC236}">
              <a16:creationId xmlns:a16="http://schemas.microsoft.com/office/drawing/2014/main" id="{0F24D753-B810-46B8-94CB-25D60F85A09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7" name="AutoShape 10" descr="invisible">
          <a:extLst>
            <a:ext uri="{FF2B5EF4-FFF2-40B4-BE49-F238E27FC236}">
              <a16:creationId xmlns:a16="http://schemas.microsoft.com/office/drawing/2014/main" id="{68CD5465-A756-4D82-9518-9684804B007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28575</xdr:colOff>
      <xdr:row>1</xdr:row>
      <xdr:rowOff>28575</xdr:rowOff>
    </xdr:to>
    <xdr:sp macro="" textlink="">
      <xdr:nvSpPr>
        <xdr:cNvPr id="8" name="AutoShape 11" descr="invisible">
          <a:extLst>
            <a:ext uri="{FF2B5EF4-FFF2-40B4-BE49-F238E27FC236}">
              <a16:creationId xmlns:a16="http://schemas.microsoft.com/office/drawing/2014/main" id="{34BF60C0-D152-4E94-98B0-F8016D24B01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61925"/>
          <a:ext cx="28575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17318</xdr:rowOff>
    </xdr:from>
    <xdr:to>
      <xdr:col>6</xdr:col>
      <xdr:colOff>519546</xdr:colOff>
      <xdr:row>29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3E8E4E-9E27-74F5-954C-9F3B327899EB}"/>
            </a:ext>
          </a:extLst>
        </xdr:cNvPr>
        <xdr:cNvSpPr txBox="1"/>
      </xdr:nvSpPr>
      <xdr:spPr>
        <a:xfrm>
          <a:off x="0" y="2996045"/>
          <a:ext cx="4268932" cy="1887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 regression</a:t>
          </a:r>
          <a:r>
            <a:rPr lang="en-US" sz="1100" baseline="0"/>
            <a:t> analysis to fit a linear trend model to the data set.</a:t>
          </a:r>
          <a:br>
            <a:rPr lang="en-US" sz="1100" baseline="0"/>
          </a:br>
          <a:r>
            <a:rPr lang="en-US" sz="1100" baseline="0"/>
            <a:t>A) Graph the data and disply the regression line, equation and Rsquare valaue</a:t>
          </a:r>
        </a:p>
        <a:p>
          <a:r>
            <a:rPr lang="en-US" sz="1100" baseline="0"/>
            <a:t>B) Use linear regression to forecast for each quarter.</a:t>
          </a:r>
          <a:br>
            <a:rPr lang="en-US" sz="1100" baseline="0"/>
          </a:br>
          <a:r>
            <a:rPr lang="en-US" sz="1100" baseline="0"/>
            <a:t>C) Calculate seasonal indices for each quarter using the results of the linear trend model.</a:t>
          </a:r>
          <a:br>
            <a:rPr lang="en-US" sz="1100" baseline="0"/>
          </a:br>
          <a:r>
            <a:rPr lang="en-US" sz="1100" baseline="0"/>
            <a:t>D) Use the seasonal indices to compute seasonal forecasts for each quarter</a:t>
          </a:r>
        </a:p>
        <a:p>
          <a:br>
            <a:rPr lang="en-US" sz="1100" baseline="0"/>
          </a:br>
          <a:endParaRPr lang="en-US" sz="1100" baseline="0"/>
        </a:p>
        <a:p>
          <a:br>
            <a:rPr lang="en-US" sz="1100" baseline="0"/>
          </a:br>
          <a:endParaRPr lang="en-US" sz="1100"/>
        </a:p>
      </xdr:txBody>
    </xdr:sp>
    <xdr:clientData/>
  </xdr:twoCellAnchor>
  <xdr:twoCellAnchor>
    <xdr:from>
      <xdr:col>8</xdr:col>
      <xdr:colOff>288635</xdr:colOff>
      <xdr:row>14</xdr:row>
      <xdr:rowOff>146627</xdr:rowOff>
    </xdr:from>
    <xdr:to>
      <xdr:col>17</xdr:col>
      <xdr:colOff>69272</xdr:colOff>
      <xdr:row>37</xdr:row>
      <xdr:rowOff>34637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2033C-E132-B49E-B1B7-AE4A9CD11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193040</xdr:colOff>
      <xdr:row>25</xdr:row>
      <xdr:rowOff>28979</xdr:rowOff>
    </xdr:from>
    <xdr:to>
      <xdr:col>7</xdr:col>
      <xdr:colOff>357563</xdr:colOff>
      <xdr:row>30</xdr:row>
      <xdr:rowOff>158865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91D710-995F-4002-B76A-D0BA61433C5A}"/>
            </a:ext>
          </a:extLst>
        </xdr:cNvPr>
        <xdr:cNvSpPr txBox="1"/>
      </xdr:nvSpPr>
      <xdr:spPr>
        <a:xfrm>
          <a:off x="193040" y="4133619"/>
          <a:ext cx="4980363" cy="942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A) Use regression</a:t>
          </a:r>
          <a:r>
            <a:rPr lang="en-US" sz="1100" baseline="0"/>
            <a:t> analysis to fit a quadratic trend model with a seasonal index to the data set.</a:t>
          </a:r>
          <a:br>
            <a:rPr lang="en-US" sz="1100" baseline="0"/>
          </a:br>
          <a:r>
            <a:rPr lang="en-US" sz="1100" baseline="0"/>
            <a:t>B)Graph the data and displly the regression line, equation and Rsquare valaue</a:t>
          </a:r>
          <a:endParaRPr lang="en-US" sz="1100"/>
        </a:p>
      </xdr:txBody>
    </xdr:sp>
    <xdr:clientData/>
  </xdr:twoCellAnchor>
  <xdr:twoCellAnchor>
    <xdr:from>
      <xdr:col>9</xdr:col>
      <xdr:colOff>548640</xdr:colOff>
      <xdr:row>9</xdr:row>
      <xdr:rowOff>106680</xdr:rowOff>
    </xdr:from>
    <xdr:to>
      <xdr:col>17</xdr:col>
      <xdr:colOff>436880</xdr:colOff>
      <xdr:row>29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9150-79D8-E262-DBDA-153CBF3E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19</xdr:row>
      <xdr:rowOff>9525</xdr:rowOff>
    </xdr:from>
    <xdr:to>
      <xdr:col>8</xdr:col>
      <xdr:colOff>542925</xdr:colOff>
      <xdr:row>24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3696CE-CD2F-46FB-80FF-61435DD50983}"/>
            </a:ext>
          </a:extLst>
        </xdr:cNvPr>
        <xdr:cNvSpPr txBox="1"/>
      </xdr:nvSpPr>
      <xdr:spPr>
        <a:xfrm>
          <a:off x="266700" y="3143250"/>
          <a:ext cx="51530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 Holt-Winter's additive</a:t>
          </a:r>
          <a:r>
            <a:rPr lang="en-US" sz="1100" baseline="0"/>
            <a:t> method to create a seasonal model that minimizes MSE.  </a:t>
          </a:r>
          <a:br>
            <a:rPr lang="en-US" sz="1100" baseline="0"/>
          </a:br>
          <a:r>
            <a:rPr lang="en-US" sz="1100" baseline="0"/>
            <a:t>A) What are the optimal values of alpha, beta, and gamma?</a:t>
          </a:r>
          <a:br>
            <a:rPr lang="en-US" sz="1100" baseline="0"/>
          </a:br>
          <a:r>
            <a:rPr lang="en-US" sz="1100" baseline="0"/>
            <a:t>B) What are the forecasts for each quarter in year 4 using this technique?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19</xdr:row>
      <xdr:rowOff>9525</xdr:rowOff>
    </xdr:from>
    <xdr:to>
      <xdr:col>8</xdr:col>
      <xdr:colOff>542925</xdr:colOff>
      <xdr:row>24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6DFAA9-7739-31AB-9542-05C9C6DD0129}"/>
            </a:ext>
          </a:extLst>
        </xdr:cNvPr>
        <xdr:cNvSpPr txBox="1"/>
      </xdr:nvSpPr>
      <xdr:spPr>
        <a:xfrm>
          <a:off x="266700" y="3143250"/>
          <a:ext cx="5153025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 Holt-Winter's mulitiplicative</a:t>
          </a:r>
          <a:r>
            <a:rPr lang="en-US" sz="1100" baseline="0"/>
            <a:t> method to create a seasonal model that minimizes MSE.  </a:t>
          </a:r>
          <a:br>
            <a:rPr lang="en-US" sz="1100" baseline="0"/>
          </a:br>
          <a:r>
            <a:rPr lang="en-US" sz="1100" baseline="0"/>
            <a:t>A) What are the optimal values of alpha, beta, and gamma?</a:t>
          </a:r>
          <a:br>
            <a:rPr lang="en-US" sz="1100" baseline="0"/>
          </a:br>
          <a:r>
            <a:rPr lang="en-US" sz="1100" baseline="0"/>
            <a:t>B) What are the forecasts for each quarter in year 4 using this technique?</a:t>
          </a:r>
          <a:endParaRPr lang="en-US" sz="1100"/>
        </a:p>
      </xdr:txBody>
    </xdr:sp>
    <xdr:clientData/>
  </xdr:twoCellAnchor>
  <xdr:twoCellAnchor>
    <xdr:from>
      <xdr:col>10</xdr:col>
      <xdr:colOff>69850</xdr:colOff>
      <xdr:row>16</xdr:row>
      <xdr:rowOff>107950</xdr:rowOff>
    </xdr:from>
    <xdr:to>
      <xdr:col>16</xdr:col>
      <xdr:colOff>603250</xdr:colOff>
      <xdr:row>33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8A163-4F23-DB8D-4357-F15516BCF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18</xdr:row>
      <xdr:rowOff>57150</xdr:rowOff>
    </xdr:from>
    <xdr:to>
      <xdr:col>7</xdr:col>
      <xdr:colOff>104775</xdr:colOff>
      <xdr:row>20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FC4271-DDD2-9DC2-FAA9-68A7AFBEA9AA}"/>
            </a:ext>
          </a:extLst>
        </xdr:cNvPr>
        <xdr:cNvSpPr txBox="1"/>
      </xdr:nvSpPr>
      <xdr:spPr>
        <a:xfrm>
          <a:off x="180975" y="2990850"/>
          <a:ext cx="41910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 regression</a:t>
          </a:r>
          <a:r>
            <a:rPr lang="en-US" sz="1100" baseline="0"/>
            <a:t> analysis with indicator variables to fit a regression line</a:t>
          </a:r>
          <a:endParaRPr lang="en-US" sz="1100"/>
        </a:p>
      </xdr:txBody>
    </xdr:sp>
    <xdr:clientData/>
  </xdr:twoCellAnchor>
  <xdr:twoCellAnchor>
    <xdr:from>
      <xdr:col>8</xdr:col>
      <xdr:colOff>457200</xdr:colOff>
      <xdr:row>5</xdr:row>
      <xdr:rowOff>139700</xdr:rowOff>
    </xdr:from>
    <xdr:to>
      <xdr:col>19</xdr:col>
      <xdr:colOff>457200</xdr:colOff>
      <xdr:row>33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A7E24-46BA-6816-4086-FD2DFF39E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2"/>
  <sheetViews>
    <sheetView topLeftCell="A4" zoomScale="56" workbookViewId="0">
      <selection activeCell="J86" sqref="J86"/>
    </sheetView>
  </sheetViews>
  <sheetFormatPr baseColWidth="10" defaultColWidth="8.83203125" defaultRowHeight="13" x14ac:dyDescent="0.15"/>
  <cols>
    <col min="3" max="3" width="11" style="1" bestFit="1" customWidth="1"/>
  </cols>
  <sheetData>
    <row r="2" spans="1:6" x14ac:dyDescent="0.15">
      <c r="A2" s="91" t="s">
        <v>0</v>
      </c>
      <c r="B2" s="91"/>
      <c r="C2" s="91"/>
      <c r="D2" s="91"/>
    </row>
    <row r="3" spans="1:6" x14ac:dyDescent="0.15">
      <c r="A3" s="1"/>
      <c r="E3" s="91" t="s">
        <v>6</v>
      </c>
      <c r="F3" s="91"/>
    </row>
    <row r="4" spans="1:6" ht="15" thickBot="1" x14ac:dyDescent="0.2">
      <c r="A4" s="2" t="s">
        <v>1</v>
      </c>
      <c r="B4" s="2" t="s">
        <v>2</v>
      </c>
      <c r="C4" s="3" t="s">
        <v>3</v>
      </c>
      <c r="D4" s="3" t="s">
        <v>4</v>
      </c>
      <c r="E4" s="2" t="s">
        <v>7</v>
      </c>
      <c r="F4" s="2" t="s">
        <v>8</v>
      </c>
    </row>
    <row r="5" spans="1:6" x14ac:dyDescent="0.15">
      <c r="A5" s="4">
        <v>1</v>
      </c>
      <c r="B5" s="4">
        <v>1</v>
      </c>
      <c r="C5" s="5">
        <v>1</v>
      </c>
      <c r="D5" s="6">
        <v>7.03</v>
      </c>
      <c r="E5" s="67" t="s">
        <v>47</v>
      </c>
      <c r="F5" s="67" t="s">
        <v>47</v>
      </c>
    </row>
    <row r="6" spans="1:6" x14ac:dyDescent="0.15">
      <c r="A6" s="7"/>
      <c r="B6" s="4">
        <v>2</v>
      </c>
      <c r="C6" s="5">
        <v>2</v>
      </c>
      <c r="D6" s="6">
        <v>7.08</v>
      </c>
      <c r="E6" s="67" t="s">
        <v>47</v>
      </c>
      <c r="F6" s="67" t="s">
        <v>47</v>
      </c>
    </row>
    <row r="7" spans="1:6" x14ac:dyDescent="0.15">
      <c r="A7" s="7"/>
      <c r="B7" s="4">
        <v>3</v>
      </c>
      <c r="C7" s="5">
        <v>3</v>
      </c>
      <c r="D7" s="6">
        <v>7.62</v>
      </c>
      <c r="E7" s="68">
        <f>AVERAGE(D5:D6)</f>
        <v>7.0549999999999997</v>
      </c>
      <c r="F7" s="67" t="s">
        <v>47</v>
      </c>
    </row>
    <row r="8" spans="1:6" x14ac:dyDescent="0.15">
      <c r="A8" s="7"/>
      <c r="B8" s="4">
        <v>4</v>
      </c>
      <c r="C8" s="5">
        <v>4</v>
      </c>
      <c r="D8" s="6">
        <v>7.93</v>
      </c>
      <c r="E8" s="68">
        <f t="shared" ref="E8:E71" si="0">AVERAGE(D6:D7)</f>
        <v>7.35</v>
      </c>
      <c r="F8" s="67" t="s">
        <v>47</v>
      </c>
    </row>
    <row r="9" spans="1:6" x14ac:dyDescent="0.15">
      <c r="A9" s="7"/>
      <c r="B9" s="4">
        <v>5</v>
      </c>
      <c r="C9" s="5">
        <v>5</v>
      </c>
      <c r="D9" s="6">
        <v>8.07</v>
      </c>
      <c r="E9" s="68">
        <f t="shared" si="0"/>
        <v>7.7750000000000004</v>
      </c>
      <c r="F9" s="68">
        <f>AVERAGE(D5:D8)</f>
        <v>7.415</v>
      </c>
    </row>
    <row r="10" spans="1:6" x14ac:dyDescent="0.15">
      <c r="A10" s="7"/>
      <c r="B10" s="4">
        <v>6</v>
      </c>
      <c r="C10" s="5">
        <v>6</v>
      </c>
      <c r="D10" s="6">
        <v>8.32</v>
      </c>
      <c r="E10" s="68">
        <f t="shared" si="0"/>
        <v>8</v>
      </c>
      <c r="F10" s="68">
        <f t="shared" ref="F10:F73" si="1">AVERAGE(D6:D9)</f>
        <v>7.6749999999999998</v>
      </c>
    </row>
    <row r="11" spans="1:6" x14ac:dyDescent="0.15">
      <c r="A11" s="7"/>
      <c r="B11" s="4">
        <v>7</v>
      </c>
      <c r="C11" s="5">
        <v>7</v>
      </c>
      <c r="D11" s="6">
        <v>8.25</v>
      </c>
      <c r="E11" s="68">
        <f t="shared" si="0"/>
        <v>8.1950000000000003</v>
      </c>
      <c r="F11" s="68">
        <f t="shared" si="1"/>
        <v>7.9850000000000003</v>
      </c>
    </row>
    <row r="12" spans="1:6" x14ac:dyDescent="0.15">
      <c r="A12" s="7"/>
      <c r="B12" s="4">
        <v>8</v>
      </c>
      <c r="C12" s="5">
        <v>8</v>
      </c>
      <c r="D12" s="6">
        <v>8</v>
      </c>
      <c r="E12" s="68">
        <f t="shared" si="0"/>
        <v>8.2850000000000001</v>
      </c>
      <c r="F12" s="68">
        <f t="shared" si="1"/>
        <v>8.1425000000000001</v>
      </c>
    </row>
    <row r="13" spans="1:6" x14ac:dyDescent="0.15">
      <c r="A13" s="7"/>
      <c r="B13" s="4">
        <v>9</v>
      </c>
      <c r="C13" s="4">
        <v>9</v>
      </c>
      <c r="D13" s="6">
        <v>8.23</v>
      </c>
      <c r="E13" s="68">
        <f t="shared" si="0"/>
        <v>8.125</v>
      </c>
      <c r="F13" s="68">
        <f t="shared" si="1"/>
        <v>8.16</v>
      </c>
    </row>
    <row r="14" spans="1:6" x14ac:dyDescent="0.15">
      <c r="A14" s="7"/>
      <c r="B14" s="4">
        <v>10</v>
      </c>
      <c r="C14" s="5">
        <v>10</v>
      </c>
      <c r="D14" s="6">
        <v>7.92</v>
      </c>
      <c r="E14" s="68">
        <f t="shared" si="0"/>
        <v>8.1150000000000002</v>
      </c>
      <c r="F14" s="68">
        <f t="shared" si="1"/>
        <v>8.1999999999999993</v>
      </c>
    </row>
    <row r="15" spans="1:6" x14ac:dyDescent="0.15">
      <c r="A15" s="7"/>
      <c r="B15" s="4">
        <v>11</v>
      </c>
      <c r="C15" s="5">
        <v>11</v>
      </c>
      <c r="D15" s="6">
        <v>7.62</v>
      </c>
      <c r="E15" s="68">
        <f t="shared" si="0"/>
        <v>8.0749999999999993</v>
      </c>
      <c r="F15" s="68">
        <f t="shared" si="1"/>
        <v>8.1</v>
      </c>
    </row>
    <row r="16" spans="1:6" x14ac:dyDescent="0.15">
      <c r="A16" s="7"/>
      <c r="B16" s="4">
        <v>12</v>
      </c>
      <c r="C16" s="5">
        <v>12</v>
      </c>
      <c r="D16" s="6">
        <v>7.6</v>
      </c>
      <c r="E16" s="68">
        <f t="shared" si="0"/>
        <v>7.77</v>
      </c>
      <c r="F16" s="68">
        <f t="shared" si="1"/>
        <v>7.9424999999999999</v>
      </c>
    </row>
    <row r="17" spans="1:6" x14ac:dyDescent="0.15">
      <c r="A17" s="4">
        <f>A5+1</f>
        <v>2</v>
      </c>
      <c r="B17" s="4">
        <v>13</v>
      </c>
      <c r="C17" s="5">
        <v>1</v>
      </c>
      <c r="D17" s="6">
        <v>7.82</v>
      </c>
      <c r="E17" s="68">
        <f t="shared" si="0"/>
        <v>7.6099999999999994</v>
      </c>
      <c r="F17" s="68">
        <f t="shared" si="1"/>
        <v>7.8424999999999994</v>
      </c>
    </row>
    <row r="18" spans="1:6" x14ac:dyDescent="0.15">
      <c r="A18" s="7"/>
      <c r="B18" s="4">
        <v>14</v>
      </c>
      <c r="C18" s="5">
        <v>2</v>
      </c>
      <c r="D18" s="6">
        <v>7.65</v>
      </c>
      <c r="E18" s="68">
        <f t="shared" si="0"/>
        <v>7.71</v>
      </c>
      <c r="F18" s="68">
        <f t="shared" si="1"/>
        <v>7.74</v>
      </c>
    </row>
    <row r="19" spans="1:6" x14ac:dyDescent="0.15">
      <c r="A19" s="7"/>
      <c r="B19" s="4">
        <v>15</v>
      </c>
      <c r="C19" s="5">
        <v>3</v>
      </c>
      <c r="D19" s="6">
        <v>7.9</v>
      </c>
      <c r="E19" s="68">
        <f t="shared" si="0"/>
        <v>7.7350000000000003</v>
      </c>
      <c r="F19" s="68">
        <f t="shared" si="1"/>
        <v>7.6724999999999994</v>
      </c>
    </row>
    <row r="20" spans="1:6" x14ac:dyDescent="0.15">
      <c r="A20" s="7"/>
      <c r="B20" s="4">
        <v>16</v>
      </c>
      <c r="C20" s="5">
        <v>4</v>
      </c>
      <c r="D20" s="6">
        <v>8.14</v>
      </c>
      <c r="E20" s="68">
        <f t="shared" si="0"/>
        <v>7.7750000000000004</v>
      </c>
      <c r="F20" s="68">
        <f t="shared" si="1"/>
        <v>7.7424999999999997</v>
      </c>
    </row>
    <row r="21" spans="1:6" x14ac:dyDescent="0.15">
      <c r="A21" s="7"/>
      <c r="B21" s="4">
        <v>17</v>
      </c>
      <c r="C21" s="5">
        <v>5</v>
      </c>
      <c r="D21" s="6">
        <v>7.94</v>
      </c>
      <c r="E21" s="68">
        <f t="shared" si="0"/>
        <v>8.02</v>
      </c>
      <c r="F21" s="68">
        <f t="shared" si="1"/>
        <v>7.8775000000000004</v>
      </c>
    </row>
    <row r="22" spans="1:6" x14ac:dyDescent="0.15">
      <c r="A22" s="7"/>
      <c r="B22" s="4">
        <v>18</v>
      </c>
      <c r="C22" s="5">
        <v>6</v>
      </c>
      <c r="D22" s="6">
        <v>7.69</v>
      </c>
      <c r="E22" s="68">
        <f t="shared" si="0"/>
        <v>8.0400000000000009</v>
      </c>
      <c r="F22" s="68">
        <f t="shared" si="1"/>
        <v>7.9075000000000006</v>
      </c>
    </row>
    <row r="23" spans="1:6" x14ac:dyDescent="0.15">
      <c r="A23" s="7"/>
      <c r="B23" s="4">
        <v>19</v>
      </c>
      <c r="C23" s="5">
        <v>7</v>
      </c>
      <c r="D23" s="6">
        <v>7.5</v>
      </c>
      <c r="E23" s="68">
        <f t="shared" si="0"/>
        <v>7.8150000000000004</v>
      </c>
      <c r="F23" s="68">
        <f t="shared" si="1"/>
        <v>7.9175000000000004</v>
      </c>
    </row>
    <row r="24" spans="1:6" x14ac:dyDescent="0.15">
      <c r="A24" s="7"/>
      <c r="B24" s="4">
        <v>20</v>
      </c>
      <c r="C24" s="5">
        <v>8</v>
      </c>
      <c r="D24" s="6">
        <v>7.48</v>
      </c>
      <c r="E24" s="68">
        <f t="shared" si="0"/>
        <v>7.5950000000000006</v>
      </c>
      <c r="F24" s="68">
        <f t="shared" si="1"/>
        <v>7.8175000000000008</v>
      </c>
    </row>
    <row r="25" spans="1:6" x14ac:dyDescent="0.15">
      <c r="A25" s="7"/>
      <c r="B25" s="4">
        <v>21</v>
      </c>
      <c r="C25" s="4">
        <v>9</v>
      </c>
      <c r="D25" s="6">
        <v>7.43</v>
      </c>
      <c r="E25" s="68">
        <f t="shared" si="0"/>
        <v>7.49</v>
      </c>
      <c r="F25" s="68">
        <f t="shared" si="1"/>
        <v>7.6525000000000007</v>
      </c>
    </row>
    <row r="26" spans="1:6" x14ac:dyDescent="0.15">
      <c r="A26" s="7"/>
      <c r="B26" s="4">
        <v>22</v>
      </c>
      <c r="C26" s="5">
        <v>10</v>
      </c>
      <c r="D26" s="6">
        <v>7.29</v>
      </c>
      <c r="E26" s="68">
        <f t="shared" si="0"/>
        <v>7.4550000000000001</v>
      </c>
      <c r="F26" s="68">
        <f t="shared" si="1"/>
        <v>7.5250000000000004</v>
      </c>
    </row>
    <row r="27" spans="1:6" x14ac:dyDescent="0.15">
      <c r="A27" s="7"/>
      <c r="B27" s="4">
        <v>23</v>
      </c>
      <c r="C27" s="5">
        <v>11</v>
      </c>
      <c r="D27" s="6">
        <v>7.21</v>
      </c>
      <c r="E27" s="68">
        <f t="shared" si="0"/>
        <v>7.3599999999999994</v>
      </c>
      <c r="F27" s="68">
        <f t="shared" si="1"/>
        <v>7.4249999999999998</v>
      </c>
    </row>
    <row r="28" spans="1:6" x14ac:dyDescent="0.15">
      <c r="A28" s="7"/>
      <c r="B28" s="4">
        <v>24</v>
      </c>
      <c r="C28" s="5">
        <v>12</v>
      </c>
      <c r="D28" s="6">
        <v>7.1</v>
      </c>
      <c r="E28" s="68">
        <f t="shared" si="0"/>
        <v>7.25</v>
      </c>
      <c r="F28" s="68">
        <f t="shared" si="1"/>
        <v>7.3525</v>
      </c>
    </row>
    <row r="29" spans="1:6" x14ac:dyDescent="0.15">
      <c r="A29" s="4">
        <f>A17+1</f>
        <v>3</v>
      </c>
      <c r="B29" s="4">
        <v>25</v>
      </c>
      <c r="C29" s="5">
        <v>1</v>
      </c>
      <c r="D29" s="6">
        <v>6.99</v>
      </c>
      <c r="E29" s="68">
        <f t="shared" si="0"/>
        <v>7.1549999999999994</v>
      </c>
      <c r="F29" s="68">
        <f t="shared" si="1"/>
        <v>7.2575000000000003</v>
      </c>
    </row>
    <row r="30" spans="1:6" x14ac:dyDescent="0.15">
      <c r="A30" s="7"/>
      <c r="B30" s="4">
        <v>26</v>
      </c>
      <c r="C30" s="5">
        <v>2</v>
      </c>
      <c r="D30" s="6">
        <v>7.04</v>
      </c>
      <c r="E30" s="68">
        <f t="shared" si="0"/>
        <v>7.0449999999999999</v>
      </c>
      <c r="F30" s="68">
        <f t="shared" si="1"/>
        <v>7.1475000000000009</v>
      </c>
    </row>
    <row r="31" spans="1:6" x14ac:dyDescent="0.15">
      <c r="A31" s="7"/>
      <c r="B31" s="4">
        <v>27</v>
      </c>
      <c r="C31" s="5">
        <v>3</v>
      </c>
      <c r="D31" s="6">
        <v>7.13</v>
      </c>
      <c r="E31" s="68">
        <f t="shared" si="0"/>
        <v>7.0150000000000006</v>
      </c>
      <c r="F31" s="68">
        <f t="shared" si="1"/>
        <v>7.0849999999999991</v>
      </c>
    </row>
    <row r="32" spans="1:6" x14ac:dyDescent="0.15">
      <c r="A32" s="7"/>
      <c r="B32" s="4">
        <v>28</v>
      </c>
      <c r="C32" s="5">
        <v>4</v>
      </c>
      <c r="D32" s="6">
        <v>7.14</v>
      </c>
      <c r="E32" s="68">
        <f t="shared" si="0"/>
        <v>7.085</v>
      </c>
      <c r="F32" s="68">
        <f t="shared" si="1"/>
        <v>7.0649999999999995</v>
      </c>
    </row>
    <row r="33" spans="1:6" x14ac:dyDescent="0.15">
      <c r="A33" s="7"/>
      <c r="B33" s="4">
        <v>29</v>
      </c>
      <c r="C33" s="5">
        <v>5</v>
      </c>
      <c r="D33" s="6">
        <v>7.14</v>
      </c>
      <c r="E33" s="68">
        <f t="shared" si="0"/>
        <v>7.1349999999999998</v>
      </c>
      <c r="F33" s="68">
        <f t="shared" si="1"/>
        <v>7.0750000000000002</v>
      </c>
    </row>
    <row r="34" spans="1:6" x14ac:dyDescent="0.15">
      <c r="A34" s="7"/>
      <c r="B34" s="4">
        <v>30</v>
      </c>
      <c r="C34" s="5">
        <v>6</v>
      </c>
      <c r="D34" s="6">
        <v>7</v>
      </c>
      <c r="E34" s="68">
        <f t="shared" si="0"/>
        <v>7.14</v>
      </c>
      <c r="F34" s="68">
        <f t="shared" si="1"/>
        <v>7.1124999999999998</v>
      </c>
    </row>
    <row r="35" spans="1:6" x14ac:dyDescent="0.15">
      <c r="A35" s="7"/>
      <c r="B35" s="4">
        <v>31</v>
      </c>
      <c r="C35" s="5">
        <v>7</v>
      </c>
      <c r="D35" s="6">
        <v>6.95</v>
      </c>
      <c r="E35" s="68">
        <f t="shared" si="0"/>
        <v>7.07</v>
      </c>
      <c r="F35" s="68">
        <f t="shared" si="1"/>
        <v>7.1025</v>
      </c>
    </row>
    <row r="36" spans="1:6" x14ac:dyDescent="0.15">
      <c r="A36" s="7"/>
      <c r="B36" s="4">
        <v>32</v>
      </c>
      <c r="C36" s="5">
        <v>8</v>
      </c>
      <c r="D36" s="6">
        <v>6.92</v>
      </c>
      <c r="E36" s="68">
        <f t="shared" si="0"/>
        <v>6.9749999999999996</v>
      </c>
      <c r="F36" s="68">
        <f t="shared" si="1"/>
        <v>7.0575000000000001</v>
      </c>
    </row>
    <row r="37" spans="1:6" x14ac:dyDescent="0.15">
      <c r="A37" s="7"/>
      <c r="B37" s="4">
        <v>33</v>
      </c>
      <c r="C37" s="4">
        <v>9</v>
      </c>
      <c r="D37" s="6">
        <v>6.72</v>
      </c>
      <c r="E37" s="68">
        <f t="shared" si="0"/>
        <v>6.9350000000000005</v>
      </c>
      <c r="F37" s="68">
        <f t="shared" si="1"/>
        <v>7.0024999999999995</v>
      </c>
    </row>
    <row r="38" spans="1:6" x14ac:dyDescent="0.15">
      <c r="A38" s="7"/>
      <c r="B38" s="4">
        <v>34</v>
      </c>
      <c r="C38" s="5">
        <v>10</v>
      </c>
      <c r="D38" s="6">
        <v>6.71</v>
      </c>
      <c r="E38" s="68">
        <f t="shared" si="0"/>
        <v>6.82</v>
      </c>
      <c r="F38" s="68">
        <f t="shared" si="1"/>
        <v>6.8974999999999991</v>
      </c>
    </row>
    <row r="39" spans="1:6" x14ac:dyDescent="0.15">
      <c r="A39" s="7"/>
      <c r="B39" s="4">
        <v>35</v>
      </c>
      <c r="C39" s="5">
        <v>11</v>
      </c>
      <c r="D39" s="6">
        <v>6.87</v>
      </c>
      <c r="E39" s="68">
        <f t="shared" si="0"/>
        <v>6.7149999999999999</v>
      </c>
      <c r="F39" s="68">
        <f t="shared" si="1"/>
        <v>6.8250000000000002</v>
      </c>
    </row>
    <row r="40" spans="1:6" x14ac:dyDescent="0.15">
      <c r="A40" s="7"/>
      <c r="B40" s="4">
        <v>36</v>
      </c>
      <c r="C40" s="5">
        <v>12</v>
      </c>
      <c r="D40" s="6">
        <v>6.74</v>
      </c>
      <c r="E40" s="68">
        <f t="shared" si="0"/>
        <v>6.79</v>
      </c>
      <c r="F40" s="68">
        <f t="shared" si="1"/>
        <v>6.8050000000000006</v>
      </c>
    </row>
    <row r="41" spans="1:6" x14ac:dyDescent="0.15">
      <c r="A41" s="4">
        <f>A29+1</f>
        <v>4</v>
      </c>
      <c r="B41" s="4">
        <v>37</v>
      </c>
      <c r="C41" s="5">
        <v>1</v>
      </c>
      <c r="D41" s="6">
        <v>6.79</v>
      </c>
      <c r="E41" s="68">
        <f t="shared" si="0"/>
        <v>6.8049999999999997</v>
      </c>
      <c r="F41" s="68">
        <f t="shared" si="1"/>
        <v>6.76</v>
      </c>
    </row>
    <row r="42" spans="1:6" x14ac:dyDescent="0.15">
      <c r="A42" s="7"/>
      <c r="B42" s="4">
        <v>38</v>
      </c>
      <c r="C42" s="5">
        <v>2</v>
      </c>
      <c r="D42" s="6">
        <v>6.81</v>
      </c>
      <c r="E42" s="68">
        <f t="shared" si="0"/>
        <v>6.7650000000000006</v>
      </c>
      <c r="F42" s="68">
        <f t="shared" si="1"/>
        <v>6.7774999999999999</v>
      </c>
    </row>
    <row r="43" spans="1:6" x14ac:dyDescent="0.15">
      <c r="A43" s="7"/>
      <c r="B43" s="4">
        <v>39</v>
      </c>
      <c r="C43" s="5">
        <v>3</v>
      </c>
      <c r="D43" s="6">
        <v>7.04</v>
      </c>
      <c r="E43" s="68">
        <f t="shared" si="0"/>
        <v>6.8</v>
      </c>
      <c r="F43" s="68">
        <f t="shared" si="1"/>
        <v>6.8024999999999993</v>
      </c>
    </row>
    <row r="44" spans="1:6" x14ac:dyDescent="0.15">
      <c r="A44" s="7"/>
      <c r="B44" s="4">
        <v>40</v>
      </c>
      <c r="C44" s="5">
        <v>4</v>
      </c>
      <c r="D44" s="6">
        <v>6.92</v>
      </c>
      <c r="E44" s="68">
        <f t="shared" si="0"/>
        <v>6.9249999999999998</v>
      </c>
      <c r="F44" s="68">
        <f t="shared" si="1"/>
        <v>6.8449999999999998</v>
      </c>
    </row>
    <row r="45" spans="1:6" x14ac:dyDescent="0.15">
      <c r="A45" s="7"/>
      <c r="B45" s="4">
        <v>41</v>
      </c>
      <c r="C45" s="5">
        <v>5</v>
      </c>
      <c r="D45" s="6">
        <v>7.15</v>
      </c>
      <c r="E45" s="68">
        <f t="shared" si="0"/>
        <v>6.98</v>
      </c>
      <c r="F45" s="68">
        <f t="shared" si="1"/>
        <v>6.8900000000000006</v>
      </c>
    </row>
    <row r="46" spans="1:6" x14ac:dyDescent="0.15">
      <c r="A46" s="7"/>
      <c r="B46" s="4">
        <v>42</v>
      </c>
      <c r="C46" s="5">
        <v>6</v>
      </c>
      <c r="D46" s="6">
        <v>7.55</v>
      </c>
      <c r="E46" s="68">
        <f t="shared" si="0"/>
        <v>7.0350000000000001</v>
      </c>
      <c r="F46" s="68">
        <f t="shared" si="1"/>
        <v>6.98</v>
      </c>
    </row>
    <row r="47" spans="1:6" x14ac:dyDescent="0.15">
      <c r="A47" s="7"/>
      <c r="B47" s="4">
        <v>43</v>
      </c>
      <c r="C47" s="5">
        <v>7</v>
      </c>
      <c r="D47" s="6">
        <v>7.63</v>
      </c>
      <c r="E47" s="68">
        <f t="shared" si="0"/>
        <v>7.35</v>
      </c>
      <c r="F47" s="68">
        <f t="shared" si="1"/>
        <v>7.165</v>
      </c>
    </row>
    <row r="48" spans="1:6" x14ac:dyDescent="0.15">
      <c r="A48" s="7"/>
      <c r="B48" s="4">
        <v>44</v>
      </c>
      <c r="C48" s="5">
        <v>8</v>
      </c>
      <c r="D48" s="6">
        <v>7.94</v>
      </c>
      <c r="E48" s="68">
        <f t="shared" si="0"/>
        <v>7.59</v>
      </c>
      <c r="F48" s="68">
        <f t="shared" si="1"/>
        <v>7.3125</v>
      </c>
    </row>
    <row r="49" spans="1:6" x14ac:dyDescent="0.15">
      <c r="A49" s="7"/>
      <c r="B49" s="4">
        <v>45</v>
      </c>
      <c r="C49" s="4">
        <v>9</v>
      </c>
      <c r="D49" s="6">
        <v>7.82</v>
      </c>
      <c r="E49" s="68">
        <f t="shared" si="0"/>
        <v>7.7850000000000001</v>
      </c>
      <c r="F49" s="68">
        <f t="shared" si="1"/>
        <v>7.5674999999999999</v>
      </c>
    </row>
    <row r="50" spans="1:6" x14ac:dyDescent="0.15">
      <c r="A50" s="7"/>
      <c r="B50" s="4">
        <v>46</v>
      </c>
      <c r="C50" s="5">
        <v>10</v>
      </c>
      <c r="D50" s="6">
        <v>7.85</v>
      </c>
      <c r="E50" s="68">
        <f t="shared" si="0"/>
        <v>7.8800000000000008</v>
      </c>
      <c r="F50" s="68">
        <f t="shared" si="1"/>
        <v>7.7350000000000003</v>
      </c>
    </row>
    <row r="51" spans="1:6" x14ac:dyDescent="0.15">
      <c r="A51" s="7"/>
      <c r="B51" s="4">
        <v>47</v>
      </c>
      <c r="C51" s="5">
        <v>11</v>
      </c>
      <c r="D51" s="6">
        <v>7.74</v>
      </c>
      <c r="E51" s="68">
        <f t="shared" si="0"/>
        <v>7.835</v>
      </c>
      <c r="F51" s="68">
        <f t="shared" si="1"/>
        <v>7.8100000000000005</v>
      </c>
    </row>
    <row r="52" spans="1:6" x14ac:dyDescent="0.15">
      <c r="A52" s="7"/>
      <c r="B52" s="4">
        <v>48</v>
      </c>
      <c r="C52" s="5">
        <v>12</v>
      </c>
      <c r="D52" s="6">
        <v>7.91</v>
      </c>
      <c r="E52" s="68">
        <f t="shared" si="0"/>
        <v>7.7949999999999999</v>
      </c>
      <c r="F52" s="68">
        <f t="shared" si="1"/>
        <v>7.8375000000000004</v>
      </c>
    </row>
    <row r="53" spans="1:6" x14ac:dyDescent="0.15">
      <c r="A53" s="4">
        <f>A41+1</f>
        <v>5</v>
      </c>
      <c r="B53" s="4">
        <v>49</v>
      </c>
      <c r="C53" s="5">
        <v>1</v>
      </c>
      <c r="D53" s="6">
        <v>8.2100000000000009</v>
      </c>
      <c r="E53" s="68">
        <f t="shared" si="0"/>
        <v>7.8250000000000002</v>
      </c>
      <c r="F53" s="68">
        <f t="shared" si="1"/>
        <v>7.83</v>
      </c>
    </row>
    <row r="54" spans="1:6" x14ac:dyDescent="0.15">
      <c r="A54" s="7"/>
      <c r="B54" s="4">
        <v>50</v>
      </c>
      <c r="C54" s="5">
        <v>2</v>
      </c>
      <c r="D54" s="6">
        <v>8.33</v>
      </c>
      <c r="E54" s="68">
        <f t="shared" si="0"/>
        <v>8.06</v>
      </c>
      <c r="F54" s="68">
        <f t="shared" si="1"/>
        <v>7.9275000000000002</v>
      </c>
    </row>
    <row r="55" spans="1:6" x14ac:dyDescent="0.15">
      <c r="A55" s="7"/>
      <c r="B55" s="4">
        <v>51</v>
      </c>
      <c r="C55" s="5">
        <v>3</v>
      </c>
      <c r="D55" s="6">
        <v>8.24</v>
      </c>
      <c r="E55" s="68">
        <f t="shared" si="0"/>
        <v>8.27</v>
      </c>
      <c r="F55" s="68">
        <f t="shared" si="1"/>
        <v>8.0474999999999994</v>
      </c>
    </row>
    <row r="56" spans="1:6" x14ac:dyDescent="0.15">
      <c r="A56" s="7"/>
      <c r="B56" s="4">
        <v>52</v>
      </c>
      <c r="C56" s="5">
        <v>4</v>
      </c>
      <c r="D56" s="6">
        <v>8.15</v>
      </c>
      <c r="E56" s="68">
        <f t="shared" si="0"/>
        <v>8.2850000000000001</v>
      </c>
      <c r="F56" s="68">
        <f t="shared" si="1"/>
        <v>8.1725000000000012</v>
      </c>
    </row>
    <row r="57" spans="1:6" x14ac:dyDescent="0.15">
      <c r="A57" s="7"/>
      <c r="B57" s="4">
        <v>53</v>
      </c>
      <c r="C57" s="5">
        <v>5</v>
      </c>
      <c r="D57" s="6">
        <v>8.52</v>
      </c>
      <c r="E57" s="68">
        <f t="shared" si="0"/>
        <v>8.1950000000000003</v>
      </c>
      <c r="F57" s="68">
        <f t="shared" si="1"/>
        <v>8.2324999999999999</v>
      </c>
    </row>
    <row r="58" spans="1:6" x14ac:dyDescent="0.15">
      <c r="A58" s="7"/>
      <c r="B58" s="4">
        <v>54</v>
      </c>
      <c r="C58" s="5">
        <v>6</v>
      </c>
      <c r="D58" s="6">
        <v>8.2899999999999991</v>
      </c>
      <c r="E58" s="68">
        <f t="shared" si="0"/>
        <v>8.3350000000000009</v>
      </c>
      <c r="F58" s="68">
        <f t="shared" si="1"/>
        <v>8.3099999999999987</v>
      </c>
    </row>
    <row r="59" spans="1:6" x14ac:dyDescent="0.15">
      <c r="A59" s="7"/>
      <c r="B59" s="4">
        <v>55</v>
      </c>
      <c r="C59" s="5">
        <v>7</v>
      </c>
      <c r="D59" s="6">
        <v>8.15</v>
      </c>
      <c r="E59" s="68">
        <f t="shared" si="0"/>
        <v>8.4049999999999994</v>
      </c>
      <c r="F59" s="68">
        <f t="shared" si="1"/>
        <v>8.3000000000000007</v>
      </c>
    </row>
    <row r="60" spans="1:6" x14ac:dyDescent="0.15">
      <c r="A60" s="7"/>
      <c r="B60" s="4">
        <v>56</v>
      </c>
      <c r="C60" s="5">
        <v>8</v>
      </c>
      <c r="D60" s="6">
        <v>8.0299999999999994</v>
      </c>
      <c r="E60" s="68">
        <f t="shared" si="0"/>
        <v>8.2199999999999989</v>
      </c>
      <c r="F60" s="68">
        <f t="shared" si="1"/>
        <v>8.2774999999999999</v>
      </c>
    </row>
    <row r="61" spans="1:6" x14ac:dyDescent="0.15">
      <c r="A61" s="7"/>
      <c r="B61" s="4">
        <v>57</v>
      </c>
      <c r="C61" s="4">
        <v>9</v>
      </c>
      <c r="D61" s="6">
        <v>7.91</v>
      </c>
      <c r="E61" s="68">
        <f t="shared" si="0"/>
        <v>8.09</v>
      </c>
      <c r="F61" s="68">
        <f t="shared" si="1"/>
        <v>8.2475000000000005</v>
      </c>
    </row>
    <row r="62" spans="1:6" x14ac:dyDescent="0.15">
      <c r="A62" s="7"/>
      <c r="B62" s="4">
        <v>58</v>
      </c>
      <c r="C62" s="5">
        <v>10</v>
      </c>
      <c r="D62" s="6">
        <v>7.8</v>
      </c>
      <c r="E62" s="68">
        <f t="shared" si="0"/>
        <v>7.97</v>
      </c>
      <c r="F62" s="68">
        <f t="shared" si="1"/>
        <v>8.0949999999999989</v>
      </c>
    </row>
    <row r="63" spans="1:6" x14ac:dyDescent="0.15">
      <c r="A63" s="7"/>
      <c r="B63" s="4">
        <v>59</v>
      </c>
      <c r="C63" s="5">
        <v>11</v>
      </c>
      <c r="D63" s="6">
        <v>7.75</v>
      </c>
      <c r="E63" s="68">
        <f t="shared" si="0"/>
        <v>7.8550000000000004</v>
      </c>
      <c r="F63" s="68">
        <f t="shared" si="1"/>
        <v>7.9725000000000001</v>
      </c>
    </row>
    <row r="64" spans="1:6" x14ac:dyDescent="0.15">
      <c r="A64" s="7"/>
      <c r="B64" s="4">
        <v>60</v>
      </c>
      <c r="C64" s="5">
        <v>12</v>
      </c>
      <c r="D64" s="6">
        <v>7.38</v>
      </c>
      <c r="E64" s="68">
        <f t="shared" si="0"/>
        <v>7.7750000000000004</v>
      </c>
      <c r="F64" s="68">
        <f t="shared" si="1"/>
        <v>7.8724999999999996</v>
      </c>
    </row>
    <row r="65" spans="1:6" x14ac:dyDescent="0.15">
      <c r="A65" s="4">
        <f>A53+1</f>
        <v>6</v>
      </c>
      <c r="B65" s="4">
        <v>61</v>
      </c>
      <c r="C65" s="5">
        <v>1</v>
      </c>
      <c r="D65" s="6">
        <v>7.03</v>
      </c>
      <c r="E65" s="68">
        <f t="shared" si="0"/>
        <v>7.5649999999999995</v>
      </c>
      <c r="F65" s="68">
        <f t="shared" si="1"/>
        <v>7.71</v>
      </c>
    </row>
    <row r="66" spans="1:6" x14ac:dyDescent="0.15">
      <c r="A66" s="7"/>
      <c r="B66" s="4">
        <v>62</v>
      </c>
      <c r="C66" s="5">
        <v>2</v>
      </c>
      <c r="D66" s="6">
        <v>7.05</v>
      </c>
      <c r="E66" s="68">
        <f t="shared" si="0"/>
        <v>7.2050000000000001</v>
      </c>
      <c r="F66" s="68">
        <f t="shared" si="1"/>
        <v>7.49</v>
      </c>
    </row>
    <row r="67" spans="1:6" x14ac:dyDescent="0.15">
      <c r="A67" s="7"/>
      <c r="B67" s="4">
        <v>63</v>
      </c>
      <c r="C67" s="5">
        <v>3</v>
      </c>
      <c r="D67" s="6">
        <v>6.95</v>
      </c>
      <c r="E67" s="68">
        <f t="shared" si="0"/>
        <v>7.04</v>
      </c>
      <c r="F67" s="68">
        <f t="shared" si="1"/>
        <v>7.3025000000000002</v>
      </c>
    </row>
    <row r="68" spans="1:6" x14ac:dyDescent="0.15">
      <c r="A68" s="7"/>
      <c r="B68" s="4">
        <v>64</v>
      </c>
      <c r="C68" s="5">
        <v>4</v>
      </c>
      <c r="D68" s="6">
        <v>7.08</v>
      </c>
      <c r="E68" s="68">
        <f t="shared" si="0"/>
        <v>7</v>
      </c>
      <c r="F68" s="68">
        <f t="shared" si="1"/>
        <v>7.1025</v>
      </c>
    </row>
    <row r="69" spans="1:6" x14ac:dyDescent="0.15">
      <c r="A69" s="7"/>
      <c r="B69" s="4">
        <v>65</v>
      </c>
      <c r="C69" s="5">
        <v>5</v>
      </c>
      <c r="D69" s="6">
        <v>7.15</v>
      </c>
      <c r="E69" s="68">
        <f t="shared" si="0"/>
        <v>7.0150000000000006</v>
      </c>
      <c r="F69" s="68">
        <f t="shared" si="1"/>
        <v>7.0274999999999999</v>
      </c>
    </row>
    <row r="70" spans="1:6" x14ac:dyDescent="0.15">
      <c r="A70" s="7"/>
      <c r="B70" s="4">
        <v>66</v>
      </c>
      <c r="C70" s="5">
        <v>6</v>
      </c>
      <c r="D70" s="6">
        <v>7.16</v>
      </c>
      <c r="E70" s="68">
        <f t="shared" si="0"/>
        <v>7.1150000000000002</v>
      </c>
      <c r="F70" s="68">
        <f t="shared" si="1"/>
        <v>7.0574999999999992</v>
      </c>
    </row>
    <row r="71" spans="1:6" x14ac:dyDescent="0.15">
      <c r="A71" s="7"/>
      <c r="B71" s="4">
        <v>67</v>
      </c>
      <c r="C71" s="5">
        <v>7</v>
      </c>
      <c r="D71" s="6">
        <v>7.13</v>
      </c>
      <c r="E71" s="68">
        <f t="shared" si="0"/>
        <v>7.1550000000000002</v>
      </c>
      <c r="F71" s="68">
        <f t="shared" si="1"/>
        <v>7.085</v>
      </c>
    </row>
    <row r="72" spans="1:6" x14ac:dyDescent="0.15">
      <c r="A72" s="7"/>
      <c r="B72" s="4">
        <v>68</v>
      </c>
      <c r="C72" s="5">
        <v>8</v>
      </c>
      <c r="D72" s="6">
        <v>6.95</v>
      </c>
      <c r="E72" s="68">
        <f t="shared" ref="E72:E87" si="2">AVERAGE(D70:D71)</f>
        <v>7.1449999999999996</v>
      </c>
      <c r="F72" s="68">
        <f t="shared" si="1"/>
        <v>7.13</v>
      </c>
    </row>
    <row r="73" spans="1:6" x14ac:dyDescent="0.15">
      <c r="A73" s="7"/>
      <c r="B73" s="4">
        <v>69</v>
      </c>
      <c r="C73" s="4">
        <v>9</v>
      </c>
      <c r="D73" s="6">
        <v>6.82</v>
      </c>
      <c r="E73" s="68">
        <f t="shared" si="2"/>
        <v>7.04</v>
      </c>
      <c r="F73" s="68">
        <f t="shared" si="1"/>
        <v>7.0975000000000001</v>
      </c>
    </row>
    <row r="74" spans="1:6" x14ac:dyDescent="0.15">
      <c r="A74" s="7"/>
      <c r="B74" s="4">
        <v>70</v>
      </c>
      <c r="C74" s="5">
        <v>10</v>
      </c>
      <c r="D74" s="6">
        <v>6.62</v>
      </c>
      <c r="E74" s="68">
        <f t="shared" si="2"/>
        <v>6.8849999999999998</v>
      </c>
      <c r="F74" s="68">
        <f t="shared" ref="F74:F87" si="3">AVERAGE(D70:D73)</f>
        <v>7.0149999999999997</v>
      </c>
    </row>
    <row r="75" spans="1:6" x14ac:dyDescent="0.15">
      <c r="A75" s="7"/>
      <c r="B75" s="4">
        <v>71</v>
      </c>
      <c r="C75" s="5">
        <v>11</v>
      </c>
      <c r="D75" s="6">
        <v>6.66</v>
      </c>
      <c r="E75" s="68">
        <f t="shared" si="2"/>
        <v>6.7200000000000006</v>
      </c>
      <c r="F75" s="68">
        <f t="shared" si="3"/>
        <v>6.88</v>
      </c>
    </row>
    <row r="76" spans="1:6" x14ac:dyDescent="0.15">
      <c r="A76" s="7"/>
      <c r="B76" s="4">
        <v>72</v>
      </c>
      <c r="C76" s="5">
        <v>12</v>
      </c>
      <c r="D76" s="6">
        <v>7.07</v>
      </c>
      <c r="E76" s="68">
        <f t="shared" si="2"/>
        <v>6.6400000000000006</v>
      </c>
      <c r="F76" s="68">
        <f t="shared" si="3"/>
        <v>6.7625000000000002</v>
      </c>
    </row>
    <row r="77" spans="1:6" x14ac:dyDescent="0.15">
      <c r="A77" s="4">
        <f>A65+1</f>
        <v>7</v>
      </c>
      <c r="B77" s="4">
        <v>73</v>
      </c>
      <c r="C77" s="5">
        <v>1</v>
      </c>
      <c r="D77" s="6">
        <v>7</v>
      </c>
      <c r="E77" s="68">
        <f t="shared" si="2"/>
        <v>6.8650000000000002</v>
      </c>
      <c r="F77" s="68">
        <f t="shared" si="3"/>
        <v>6.7925000000000004</v>
      </c>
    </row>
    <row r="78" spans="1:6" x14ac:dyDescent="0.15">
      <c r="A78" s="7"/>
      <c r="B78" s="4">
        <v>74</v>
      </c>
      <c r="C78" s="5">
        <v>2</v>
      </c>
      <c r="D78" s="6">
        <v>6.89</v>
      </c>
      <c r="E78" s="68">
        <f t="shared" si="2"/>
        <v>7.0350000000000001</v>
      </c>
      <c r="F78" s="68">
        <f t="shared" si="3"/>
        <v>6.8375000000000004</v>
      </c>
    </row>
    <row r="79" spans="1:6" x14ac:dyDescent="0.15">
      <c r="A79" s="7"/>
      <c r="B79" s="4">
        <v>75</v>
      </c>
      <c r="C79" s="5">
        <v>3</v>
      </c>
      <c r="D79" s="6">
        <v>7.01</v>
      </c>
      <c r="E79" s="68">
        <f t="shared" si="2"/>
        <v>6.9450000000000003</v>
      </c>
      <c r="F79" s="68">
        <f t="shared" si="3"/>
        <v>6.9050000000000002</v>
      </c>
    </row>
    <row r="80" spans="1:6" x14ac:dyDescent="0.15">
      <c r="A80" s="7"/>
      <c r="B80" s="4">
        <v>76</v>
      </c>
      <c r="C80" s="5">
        <v>4</v>
      </c>
      <c r="D80" s="6">
        <v>6.99</v>
      </c>
      <c r="E80" s="68">
        <f t="shared" si="2"/>
        <v>6.9499999999999993</v>
      </c>
      <c r="F80" s="68">
        <f t="shared" si="3"/>
        <v>6.9924999999999997</v>
      </c>
    </row>
    <row r="81" spans="1:6" x14ac:dyDescent="0.15">
      <c r="A81" s="7"/>
      <c r="B81" s="4">
        <v>77</v>
      </c>
      <c r="C81" s="5">
        <v>5</v>
      </c>
      <c r="D81" s="6">
        <v>6.81</v>
      </c>
      <c r="E81" s="68">
        <f t="shared" si="2"/>
        <v>7</v>
      </c>
      <c r="F81" s="68">
        <f t="shared" si="3"/>
        <v>6.9725000000000001</v>
      </c>
    </row>
    <row r="82" spans="1:6" x14ac:dyDescent="0.15">
      <c r="A82" s="7"/>
      <c r="B82" s="4">
        <v>78</v>
      </c>
      <c r="C82" s="5">
        <v>6</v>
      </c>
      <c r="D82" s="6">
        <v>6.65</v>
      </c>
      <c r="E82" s="68">
        <f t="shared" si="2"/>
        <v>6.9</v>
      </c>
      <c r="F82" s="68">
        <f t="shared" si="3"/>
        <v>6.9249999999999998</v>
      </c>
    </row>
    <row r="83" spans="1:6" x14ac:dyDescent="0.15">
      <c r="A83" s="7"/>
      <c r="B83" s="4">
        <v>79</v>
      </c>
      <c r="C83" s="5">
        <v>7</v>
      </c>
      <c r="D83" s="6">
        <v>6.49</v>
      </c>
      <c r="E83" s="68">
        <f t="shared" si="2"/>
        <v>6.73</v>
      </c>
      <c r="F83" s="68">
        <f t="shared" si="3"/>
        <v>6.8650000000000002</v>
      </c>
    </row>
    <row r="84" spans="1:6" x14ac:dyDescent="0.15">
      <c r="A84" s="7"/>
      <c r="B84" s="4">
        <v>80</v>
      </c>
      <c r="C84" s="5">
        <v>8</v>
      </c>
      <c r="D84" s="6">
        <v>6.29</v>
      </c>
      <c r="E84" s="68">
        <f t="shared" si="2"/>
        <v>6.57</v>
      </c>
      <c r="F84" s="68">
        <f t="shared" si="3"/>
        <v>6.7350000000000012</v>
      </c>
    </row>
    <row r="85" spans="1:6" x14ac:dyDescent="0.15">
      <c r="A85" s="7"/>
      <c r="B85" s="4">
        <v>81</v>
      </c>
      <c r="C85" s="4">
        <v>9</v>
      </c>
      <c r="D85" s="6">
        <v>6.09</v>
      </c>
      <c r="E85" s="68">
        <f t="shared" si="2"/>
        <v>6.3900000000000006</v>
      </c>
      <c r="F85" s="68">
        <f t="shared" si="3"/>
        <v>6.5600000000000005</v>
      </c>
    </row>
    <row r="86" spans="1:6" ht="14" thickBot="1" x14ac:dyDescent="0.2">
      <c r="A86" s="8"/>
      <c r="B86" s="9">
        <v>82</v>
      </c>
      <c r="C86" s="10">
        <v>10</v>
      </c>
      <c r="D86" s="11">
        <v>6.11</v>
      </c>
      <c r="E86" s="80">
        <f t="shared" si="2"/>
        <v>6.1899999999999995</v>
      </c>
      <c r="F86" s="80">
        <f t="shared" si="3"/>
        <v>6.38</v>
      </c>
    </row>
    <row r="87" spans="1:6" x14ac:dyDescent="0.15">
      <c r="A87" s="7"/>
      <c r="B87" s="4">
        <v>83</v>
      </c>
      <c r="C87" s="5"/>
      <c r="D87" s="7"/>
      <c r="E87" s="68">
        <f t="shared" si="2"/>
        <v>6.1</v>
      </c>
      <c r="F87" s="68">
        <f t="shared" si="3"/>
        <v>6.2450000000000001</v>
      </c>
    </row>
    <row r="88" spans="1:6" ht="14" thickBot="1" x14ac:dyDescent="0.2">
      <c r="A88" s="7"/>
      <c r="B88" s="4">
        <v>84</v>
      </c>
      <c r="C88" s="5"/>
      <c r="D88" s="7"/>
      <c r="E88" s="68">
        <f>E87</f>
        <v>6.1</v>
      </c>
      <c r="F88" s="68">
        <f>F87</f>
        <v>6.2450000000000001</v>
      </c>
    </row>
    <row r="89" spans="1:6" ht="15" thickTop="1" thickBot="1" x14ac:dyDescent="0.2">
      <c r="A89" s="7"/>
      <c r="B89" s="7"/>
      <c r="D89" s="12" t="s">
        <v>5</v>
      </c>
      <c r="E89" s="13">
        <f>SUMXMY2(E7:E86,D7:D86)/COUNT(D7:D86)</f>
        <v>5.2856250000000028E-2</v>
      </c>
      <c r="F89" s="13">
        <f>SUMXMY2(F9:F86,D9:D86)/COUNT(D9:D86)</f>
        <v>8.4301362179487249E-2</v>
      </c>
    </row>
    <row r="90" spans="1:6" ht="14" thickTop="1" x14ac:dyDescent="0.15">
      <c r="A90" s="7"/>
      <c r="B90" s="7"/>
      <c r="C90" s="4"/>
    </row>
    <row r="91" spans="1:6" x14ac:dyDescent="0.15">
      <c r="A91" s="7"/>
      <c r="B91" s="7"/>
      <c r="C91" s="4"/>
    </row>
    <row r="92" spans="1:6" x14ac:dyDescent="0.15">
      <c r="A92" s="7"/>
      <c r="B92" s="7"/>
      <c r="C92" s="4"/>
    </row>
  </sheetData>
  <mergeCells count="2">
    <mergeCell ref="A2:D2"/>
    <mergeCell ref="E3:F3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E7 E8:F89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ED0E-69D4-4E4B-A3CA-E7911983C788}">
  <dimension ref="A1:H90"/>
  <sheetViews>
    <sheetView zoomScaleNormal="137" workbookViewId="0">
      <selection activeCell="Q11" sqref="Q11"/>
    </sheetView>
  </sheetViews>
  <sheetFormatPr baseColWidth="10" defaultColWidth="8.83203125" defaultRowHeight="13" x14ac:dyDescent="0.15"/>
  <cols>
    <col min="8" max="8" width="12.1640625" bestFit="1" customWidth="1"/>
  </cols>
  <sheetData>
    <row r="1" spans="1:8" x14ac:dyDescent="0.15">
      <c r="A1" s="91" t="s">
        <v>0</v>
      </c>
      <c r="B1" s="91"/>
      <c r="C1" s="91"/>
      <c r="D1" s="91"/>
    </row>
    <row r="2" spans="1:8" x14ac:dyDescent="0.15">
      <c r="A2" s="1"/>
      <c r="C2" s="1"/>
      <c r="E2" s="12"/>
    </row>
    <row r="3" spans="1:8" ht="15" thickBot="1" x14ac:dyDescent="0.2">
      <c r="A3" s="2" t="s">
        <v>1</v>
      </c>
      <c r="B3" s="2" t="s">
        <v>2</v>
      </c>
      <c r="C3" s="3" t="s">
        <v>3</v>
      </c>
      <c r="D3" s="3" t="s">
        <v>4</v>
      </c>
      <c r="E3" s="2" t="s">
        <v>14</v>
      </c>
      <c r="G3" s="12" t="s">
        <v>9</v>
      </c>
      <c r="H3" s="14">
        <v>0</v>
      </c>
    </row>
    <row r="4" spans="1:8" x14ac:dyDescent="0.15">
      <c r="A4" s="4">
        <v>1</v>
      </c>
      <c r="B4" s="4">
        <v>1</v>
      </c>
      <c r="C4" s="5">
        <v>1</v>
      </c>
      <c r="D4" s="6">
        <v>7.03</v>
      </c>
      <c r="E4" s="19" t="s">
        <v>47</v>
      </c>
      <c r="G4" s="12" t="s">
        <v>10</v>
      </c>
      <c r="H4" s="14">
        <v>0</v>
      </c>
    </row>
    <row r="5" spans="1:8" x14ac:dyDescent="0.15">
      <c r="A5" s="7"/>
      <c r="B5" s="4">
        <v>2</v>
      </c>
      <c r="C5" s="5">
        <v>2</v>
      </c>
      <c r="D5" s="6">
        <v>7.08</v>
      </c>
      <c r="E5" s="19" t="s">
        <v>47</v>
      </c>
      <c r="G5" s="12" t="s">
        <v>11</v>
      </c>
      <c r="H5" s="14">
        <v>0</v>
      </c>
    </row>
    <row r="6" spans="1:8" x14ac:dyDescent="0.15">
      <c r="A6" s="7"/>
      <c r="B6" s="4">
        <v>3</v>
      </c>
      <c r="C6" s="5">
        <v>3</v>
      </c>
      <c r="D6" s="6">
        <v>7.62</v>
      </c>
      <c r="E6" s="19" t="s">
        <v>47</v>
      </c>
      <c r="G6" s="12" t="s">
        <v>12</v>
      </c>
      <c r="H6" s="15">
        <v>1</v>
      </c>
    </row>
    <row r="7" spans="1:8" x14ac:dyDescent="0.15">
      <c r="A7" s="7"/>
      <c r="B7" s="4">
        <v>4</v>
      </c>
      <c r="C7" s="5">
        <v>4</v>
      </c>
      <c r="D7" s="6">
        <v>7.93</v>
      </c>
      <c r="E7" s="19" t="s">
        <v>47</v>
      </c>
      <c r="G7" s="12" t="s">
        <v>13</v>
      </c>
      <c r="H7" s="16">
        <f>SUM(H3:H6)</f>
        <v>1</v>
      </c>
    </row>
    <row r="8" spans="1:8" ht="14" thickBot="1" x14ac:dyDescent="0.2">
      <c r="A8" s="7"/>
      <c r="B8" s="4">
        <v>5</v>
      </c>
      <c r="C8" s="5">
        <v>5</v>
      </c>
      <c r="D8" s="6">
        <v>8.07</v>
      </c>
      <c r="E8" s="18">
        <f>$H$3*D4+$H$4*D5+$H$5*D6+$H$6*D7</f>
        <v>7.93</v>
      </c>
    </row>
    <row r="9" spans="1:8" ht="15" thickTop="1" thickBot="1" x14ac:dyDescent="0.2">
      <c r="A9" s="7"/>
      <c r="B9" s="4">
        <v>6</v>
      </c>
      <c r="C9" s="5">
        <v>6</v>
      </c>
      <c r="D9" s="6">
        <v>8.32</v>
      </c>
      <c r="E9" s="18">
        <f t="shared" ref="E9:E72" si="0">$H$3*D5+$H$4*D6+$H$5*D7+$H$6*D8</f>
        <v>8.07</v>
      </c>
      <c r="G9" s="12" t="s">
        <v>5</v>
      </c>
      <c r="H9" s="13">
        <f>SUMXMY2(D8:D85,E8:E85)/COUNT(E8:E85)</f>
        <v>3.1500000000000007E-2</v>
      </c>
    </row>
    <row r="10" spans="1:8" ht="14" thickTop="1" x14ac:dyDescent="0.15">
      <c r="A10" s="7"/>
      <c r="B10" s="4">
        <v>7</v>
      </c>
      <c r="C10" s="5">
        <v>7</v>
      </c>
      <c r="D10" s="6">
        <v>8.25</v>
      </c>
      <c r="E10" s="18">
        <f t="shared" si="0"/>
        <v>8.32</v>
      </c>
    </row>
    <row r="11" spans="1:8" x14ac:dyDescent="0.15">
      <c r="A11" s="7"/>
      <c r="B11" s="4">
        <v>8</v>
      </c>
      <c r="C11" s="5">
        <v>8</v>
      </c>
      <c r="D11" s="6">
        <v>8</v>
      </c>
      <c r="E11" s="18">
        <f t="shared" si="0"/>
        <v>8.25</v>
      </c>
    </row>
    <row r="12" spans="1:8" x14ac:dyDescent="0.15">
      <c r="A12" s="7"/>
      <c r="B12" s="4">
        <v>9</v>
      </c>
      <c r="C12" s="4">
        <v>9</v>
      </c>
      <c r="D12" s="6">
        <v>8.23</v>
      </c>
      <c r="E12" s="18">
        <f t="shared" si="0"/>
        <v>8</v>
      </c>
    </row>
    <row r="13" spans="1:8" x14ac:dyDescent="0.15">
      <c r="A13" s="7"/>
      <c r="B13" s="4">
        <v>10</v>
      </c>
      <c r="C13" s="5">
        <v>10</v>
      </c>
      <c r="D13" s="6">
        <v>7.92</v>
      </c>
      <c r="E13" s="18">
        <f t="shared" si="0"/>
        <v>8.23</v>
      </c>
    </row>
    <row r="14" spans="1:8" x14ac:dyDescent="0.15">
      <c r="A14" s="7"/>
      <c r="B14" s="4">
        <v>11</v>
      </c>
      <c r="C14" s="5">
        <v>11</v>
      </c>
      <c r="D14" s="6">
        <v>7.62</v>
      </c>
      <c r="E14" s="18">
        <f t="shared" si="0"/>
        <v>7.92</v>
      </c>
    </row>
    <row r="15" spans="1:8" x14ac:dyDescent="0.15">
      <c r="A15" s="7"/>
      <c r="B15" s="4">
        <v>12</v>
      </c>
      <c r="C15" s="5">
        <v>12</v>
      </c>
      <c r="D15" s="6">
        <v>7.6</v>
      </c>
      <c r="E15" s="18">
        <f t="shared" si="0"/>
        <v>7.62</v>
      </c>
    </row>
    <row r="16" spans="1:8" x14ac:dyDescent="0.15">
      <c r="A16" s="4">
        <f>A4+1</f>
        <v>2</v>
      </c>
      <c r="B16" s="4">
        <v>13</v>
      </c>
      <c r="C16" s="5">
        <v>1</v>
      </c>
      <c r="D16" s="6">
        <v>7.82</v>
      </c>
      <c r="E16" s="18">
        <f t="shared" si="0"/>
        <v>7.6</v>
      </c>
    </row>
    <row r="17" spans="1:5" x14ac:dyDescent="0.15">
      <c r="A17" s="7"/>
      <c r="B17" s="4">
        <v>14</v>
      </c>
      <c r="C17" s="5">
        <v>2</v>
      </c>
      <c r="D17" s="6">
        <v>7.65</v>
      </c>
      <c r="E17" s="18">
        <f t="shared" si="0"/>
        <v>7.82</v>
      </c>
    </row>
    <row r="18" spans="1:5" x14ac:dyDescent="0.15">
      <c r="A18" s="7"/>
      <c r="B18" s="4">
        <v>15</v>
      </c>
      <c r="C18" s="5">
        <v>3</v>
      </c>
      <c r="D18" s="6">
        <v>7.9</v>
      </c>
      <c r="E18" s="18">
        <f t="shared" si="0"/>
        <v>7.65</v>
      </c>
    </row>
    <row r="19" spans="1:5" x14ac:dyDescent="0.15">
      <c r="A19" s="7"/>
      <c r="B19" s="4">
        <v>16</v>
      </c>
      <c r="C19" s="5">
        <v>4</v>
      </c>
      <c r="D19" s="6">
        <v>8.14</v>
      </c>
      <c r="E19" s="18">
        <f t="shared" si="0"/>
        <v>7.9</v>
      </c>
    </row>
    <row r="20" spans="1:5" x14ac:dyDescent="0.15">
      <c r="A20" s="7"/>
      <c r="B20" s="4">
        <v>17</v>
      </c>
      <c r="C20" s="5">
        <v>5</v>
      </c>
      <c r="D20" s="6">
        <v>7.94</v>
      </c>
      <c r="E20" s="18">
        <f t="shared" si="0"/>
        <v>8.14</v>
      </c>
    </row>
    <row r="21" spans="1:5" x14ac:dyDescent="0.15">
      <c r="A21" s="7"/>
      <c r="B21" s="4">
        <v>18</v>
      </c>
      <c r="C21" s="5">
        <v>6</v>
      </c>
      <c r="D21" s="6">
        <v>7.69</v>
      </c>
      <c r="E21" s="18">
        <f t="shared" si="0"/>
        <v>7.94</v>
      </c>
    </row>
    <row r="22" spans="1:5" x14ac:dyDescent="0.15">
      <c r="A22" s="7"/>
      <c r="B22" s="4">
        <v>19</v>
      </c>
      <c r="C22" s="5">
        <v>7</v>
      </c>
      <c r="D22" s="6">
        <v>7.5</v>
      </c>
      <c r="E22" s="18">
        <f t="shared" si="0"/>
        <v>7.69</v>
      </c>
    </row>
    <row r="23" spans="1:5" x14ac:dyDescent="0.15">
      <c r="A23" s="7"/>
      <c r="B23" s="4">
        <v>20</v>
      </c>
      <c r="C23" s="5">
        <v>8</v>
      </c>
      <c r="D23" s="6">
        <v>7.48</v>
      </c>
      <c r="E23" s="18">
        <f t="shared" si="0"/>
        <v>7.5</v>
      </c>
    </row>
    <row r="24" spans="1:5" x14ac:dyDescent="0.15">
      <c r="A24" s="7"/>
      <c r="B24" s="4">
        <v>21</v>
      </c>
      <c r="C24" s="4">
        <v>9</v>
      </c>
      <c r="D24" s="6">
        <v>7.43</v>
      </c>
      <c r="E24" s="18">
        <f t="shared" si="0"/>
        <v>7.48</v>
      </c>
    </row>
    <row r="25" spans="1:5" x14ac:dyDescent="0.15">
      <c r="A25" s="7"/>
      <c r="B25" s="4">
        <v>22</v>
      </c>
      <c r="C25" s="5">
        <v>10</v>
      </c>
      <c r="D25" s="6">
        <v>7.29</v>
      </c>
      <c r="E25" s="18">
        <f t="shared" si="0"/>
        <v>7.43</v>
      </c>
    </row>
    <row r="26" spans="1:5" x14ac:dyDescent="0.15">
      <c r="A26" s="7"/>
      <c r="B26" s="4">
        <v>23</v>
      </c>
      <c r="C26" s="5">
        <v>11</v>
      </c>
      <c r="D26" s="6">
        <v>7.21</v>
      </c>
      <c r="E26" s="18">
        <f t="shared" si="0"/>
        <v>7.29</v>
      </c>
    </row>
    <row r="27" spans="1:5" x14ac:dyDescent="0.15">
      <c r="A27" s="7"/>
      <c r="B27" s="4">
        <v>24</v>
      </c>
      <c r="C27" s="5">
        <v>12</v>
      </c>
      <c r="D27" s="6">
        <v>7.1</v>
      </c>
      <c r="E27" s="18">
        <f t="shared" si="0"/>
        <v>7.21</v>
      </c>
    </row>
    <row r="28" spans="1:5" x14ac:dyDescent="0.15">
      <c r="A28" s="4">
        <f>A16+1</f>
        <v>3</v>
      </c>
      <c r="B28" s="4">
        <v>25</v>
      </c>
      <c r="C28" s="5">
        <v>1</v>
      </c>
      <c r="D28" s="6">
        <v>6.99</v>
      </c>
      <c r="E28" s="18">
        <f t="shared" si="0"/>
        <v>7.1</v>
      </c>
    </row>
    <row r="29" spans="1:5" x14ac:dyDescent="0.15">
      <c r="A29" s="7"/>
      <c r="B29" s="4">
        <v>26</v>
      </c>
      <c r="C29" s="5">
        <v>2</v>
      </c>
      <c r="D29" s="6">
        <v>7.04</v>
      </c>
      <c r="E29" s="18">
        <f t="shared" si="0"/>
        <v>6.99</v>
      </c>
    </row>
    <row r="30" spans="1:5" x14ac:dyDescent="0.15">
      <c r="A30" s="7"/>
      <c r="B30" s="4">
        <v>27</v>
      </c>
      <c r="C30" s="5">
        <v>3</v>
      </c>
      <c r="D30" s="6">
        <v>7.13</v>
      </c>
      <c r="E30" s="18">
        <f t="shared" si="0"/>
        <v>7.04</v>
      </c>
    </row>
    <row r="31" spans="1:5" x14ac:dyDescent="0.15">
      <c r="A31" s="7"/>
      <c r="B31" s="4">
        <v>28</v>
      </c>
      <c r="C31" s="5">
        <v>4</v>
      </c>
      <c r="D31" s="6">
        <v>7.14</v>
      </c>
      <c r="E31" s="18">
        <f t="shared" si="0"/>
        <v>7.13</v>
      </c>
    </row>
    <row r="32" spans="1:5" x14ac:dyDescent="0.15">
      <c r="A32" s="7"/>
      <c r="B32" s="4">
        <v>29</v>
      </c>
      <c r="C32" s="5">
        <v>5</v>
      </c>
      <c r="D32" s="6">
        <v>7.14</v>
      </c>
      <c r="E32" s="18">
        <f t="shared" si="0"/>
        <v>7.14</v>
      </c>
    </row>
    <row r="33" spans="1:5" x14ac:dyDescent="0.15">
      <c r="A33" s="7"/>
      <c r="B33" s="4">
        <v>30</v>
      </c>
      <c r="C33" s="5">
        <v>6</v>
      </c>
      <c r="D33" s="6">
        <v>7</v>
      </c>
      <c r="E33" s="18">
        <f t="shared" si="0"/>
        <v>7.14</v>
      </c>
    </row>
    <row r="34" spans="1:5" x14ac:dyDescent="0.15">
      <c r="A34" s="7"/>
      <c r="B34" s="4">
        <v>31</v>
      </c>
      <c r="C34" s="5">
        <v>7</v>
      </c>
      <c r="D34" s="6">
        <v>6.95</v>
      </c>
      <c r="E34" s="18">
        <f t="shared" si="0"/>
        <v>7</v>
      </c>
    </row>
    <row r="35" spans="1:5" x14ac:dyDescent="0.15">
      <c r="A35" s="7"/>
      <c r="B35" s="4">
        <v>32</v>
      </c>
      <c r="C35" s="5">
        <v>8</v>
      </c>
      <c r="D35" s="6">
        <v>6.92</v>
      </c>
      <c r="E35" s="18">
        <f t="shared" si="0"/>
        <v>6.95</v>
      </c>
    </row>
    <row r="36" spans="1:5" x14ac:dyDescent="0.15">
      <c r="A36" s="7"/>
      <c r="B36" s="4">
        <v>33</v>
      </c>
      <c r="C36" s="4">
        <v>9</v>
      </c>
      <c r="D36" s="6">
        <v>6.72</v>
      </c>
      <c r="E36" s="18">
        <f t="shared" si="0"/>
        <v>6.92</v>
      </c>
    </row>
    <row r="37" spans="1:5" x14ac:dyDescent="0.15">
      <c r="A37" s="7"/>
      <c r="B37" s="4">
        <v>34</v>
      </c>
      <c r="C37" s="5">
        <v>10</v>
      </c>
      <c r="D37" s="6">
        <v>6.71</v>
      </c>
      <c r="E37" s="18">
        <f t="shared" si="0"/>
        <v>6.72</v>
      </c>
    </row>
    <row r="38" spans="1:5" x14ac:dyDescent="0.15">
      <c r="A38" s="7"/>
      <c r="B38" s="4">
        <v>35</v>
      </c>
      <c r="C38" s="5">
        <v>11</v>
      </c>
      <c r="D38" s="6">
        <v>6.87</v>
      </c>
      <c r="E38" s="18">
        <f t="shared" si="0"/>
        <v>6.71</v>
      </c>
    </row>
    <row r="39" spans="1:5" x14ac:dyDescent="0.15">
      <c r="A39" s="7"/>
      <c r="B39" s="4">
        <v>36</v>
      </c>
      <c r="C39" s="5">
        <v>12</v>
      </c>
      <c r="D39" s="6">
        <v>6.74</v>
      </c>
      <c r="E39" s="18">
        <f t="shared" si="0"/>
        <v>6.87</v>
      </c>
    </row>
    <row r="40" spans="1:5" x14ac:dyDescent="0.15">
      <c r="A40" s="4">
        <f>A28+1</f>
        <v>4</v>
      </c>
      <c r="B40" s="4">
        <v>37</v>
      </c>
      <c r="C40" s="5">
        <v>1</v>
      </c>
      <c r="D40" s="6">
        <v>6.79</v>
      </c>
      <c r="E40" s="18">
        <f t="shared" si="0"/>
        <v>6.74</v>
      </c>
    </row>
    <row r="41" spans="1:5" x14ac:dyDescent="0.15">
      <c r="A41" s="7"/>
      <c r="B41" s="4">
        <v>38</v>
      </c>
      <c r="C41" s="5">
        <v>2</v>
      </c>
      <c r="D41" s="6">
        <v>6.81</v>
      </c>
      <c r="E41" s="18">
        <f t="shared" si="0"/>
        <v>6.79</v>
      </c>
    </row>
    <row r="42" spans="1:5" x14ac:dyDescent="0.15">
      <c r="A42" s="7"/>
      <c r="B42" s="4">
        <v>39</v>
      </c>
      <c r="C42" s="5">
        <v>3</v>
      </c>
      <c r="D42" s="6">
        <v>7.04</v>
      </c>
      <c r="E42" s="18">
        <f t="shared" si="0"/>
        <v>6.81</v>
      </c>
    </row>
    <row r="43" spans="1:5" x14ac:dyDescent="0.15">
      <c r="A43" s="7"/>
      <c r="B43" s="4">
        <v>40</v>
      </c>
      <c r="C43" s="5">
        <v>4</v>
      </c>
      <c r="D43" s="6">
        <v>6.92</v>
      </c>
      <c r="E43" s="18">
        <f t="shared" si="0"/>
        <v>7.04</v>
      </c>
    </row>
    <row r="44" spans="1:5" x14ac:dyDescent="0.15">
      <c r="A44" s="7"/>
      <c r="B44" s="4">
        <v>41</v>
      </c>
      <c r="C44" s="5">
        <v>5</v>
      </c>
      <c r="D44" s="6">
        <v>7.15</v>
      </c>
      <c r="E44" s="18">
        <f t="shared" si="0"/>
        <v>6.92</v>
      </c>
    </row>
    <row r="45" spans="1:5" x14ac:dyDescent="0.15">
      <c r="A45" s="7"/>
      <c r="B45" s="4">
        <v>42</v>
      </c>
      <c r="C45" s="5">
        <v>6</v>
      </c>
      <c r="D45" s="6">
        <v>7.55</v>
      </c>
      <c r="E45" s="18">
        <f t="shared" si="0"/>
        <v>7.15</v>
      </c>
    </row>
    <row r="46" spans="1:5" x14ac:dyDescent="0.15">
      <c r="A46" s="7"/>
      <c r="B46" s="4">
        <v>43</v>
      </c>
      <c r="C46" s="5">
        <v>7</v>
      </c>
      <c r="D46" s="6">
        <v>7.63</v>
      </c>
      <c r="E46" s="18">
        <f t="shared" si="0"/>
        <v>7.55</v>
      </c>
    </row>
    <row r="47" spans="1:5" x14ac:dyDescent="0.15">
      <c r="A47" s="7"/>
      <c r="B47" s="4">
        <v>44</v>
      </c>
      <c r="C47" s="5">
        <v>8</v>
      </c>
      <c r="D47" s="6">
        <v>7.94</v>
      </c>
      <c r="E47" s="18">
        <f t="shared" si="0"/>
        <v>7.63</v>
      </c>
    </row>
    <row r="48" spans="1:5" x14ac:dyDescent="0.15">
      <c r="A48" s="7"/>
      <c r="B48" s="4">
        <v>45</v>
      </c>
      <c r="C48" s="4">
        <v>9</v>
      </c>
      <c r="D48" s="6">
        <v>7.82</v>
      </c>
      <c r="E48" s="18">
        <f t="shared" si="0"/>
        <v>7.94</v>
      </c>
    </row>
    <row r="49" spans="1:5" x14ac:dyDescent="0.15">
      <c r="A49" s="7"/>
      <c r="B49" s="4">
        <v>46</v>
      </c>
      <c r="C49" s="5">
        <v>10</v>
      </c>
      <c r="D49" s="6">
        <v>7.85</v>
      </c>
      <c r="E49" s="18">
        <f t="shared" si="0"/>
        <v>7.82</v>
      </c>
    </row>
    <row r="50" spans="1:5" x14ac:dyDescent="0.15">
      <c r="A50" s="7"/>
      <c r="B50" s="4">
        <v>47</v>
      </c>
      <c r="C50" s="5">
        <v>11</v>
      </c>
      <c r="D50" s="6">
        <v>7.74</v>
      </c>
      <c r="E50" s="18">
        <f t="shared" si="0"/>
        <v>7.85</v>
      </c>
    </row>
    <row r="51" spans="1:5" x14ac:dyDescent="0.15">
      <c r="A51" s="7"/>
      <c r="B51" s="4">
        <v>48</v>
      </c>
      <c r="C51" s="5">
        <v>12</v>
      </c>
      <c r="D51" s="6">
        <v>7.91</v>
      </c>
      <c r="E51" s="18">
        <f t="shared" si="0"/>
        <v>7.74</v>
      </c>
    </row>
    <row r="52" spans="1:5" x14ac:dyDescent="0.15">
      <c r="A52" s="4">
        <f>A40+1</f>
        <v>5</v>
      </c>
      <c r="B52" s="4">
        <v>49</v>
      </c>
      <c r="C52" s="5">
        <v>1</v>
      </c>
      <c r="D52" s="6">
        <v>8.2100000000000009</v>
      </c>
      <c r="E52" s="18">
        <f t="shared" si="0"/>
        <v>7.91</v>
      </c>
    </row>
    <row r="53" spans="1:5" x14ac:dyDescent="0.15">
      <c r="A53" s="7"/>
      <c r="B53" s="4">
        <v>50</v>
      </c>
      <c r="C53" s="5">
        <v>2</v>
      </c>
      <c r="D53" s="6">
        <v>8.33</v>
      </c>
      <c r="E53" s="18">
        <f t="shared" si="0"/>
        <v>8.2100000000000009</v>
      </c>
    </row>
    <row r="54" spans="1:5" x14ac:dyDescent="0.15">
      <c r="A54" s="7"/>
      <c r="B54" s="4">
        <v>51</v>
      </c>
      <c r="C54" s="5">
        <v>3</v>
      </c>
      <c r="D54" s="6">
        <v>8.24</v>
      </c>
      <c r="E54" s="18">
        <f t="shared" si="0"/>
        <v>8.33</v>
      </c>
    </row>
    <row r="55" spans="1:5" x14ac:dyDescent="0.15">
      <c r="A55" s="7"/>
      <c r="B55" s="4">
        <v>52</v>
      </c>
      <c r="C55" s="5">
        <v>4</v>
      </c>
      <c r="D55" s="6">
        <v>8.15</v>
      </c>
      <c r="E55" s="18">
        <f t="shared" si="0"/>
        <v>8.24</v>
      </c>
    </row>
    <row r="56" spans="1:5" x14ac:dyDescent="0.15">
      <c r="A56" s="7"/>
      <c r="B56" s="4">
        <v>53</v>
      </c>
      <c r="C56" s="5">
        <v>5</v>
      </c>
      <c r="D56" s="6">
        <v>8.52</v>
      </c>
      <c r="E56" s="18">
        <f t="shared" si="0"/>
        <v>8.15</v>
      </c>
    </row>
    <row r="57" spans="1:5" x14ac:dyDescent="0.15">
      <c r="A57" s="7"/>
      <c r="B57" s="4">
        <v>54</v>
      </c>
      <c r="C57" s="5">
        <v>6</v>
      </c>
      <c r="D57" s="6">
        <v>8.2899999999999991</v>
      </c>
      <c r="E57" s="18">
        <f t="shared" si="0"/>
        <v>8.52</v>
      </c>
    </row>
    <row r="58" spans="1:5" x14ac:dyDescent="0.15">
      <c r="A58" s="7"/>
      <c r="B58" s="4">
        <v>55</v>
      </c>
      <c r="C58" s="5">
        <v>7</v>
      </c>
      <c r="D58" s="6">
        <v>8.15</v>
      </c>
      <c r="E58" s="18">
        <f t="shared" si="0"/>
        <v>8.2899999999999991</v>
      </c>
    </row>
    <row r="59" spans="1:5" x14ac:dyDescent="0.15">
      <c r="A59" s="7"/>
      <c r="B59" s="4">
        <v>56</v>
      </c>
      <c r="C59" s="5">
        <v>8</v>
      </c>
      <c r="D59" s="6">
        <v>8.0299999999999994</v>
      </c>
      <c r="E59" s="18">
        <f t="shared" si="0"/>
        <v>8.15</v>
      </c>
    </row>
    <row r="60" spans="1:5" x14ac:dyDescent="0.15">
      <c r="A60" s="7"/>
      <c r="B60" s="4">
        <v>57</v>
      </c>
      <c r="C60" s="4">
        <v>9</v>
      </c>
      <c r="D60" s="6">
        <v>7.91</v>
      </c>
      <c r="E60" s="18">
        <f t="shared" si="0"/>
        <v>8.0299999999999994</v>
      </c>
    </row>
    <row r="61" spans="1:5" x14ac:dyDescent="0.15">
      <c r="A61" s="7"/>
      <c r="B61" s="4">
        <v>58</v>
      </c>
      <c r="C61" s="5">
        <v>10</v>
      </c>
      <c r="D61" s="6">
        <v>7.8</v>
      </c>
      <c r="E61" s="18">
        <f t="shared" si="0"/>
        <v>7.91</v>
      </c>
    </row>
    <row r="62" spans="1:5" x14ac:dyDescent="0.15">
      <c r="A62" s="7"/>
      <c r="B62" s="4">
        <v>59</v>
      </c>
      <c r="C62" s="5">
        <v>11</v>
      </c>
      <c r="D62" s="6">
        <v>7.75</v>
      </c>
      <c r="E62" s="18">
        <f t="shared" si="0"/>
        <v>7.8</v>
      </c>
    </row>
    <row r="63" spans="1:5" x14ac:dyDescent="0.15">
      <c r="A63" s="7"/>
      <c r="B63" s="4">
        <v>60</v>
      </c>
      <c r="C63" s="5">
        <v>12</v>
      </c>
      <c r="D63" s="6">
        <v>7.38</v>
      </c>
      <c r="E63" s="18">
        <f t="shared" si="0"/>
        <v>7.75</v>
      </c>
    </row>
    <row r="64" spans="1:5" x14ac:dyDescent="0.15">
      <c r="A64" s="4">
        <f>A52+1</f>
        <v>6</v>
      </c>
      <c r="B64" s="4">
        <v>61</v>
      </c>
      <c r="C64" s="5">
        <v>1</v>
      </c>
      <c r="D64" s="6">
        <v>7.03</v>
      </c>
      <c r="E64" s="18">
        <f t="shared" si="0"/>
        <v>7.38</v>
      </c>
    </row>
    <row r="65" spans="1:5" x14ac:dyDescent="0.15">
      <c r="A65" s="7"/>
      <c r="B65" s="4">
        <v>62</v>
      </c>
      <c r="C65" s="5">
        <v>2</v>
      </c>
      <c r="D65" s="6">
        <v>7.05</v>
      </c>
      <c r="E65" s="18">
        <f t="shared" si="0"/>
        <v>7.03</v>
      </c>
    </row>
    <row r="66" spans="1:5" x14ac:dyDescent="0.15">
      <c r="A66" s="7"/>
      <c r="B66" s="4">
        <v>63</v>
      </c>
      <c r="C66" s="5">
        <v>3</v>
      </c>
      <c r="D66" s="6">
        <v>6.95</v>
      </c>
      <c r="E66" s="18">
        <f t="shared" si="0"/>
        <v>7.05</v>
      </c>
    </row>
    <row r="67" spans="1:5" x14ac:dyDescent="0.15">
      <c r="A67" s="7"/>
      <c r="B67" s="4">
        <v>64</v>
      </c>
      <c r="C67" s="5">
        <v>4</v>
      </c>
      <c r="D67" s="6">
        <v>7.08</v>
      </c>
      <c r="E67" s="18">
        <f t="shared" si="0"/>
        <v>6.95</v>
      </c>
    </row>
    <row r="68" spans="1:5" x14ac:dyDescent="0.15">
      <c r="A68" s="7"/>
      <c r="B68" s="4">
        <v>65</v>
      </c>
      <c r="C68" s="5">
        <v>5</v>
      </c>
      <c r="D68" s="6">
        <v>7.15</v>
      </c>
      <c r="E68" s="18">
        <f t="shared" si="0"/>
        <v>7.08</v>
      </c>
    </row>
    <row r="69" spans="1:5" x14ac:dyDescent="0.15">
      <c r="A69" s="7"/>
      <c r="B69" s="4">
        <v>66</v>
      </c>
      <c r="C69" s="5">
        <v>6</v>
      </c>
      <c r="D69" s="6">
        <v>7.16</v>
      </c>
      <c r="E69" s="18">
        <f t="shared" si="0"/>
        <v>7.15</v>
      </c>
    </row>
    <row r="70" spans="1:5" x14ac:dyDescent="0.15">
      <c r="A70" s="7"/>
      <c r="B70" s="4">
        <v>67</v>
      </c>
      <c r="C70" s="5">
        <v>7</v>
      </c>
      <c r="D70" s="6">
        <v>7.13</v>
      </c>
      <c r="E70" s="18">
        <f t="shared" si="0"/>
        <v>7.16</v>
      </c>
    </row>
    <row r="71" spans="1:5" x14ac:dyDescent="0.15">
      <c r="A71" s="7"/>
      <c r="B71" s="4">
        <v>68</v>
      </c>
      <c r="C71" s="5">
        <v>8</v>
      </c>
      <c r="D71" s="6">
        <v>6.95</v>
      </c>
      <c r="E71" s="18">
        <f t="shared" si="0"/>
        <v>7.13</v>
      </c>
    </row>
    <row r="72" spans="1:5" x14ac:dyDescent="0.15">
      <c r="A72" s="7"/>
      <c r="B72" s="4">
        <v>69</v>
      </c>
      <c r="C72" s="4">
        <v>9</v>
      </c>
      <c r="D72" s="6">
        <v>6.82</v>
      </c>
      <c r="E72" s="18">
        <f t="shared" si="0"/>
        <v>6.95</v>
      </c>
    </row>
    <row r="73" spans="1:5" x14ac:dyDescent="0.15">
      <c r="A73" s="7"/>
      <c r="B73" s="4">
        <v>70</v>
      </c>
      <c r="C73" s="5">
        <v>10</v>
      </c>
      <c r="D73" s="6">
        <v>6.62</v>
      </c>
      <c r="E73" s="18">
        <f t="shared" ref="E73:E85" si="1">$H$3*D69+$H$4*D70+$H$5*D71+$H$6*D72</f>
        <v>6.82</v>
      </c>
    </row>
    <row r="74" spans="1:5" x14ac:dyDescent="0.15">
      <c r="A74" s="7"/>
      <c r="B74" s="4">
        <v>71</v>
      </c>
      <c r="C74" s="5">
        <v>11</v>
      </c>
      <c r="D74" s="6">
        <v>6.66</v>
      </c>
      <c r="E74" s="18">
        <f t="shared" si="1"/>
        <v>6.62</v>
      </c>
    </row>
    <row r="75" spans="1:5" x14ac:dyDescent="0.15">
      <c r="A75" s="7"/>
      <c r="B75" s="4">
        <v>72</v>
      </c>
      <c r="C75" s="5">
        <v>12</v>
      </c>
      <c r="D75" s="6">
        <v>7.07</v>
      </c>
      <c r="E75" s="18">
        <f t="shared" si="1"/>
        <v>6.66</v>
      </c>
    </row>
    <row r="76" spans="1:5" x14ac:dyDescent="0.15">
      <c r="A76" s="4">
        <f>A64+1</f>
        <v>7</v>
      </c>
      <c r="B76" s="4">
        <v>73</v>
      </c>
      <c r="C76" s="5">
        <v>1</v>
      </c>
      <c r="D76" s="6">
        <v>7</v>
      </c>
      <c r="E76" s="18">
        <f t="shared" si="1"/>
        <v>7.07</v>
      </c>
    </row>
    <row r="77" spans="1:5" x14ac:dyDescent="0.15">
      <c r="A77" s="7"/>
      <c r="B77" s="4">
        <v>74</v>
      </c>
      <c r="C77" s="5">
        <v>2</v>
      </c>
      <c r="D77" s="6">
        <v>6.89</v>
      </c>
      <c r="E77" s="18">
        <f t="shared" si="1"/>
        <v>7</v>
      </c>
    </row>
    <row r="78" spans="1:5" x14ac:dyDescent="0.15">
      <c r="A78" s="7"/>
      <c r="B78" s="4">
        <v>75</v>
      </c>
      <c r="C78" s="5">
        <v>3</v>
      </c>
      <c r="D78" s="6">
        <v>7.01</v>
      </c>
      <c r="E78" s="18">
        <f t="shared" si="1"/>
        <v>6.89</v>
      </c>
    </row>
    <row r="79" spans="1:5" x14ac:dyDescent="0.15">
      <c r="A79" s="7"/>
      <c r="B79" s="4">
        <v>76</v>
      </c>
      <c r="C79" s="5">
        <v>4</v>
      </c>
      <c r="D79" s="6">
        <v>6.99</v>
      </c>
      <c r="E79" s="18">
        <f t="shared" si="1"/>
        <v>7.01</v>
      </c>
    </row>
    <row r="80" spans="1:5" x14ac:dyDescent="0.15">
      <c r="A80" s="7"/>
      <c r="B80" s="4">
        <v>77</v>
      </c>
      <c r="C80" s="5">
        <v>5</v>
      </c>
      <c r="D80" s="6">
        <v>6.81</v>
      </c>
      <c r="E80" s="18">
        <f t="shared" si="1"/>
        <v>6.99</v>
      </c>
    </row>
    <row r="81" spans="1:5" x14ac:dyDescent="0.15">
      <c r="A81" s="7"/>
      <c r="B81" s="4">
        <v>78</v>
      </c>
      <c r="C81" s="5">
        <v>6</v>
      </c>
      <c r="D81" s="6">
        <v>6.65</v>
      </c>
      <c r="E81" s="18">
        <f t="shared" si="1"/>
        <v>6.81</v>
      </c>
    </row>
    <row r="82" spans="1:5" x14ac:dyDescent="0.15">
      <c r="A82" s="7"/>
      <c r="B82" s="4">
        <v>79</v>
      </c>
      <c r="C82" s="5">
        <v>7</v>
      </c>
      <c r="D82" s="6">
        <v>6.49</v>
      </c>
      <c r="E82" s="18">
        <f t="shared" si="1"/>
        <v>6.65</v>
      </c>
    </row>
    <row r="83" spans="1:5" x14ac:dyDescent="0.15">
      <c r="A83" s="7"/>
      <c r="B83" s="4">
        <v>80</v>
      </c>
      <c r="C83" s="5">
        <v>8</v>
      </c>
      <c r="D83" s="6">
        <v>6.29</v>
      </c>
      <c r="E83" s="18">
        <f t="shared" si="1"/>
        <v>6.49</v>
      </c>
    </row>
    <row r="84" spans="1:5" x14ac:dyDescent="0.15">
      <c r="A84" s="7"/>
      <c r="B84" s="4">
        <v>81</v>
      </c>
      <c r="C84" s="4">
        <v>9</v>
      </c>
      <c r="D84" s="6">
        <v>6.09</v>
      </c>
      <c r="E84" s="18">
        <f t="shared" si="1"/>
        <v>6.29</v>
      </c>
    </row>
    <row r="85" spans="1:5" ht="14" thickBot="1" x14ac:dyDescent="0.2">
      <c r="A85" s="8"/>
      <c r="B85" s="9">
        <v>82</v>
      </c>
      <c r="C85" s="10">
        <v>10</v>
      </c>
      <c r="D85" s="11">
        <v>6.11</v>
      </c>
      <c r="E85" s="81">
        <f t="shared" si="1"/>
        <v>6.09</v>
      </c>
    </row>
    <row r="86" spans="1:5" x14ac:dyDescent="0.15">
      <c r="A86" s="7"/>
      <c r="B86" s="4">
        <v>83</v>
      </c>
      <c r="C86" s="5">
        <v>11</v>
      </c>
      <c r="D86" s="19" t="s">
        <v>15</v>
      </c>
      <c r="E86" s="18">
        <f>$H$3*D82+$H$4*D83+$H$5*D84+$H$6*D85</f>
        <v>6.11</v>
      </c>
    </row>
    <row r="87" spans="1:5" x14ac:dyDescent="0.15">
      <c r="A87" s="7"/>
      <c r="B87" s="4">
        <v>84</v>
      </c>
      <c r="C87" s="5">
        <v>12</v>
      </c>
      <c r="D87" s="19" t="s">
        <v>15</v>
      </c>
      <c r="E87" s="18">
        <f>$H$3*D82+$H$4*D83+$H$5*D84+$H$6*D85</f>
        <v>6.11</v>
      </c>
    </row>
    <row r="88" spans="1:5" ht="14" thickBot="1" x14ac:dyDescent="0.2">
      <c r="A88" s="7"/>
      <c r="B88" s="7"/>
      <c r="C88" s="4"/>
    </row>
    <row r="89" spans="1:5" ht="15" thickTop="1" thickBot="1" x14ac:dyDescent="0.2">
      <c r="A89" s="7"/>
      <c r="B89" s="7"/>
      <c r="C89" s="4"/>
      <c r="D89" s="12" t="s">
        <v>5</v>
      </c>
      <c r="E89" s="13">
        <f>SUMXMY2(E8:E85,D8:D85)/COUNT(D8:D85)</f>
        <v>3.1500000000000007E-2</v>
      </c>
    </row>
    <row r="90" spans="1:5" ht="14" thickTop="1" x14ac:dyDescent="0.15"/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FAD4-831C-4495-BF93-0CBA394D5FBC}">
  <dimension ref="A1:H86"/>
  <sheetViews>
    <sheetView topLeftCell="A44" workbookViewId="0">
      <selection activeCell="E84" sqref="E84"/>
    </sheetView>
  </sheetViews>
  <sheetFormatPr baseColWidth="10" defaultColWidth="8.83203125" defaultRowHeight="13" x14ac:dyDescent="0.15"/>
  <sheetData>
    <row r="1" spans="1:8" x14ac:dyDescent="0.15">
      <c r="C1" s="1"/>
      <c r="D1" s="1"/>
      <c r="E1" s="12" t="s">
        <v>16</v>
      </c>
      <c r="F1" s="20"/>
    </row>
    <row r="2" spans="1:8" ht="15" thickBot="1" x14ac:dyDescent="0.2">
      <c r="A2" s="2" t="s">
        <v>1</v>
      </c>
      <c r="B2" s="2" t="s">
        <v>2</v>
      </c>
      <c r="C2" s="3" t="s">
        <v>3</v>
      </c>
      <c r="D2" s="3" t="s">
        <v>4</v>
      </c>
      <c r="E2" s="2" t="s">
        <v>17</v>
      </c>
      <c r="F2" s="12"/>
      <c r="G2" s="21" t="s">
        <v>18</v>
      </c>
      <c r="H2" s="22">
        <v>0.99999999999999989</v>
      </c>
    </row>
    <row r="3" spans="1:8" ht="14" thickBot="1" x14ac:dyDescent="0.2">
      <c r="A3" s="4">
        <v>1</v>
      </c>
      <c r="B3" s="4">
        <v>1</v>
      </c>
      <c r="C3" s="5">
        <v>1</v>
      </c>
      <c r="D3" s="6">
        <v>7.03</v>
      </c>
      <c r="E3" s="23">
        <v>7.03</v>
      </c>
      <c r="F3" s="24"/>
      <c r="G3" s="12"/>
      <c r="H3" s="25"/>
    </row>
    <row r="4" spans="1:8" ht="15" thickTop="1" thickBot="1" x14ac:dyDescent="0.2">
      <c r="A4" s="7"/>
      <c r="B4" s="4">
        <v>2</v>
      </c>
      <c r="C4" s="5">
        <v>2</v>
      </c>
      <c r="D4" s="6">
        <v>7.08</v>
      </c>
      <c r="E4" s="26">
        <f>E3+$H$2*(D3-E3)</f>
        <v>7.03</v>
      </c>
      <c r="F4" s="24"/>
      <c r="G4" s="12" t="s">
        <v>19</v>
      </c>
      <c r="H4" s="27">
        <f>SUMXMY2(D4:D84,E4:E84)/COUNT(E4:E84)</f>
        <v>3.5150617283950629E-2</v>
      </c>
    </row>
    <row r="5" spans="1:8" ht="14" thickTop="1" x14ac:dyDescent="0.15">
      <c r="A5" s="7"/>
      <c r="B5" s="4">
        <v>3</v>
      </c>
      <c r="C5" s="5">
        <v>3</v>
      </c>
      <c r="D5" s="6">
        <v>7.62</v>
      </c>
      <c r="E5" s="26">
        <f t="shared" ref="E5:E68" si="0">E4+$H$2*(D4-E4)</f>
        <v>7.08</v>
      </c>
      <c r="F5" s="24"/>
      <c r="G5" s="12"/>
      <c r="H5" s="25"/>
    </row>
    <row r="6" spans="1:8" x14ac:dyDescent="0.15">
      <c r="A6" s="7"/>
      <c r="B6" s="4">
        <v>4</v>
      </c>
      <c r="C6" s="5">
        <v>4</v>
      </c>
      <c r="D6" s="6">
        <v>7.93</v>
      </c>
      <c r="E6" s="26">
        <f t="shared" si="0"/>
        <v>7.62</v>
      </c>
      <c r="F6" s="24"/>
      <c r="G6" s="12"/>
      <c r="H6" s="25"/>
    </row>
    <row r="7" spans="1:8" x14ac:dyDescent="0.15">
      <c r="A7" s="7"/>
      <c r="B7" s="4">
        <v>5</v>
      </c>
      <c r="C7" s="5">
        <v>5</v>
      </c>
      <c r="D7" s="6">
        <v>8.07</v>
      </c>
      <c r="E7" s="26">
        <f t="shared" si="0"/>
        <v>7.93</v>
      </c>
      <c r="F7" s="24"/>
      <c r="G7" s="12"/>
      <c r="H7" s="25"/>
    </row>
    <row r="8" spans="1:8" x14ac:dyDescent="0.15">
      <c r="A8" s="7"/>
      <c r="B8" s="4">
        <v>6</v>
      </c>
      <c r="C8" s="5">
        <v>6</v>
      </c>
      <c r="D8" s="6">
        <v>8.32</v>
      </c>
      <c r="E8" s="26">
        <f t="shared" si="0"/>
        <v>8.07</v>
      </c>
      <c r="F8" s="24"/>
    </row>
    <row r="9" spans="1:8" x14ac:dyDescent="0.15">
      <c r="A9" s="7"/>
      <c r="B9" s="4">
        <v>7</v>
      </c>
      <c r="C9" s="5">
        <v>7</v>
      </c>
      <c r="D9" s="6">
        <v>8.25</v>
      </c>
      <c r="E9" s="26">
        <f t="shared" si="0"/>
        <v>8.32</v>
      </c>
      <c r="F9" s="24"/>
    </row>
    <row r="10" spans="1:8" x14ac:dyDescent="0.15">
      <c r="A10" s="7"/>
      <c r="B10" s="4">
        <v>8</v>
      </c>
      <c r="C10" s="5">
        <v>8</v>
      </c>
      <c r="D10" s="6">
        <v>8</v>
      </c>
      <c r="E10" s="26">
        <f t="shared" si="0"/>
        <v>8.25</v>
      </c>
      <c r="F10" s="24"/>
    </row>
    <row r="11" spans="1:8" x14ac:dyDescent="0.15">
      <c r="A11" s="7"/>
      <c r="B11" s="4">
        <v>9</v>
      </c>
      <c r="C11" s="4">
        <v>9</v>
      </c>
      <c r="D11" s="6">
        <v>8.23</v>
      </c>
      <c r="E11" s="26">
        <f t="shared" si="0"/>
        <v>8</v>
      </c>
      <c r="F11" s="24"/>
    </row>
    <row r="12" spans="1:8" x14ac:dyDescent="0.15">
      <c r="A12" s="7"/>
      <c r="B12" s="4">
        <v>10</v>
      </c>
      <c r="C12" s="5">
        <v>10</v>
      </c>
      <c r="D12" s="6">
        <v>7.92</v>
      </c>
      <c r="E12" s="26">
        <f t="shared" si="0"/>
        <v>8.23</v>
      </c>
      <c r="F12" s="24"/>
    </row>
    <row r="13" spans="1:8" x14ac:dyDescent="0.15">
      <c r="A13" s="7"/>
      <c r="B13" s="4">
        <v>11</v>
      </c>
      <c r="C13" s="5">
        <v>11</v>
      </c>
      <c r="D13" s="6">
        <v>7.62</v>
      </c>
      <c r="E13" s="26">
        <f t="shared" si="0"/>
        <v>7.92</v>
      </c>
      <c r="F13" s="24"/>
    </row>
    <row r="14" spans="1:8" x14ac:dyDescent="0.15">
      <c r="A14" s="7"/>
      <c r="B14" s="4">
        <v>12</v>
      </c>
      <c r="C14" s="5">
        <v>12</v>
      </c>
      <c r="D14" s="6">
        <v>7.6</v>
      </c>
      <c r="E14" s="26">
        <f t="shared" si="0"/>
        <v>7.62</v>
      </c>
      <c r="F14" s="24"/>
    </row>
    <row r="15" spans="1:8" x14ac:dyDescent="0.15">
      <c r="A15" s="4">
        <f>A3+1</f>
        <v>2</v>
      </c>
      <c r="B15" s="4">
        <v>13</v>
      </c>
      <c r="C15" s="5">
        <v>1</v>
      </c>
      <c r="D15" s="6">
        <v>7.82</v>
      </c>
      <c r="E15" s="26">
        <f t="shared" si="0"/>
        <v>7.6</v>
      </c>
      <c r="F15" s="24"/>
    </row>
    <row r="16" spans="1:8" x14ac:dyDescent="0.15">
      <c r="A16" s="7"/>
      <c r="B16" s="4">
        <v>14</v>
      </c>
      <c r="C16" s="5">
        <v>2</v>
      </c>
      <c r="D16" s="6">
        <v>7.65</v>
      </c>
      <c r="E16" s="26">
        <f t="shared" si="0"/>
        <v>7.82</v>
      </c>
      <c r="F16" s="24"/>
    </row>
    <row r="17" spans="1:7" x14ac:dyDescent="0.15">
      <c r="A17" s="7"/>
      <c r="B17" s="4">
        <v>15</v>
      </c>
      <c r="C17" s="5">
        <v>3</v>
      </c>
      <c r="D17" s="6">
        <v>7.9</v>
      </c>
      <c r="E17" s="26">
        <f t="shared" si="0"/>
        <v>7.65</v>
      </c>
      <c r="F17" s="24"/>
    </row>
    <row r="18" spans="1:7" x14ac:dyDescent="0.15">
      <c r="A18" s="7"/>
      <c r="B18" s="4">
        <v>16</v>
      </c>
      <c r="C18" s="5">
        <v>4</v>
      </c>
      <c r="D18" s="6">
        <v>8.14</v>
      </c>
      <c r="E18" s="26">
        <f t="shared" si="0"/>
        <v>7.9</v>
      </c>
      <c r="F18" s="24"/>
    </row>
    <row r="19" spans="1:7" x14ac:dyDescent="0.15">
      <c r="A19" s="7"/>
      <c r="B19" s="4">
        <v>17</v>
      </c>
      <c r="C19" s="5">
        <v>5</v>
      </c>
      <c r="D19" s="6">
        <v>7.94</v>
      </c>
      <c r="E19" s="26">
        <f t="shared" si="0"/>
        <v>8.14</v>
      </c>
      <c r="F19" s="24"/>
    </row>
    <row r="20" spans="1:7" x14ac:dyDescent="0.15">
      <c r="A20" s="7"/>
      <c r="B20" s="4">
        <v>18</v>
      </c>
      <c r="C20" s="5">
        <v>6</v>
      </c>
      <c r="D20" s="6">
        <v>7.69</v>
      </c>
      <c r="E20" s="26">
        <f t="shared" si="0"/>
        <v>7.94</v>
      </c>
      <c r="F20" s="24"/>
    </row>
    <row r="21" spans="1:7" x14ac:dyDescent="0.15">
      <c r="A21" s="7"/>
      <c r="B21" s="4">
        <v>19</v>
      </c>
      <c r="C21" s="5">
        <v>7</v>
      </c>
      <c r="D21" s="6">
        <v>7.5</v>
      </c>
      <c r="E21" s="26">
        <f t="shared" si="0"/>
        <v>7.69</v>
      </c>
      <c r="F21" s="24"/>
    </row>
    <row r="22" spans="1:7" x14ac:dyDescent="0.15">
      <c r="A22" s="7"/>
      <c r="B22" s="4">
        <v>20</v>
      </c>
      <c r="C22" s="5">
        <v>8</v>
      </c>
      <c r="D22" s="6">
        <v>7.48</v>
      </c>
      <c r="E22" s="26">
        <f t="shared" si="0"/>
        <v>7.5</v>
      </c>
      <c r="F22" s="24"/>
    </row>
    <row r="23" spans="1:7" x14ac:dyDescent="0.15">
      <c r="A23" s="7"/>
      <c r="B23" s="4">
        <v>21</v>
      </c>
      <c r="C23" s="4">
        <v>9</v>
      </c>
      <c r="D23" s="6">
        <v>7.43</v>
      </c>
      <c r="E23" s="26">
        <f t="shared" si="0"/>
        <v>7.48</v>
      </c>
      <c r="F23" s="28"/>
      <c r="G23" s="7"/>
    </row>
    <row r="24" spans="1:7" x14ac:dyDescent="0.15">
      <c r="A24" s="7"/>
      <c r="B24" s="4">
        <v>22</v>
      </c>
      <c r="C24" s="5">
        <v>10</v>
      </c>
      <c r="D24" s="6">
        <v>7.29</v>
      </c>
      <c r="E24" s="26">
        <f t="shared" si="0"/>
        <v>7.43</v>
      </c>
      <c r="F24" s="28"/>
      <c r="G24" s="7"/>
    </row>
    <row r="25" spans="1:7" x14ac:dyDescent="0.15">
      <c r="A25" s="7"/>
      <c r="B25" s="4">
        <v>23</v>
      </c>
      <c r="C25" s="5">
        <v>11</v>
      </c>
      <c r="D25" s="6">
        <v>7.21</v>
      </c>
      <c r="E25" s="26">
        <f t="shared" si="0"/>
        <v>7.29</v>
      </c>
      <c r="F25" s="28"/>
      <c r="G25" s="7"/>
    </row>
    <row r="26" spans="1:7" x14ac:dyDescent="0.15">
      <c r="A26" s="7"/>
      <c r="B26" s="4">
        <v>24</v>
      </c>
      <c r="C26" s="5">
        <v>12</v>
      </c>
      <c r="D26" s="6">
        <v>7.1</v>
      </c>
      <c r="E26" s="26">
        <f t="shared" si="0"/>
        <v>7.21</v>
      </c>
      <c r="F26" s="28"/>
      <c r="G26" s="7"/>
    </row>
    <row r="27" spans="1:7" x14ac:dyDescent="0.15">
      <c r="A27" s="4">
        <f>A15+1</f>
        <v>3</v>
      </c>
      <c r="B27" s="4">
        <v>25</v>
      </c>
      <c r="C27" s="5">
        <v>1</v>
      </c>
      <c r="D27" s="6">
        <v>6.99</v>
      </c>
      <c r="E27" s="26">
        <f t="shared" si="0"/>
        <v>7.1</v>
      </c>
      <c r="F27" s="28"/>
      <c r="G27" s="7"/>
    </row>
    <row r="28" spans="1:7" x14ac:dyDescent="0.15">
      <c r="A28" s="7"/>
      <c r="B28" s="4">
        <v>26</v>
      </c>
      <c r="C28" s="5">
        <v>2</v>
      </c>
      <c r="D28" s="6">
        <v>7.04</v>
      </c>
      <c r="E28" s="26">
        <f t="shared" si="0"/>
        <v>6.99</v>
      </c>
      <c r="F28" s="28"/>
      <c r="G28" s="7"/>
    </row>
    <row r="29" spans="1:7" x14ac:dyDescent="0.15">
      <c r="A29" s="7"/>
      <c r="B29" s="4">
        <v>27</v>
      </c>
      <c r="C29" s="5">
        <v>3</v>
      </c>
      <c r="D29" s="6">
        <v>7.13</v>
      </c>
      <c r="E29" s="26">
        <f t="shared" si="0"/>
        <v>7.04</v>
      </c>
      <c r="F29" s="28"/>
      <c r="G29" s="7"/>
    </row>
    <row r="30" spans="1:7" x14ac:dyDescent="0.15">
      <c r="A30" s="7"/>
      <c r="B30" s="4">
        <v>28</v>
      </c>
      <c r="C30" s="5">
        <v>4</v>
      </c>
      <c r="D30" s="6">
        <v>7.14</v>
      </c>
      <c r="E30" s="26">
        <f t="shared" si="0"/>
        <v>7.13</v>
      </c>
      <c r="F30" s="28"/>
      <c r="G30" s="7"/>
    </row>
    <row r="31" spans="1:7" x14ac:dyDescent="0.15">
      <c r="A31" s="7"/>
      <c r="B31" s="4">
        <v>29</v>
      </c>
      <c r="C31" s="5">
        <v>5</v>
      </c>
      <c r="D31" s="6">
        <v>7.14</v>
      </c>
      <c r="E31" s="26">
        <f t="shared" si="0"/>
        <v>7.14</v>
      </c>
      <c r="F31" s="28"/>
      <c r="G31" s="7"/>
    </row>
    <row r="32" spans="1:7" x14ac:dyDescent="0.15">
      <c r="A32" s="7"/>
      <c r="B32" s="4">
        <v>30</v>
      </c>
      <c r="C32" s="5">
        <v>6</v>
      </c>
      <c r="D32" s="6">
        <v>7</v>
      </c>
      <c r="E32" s="26">
        <f t="shared" si="0"/>
        <v>7.14</v>
      </c>
      <c r="F32" s="28"/>
      <c r="G32" s="7"/>
    </row>
    <row r="33" spans="1:7" x14ac:dyDescent="0.15">
      <c r="A33" s="7"/>
      <c r="B33" s="4">
        <v>31</v>
      </c>
      <c r="C33" s="5">
        <v>7</v>
      </c>
      <c r="D33" s="6">
        <v>6.95</v>
      </c>
      <c r="E33" s="26">
        <f t="shared" si="0"/>
        <v>7</v>
      </c>
      <c r="F33" s="28"/>
      <c r="G33" s="7"/>
    </row>
    <row r="34" spans="1:7" x14ac:dyDescent="0.15">
      <c r="A34" s="7"/>
      <c r="B34" s="4">
        <v>32</v>
      </c>
      <c r="C34" s="5">
        <v>8</v>
      </c>
      <c r="D34" s="6">
        <v>6.92</v>
      </c>
      <c r="E34" s="26">
        <f t="shared" si="0"/>
        <v>6.95</v>
      </c>
      <c r="F34" s="28"/>
      <c r="G34" s="7"/>
    </row>
    <row r="35" spans="1:7" x14ac:dyDescent="0.15">
      <c r="A35" s="7"/>
      <c r="B35" s="4">
        <v>33</v>
      </c>
      <c r="C35" s="4">
        <v>9</v>
      </c>
      <c r="D35" s="6">
        <v>6.72</v>
      </c>
      <c r="E35" s="26">
        <f t="shared" si="0"/>
        <v>6.92</v>
      </c>
      <c r="F35" s="28"/>
      <c r="G35" s="7"/>
    </row>
    <row r="36" spans="1:7" x14ac:dyDescent="0.15">
      <c r="A36" s="7"/>
      <c r="B36" s="4">
        <v>34</v>
      </c>
      <c r="C36" s="5">
        <v>10</v>
      </c>
      <c r="D36" s="6">
        <v>6.71</v>
      </c>
      <c r="E36" s="26">
        <f t="shared" si="0"/>
        <v>6.72</v>
      </c>
      <c r="F36" s="28"/>
      <c r="G36" s="7"/>
    </row>
    <row r="37" spans="1:7" x14ac:dyDescent="0.15">
      <c r="A37" s="7"/>
      <c r="B37" s="4">
        <v>35</v>
      </c>
      <c r="C37" s="5">
        <v>11</v>
      </c>
      <c r="D37" s="6">
        <v>6.87</v>
      </c>
      <c r="E37" s="26">
        <f t="shared" si="0"/>
        <v>6.71</v>
      </c>
      <c r="F37" s="28"/>
      <c r="G37" s="7"/>
    </row>
    <row r="38" spans="1:7" x14ac:dyDescent="0.15">
      <c r="A38" s="7"/>
      <c r="B38" s="4">
        <v>36</v>
      </c>
      <c r="C38" s="5">
        <v>12</v>
      </c>
      <c r="D38" s="6">
        <v>6.74</v>
      </c>
      <c r="E38" s="26">
        <f t="shared" si="0"/>
        <v>6.87</v>
      </c>
      <c r="F38" s="28"/>
      <c r="G38" s="7"/>
    </row>
    <row r="39" spans="1:7" x14ac:dyDescent="0.15">
      <c r="A39" s="4">
        <f>A27+1</f>
        <v>4</v>
      </c>
      <c r="B39" s="4">
        <v>37</v>
      </c>
      <c r="C39" s="5">
        <v>1</v>
      </c>
      <c r="D39" s="6">
        <v>6.79</v>
      </c>
      <c r="E39" s="26">
        <f t="shared" si="0"/>
        <v>6.74</v>
      </c>
      <c r="F39" s="28"/>
      <c r="G39" s="7"/>
    </row>
    <row r="40" spans="1:7" x14ac:dyDescent="0.15">
      <c r="A40" s="7"/>
      <c r="B40" s="4">
        <v>38</v>
      </c>
      <c r="C40" s="5">
        <v>2</v>
      </c>
      <c r="D40" s="6">
        <v>6.81</v>
      </c>
      <c r="E40" s="26">
        <f t="shared" si="0"/>
        <v>6.79</v>
      </c>
      <c r="F40" s="28"/>
      <c r="G40" s="7"/>
    </row>
    <row r="41" spans="1:7" x14ac:dyDescent="0.15">
      <c r="A41" s="7"/>
      <c r="B41" s="4">
        <v>39</v>
      </c>
      <c r="C41" s="5">
        <v>3</v>
      </c>
      <c r="D41" s="6">
        <v>7.04</v>
      </c>
      <c r="E41" s="26">
        <f t="shared" si="0"/>
        <v>6.81</v>
      </c>
      <c r="F41" s="28"/>
      <c r="G41" s="7"/>
    </row>
    <row r="42" spans="1:7" x14ac:dyDescent="0.15">
      <c r="A42" s="7"/>
      <c r="B42" s="4">
        <v>40</v>
      </c>
      <c r="C42" s="5">
        <v>4</v>
      </c>
      <c r="D42" s="6">
        <v>6.92</v>
      </c>
      <c r="E42" s="26">
        <f t="shared" si="0"/>
        <v>7.04</v>
      </c>
      <c r="F42" s="28"/>
      <c r="G42" s="7"/>
    </row>
    <row r="43" spans="1:7" x14ac:dyDescent="0.15">
      <c r="A43" s="7"/>
      <c r="B43" s="4">
        <v>41</v>
      </c>
      <c r="C43" s="5">
        <v>5</v>
      </c>
      <c r="D43" s="6">
        <v>7.15</v>
      </c>
      <c r="E43" s="26">
        <f t="shared" si="0"/>
        <v>6.92</v>
      </c>
      <c r="F43" s="28"/>
      <c r="G43" s="7"/>
    </row>
    <row r="44" spans="1:7" x14ac:dyDescent="0.15">
      <c r="A44" s="7"/>
      <c r="B44" s="4">
        <v>42</v>
      </c>
      <c r="C44" s="5">
        <v>6</v>
      </c>
      <c r="D44" s="6">
        <v>7.55</v>
      </c>
      <c r="E44" s="26">
        <f t="shared" si="0"/>
        <v>7.15</v>
      </c>
      <c r="F44" s="28"/>
      <c r="G44" s="7"/>
    </row>
    <row r="45" spans="1:7" x14ac:dyDescent="0.15">
      <c r="A45" s="7"/>
      <c r="B45" s="4">
        <v>43</v>
      </c>
      <c r="C45" s="5">
        <v>7</v>
      </c>
      <c r="D45" s="6">
        <v>7.63</v>
      </c>
      <c r="E45" s="26">
        <f t="shared" si="0"/>
        <v>7.55</v>
      </c>
      <c r="F45" s="28"/>
      <c r="G45" s="7"/>
    </row>
    <row r="46" spans="1:7" x14ac:dyDescent="0.15">
      <c r="A46" s="7"/>
      <c r="B46" s="4">
        <v>44</v>
      </c>
      <c r="C46" s="5">
        <v>8</v>
      </c>
      <c r="D46" s="6">
        <v>7.94</v>
      </c>
      <c r="E46" s="26">
        <f t="shared" si="0"/>
        <v>7.63</v>
      </c>
      <c r="F46" s="28"/>
      <c r="G46" s="7"/>
    </row>
    <row r="47" spans="1:7" x14ac:dyDescent="0.15">
      <c r="A47" s="7"/>
      <c r="B47" s="4">
        <v>45</v>
      </c>
      <c r="C47" s="4">
        <v>9</v>
      </c>
      <c r="D47" s="6">
        <v>7.82</v>
      </c>
      <c r="E47" s="26">
        <f t="shared" si="0"/>
        <v>7.94</v>
      </c>
      <c r="F47" s="28"/>
      <c r="G47" s="7"/>
    </row>
    <row r="48" spans="1:7" x14ac:dyDescent="0.15">
      <c r="A48" s="7"/>
      <c r="B48" s="4">
        <v>46</v>
      </c>
      <c r="C48" s="5">
        <v>10</v>
      </c>
      <c r="D48" s="6">
        <v>7.85</v>
      </c>
      <c r="E48" s="26">
        <f t="shared" si="0"/>
        <v>7.82</v>
      </c>
      <c r="F48" s="28"/>
      <c r="G48" s="7"/>
    </row>
    <row r="49" spans="1:7" x14ac:dyDescent="0.15">
      <c r="A49" s="7"/>
      <c r="B49" s="4">
        <v>47</v>
      </c>
      <c r="C49" s="5">
        <v>11</v>
      </c>
      <c r="D49" s="6">
        <v>7.74</v>
      </c>
      <c r="E49" s="26">
        <f t="shared" si="0"/>
        <v>7.85</v>
      </c>
      <c r="F49" s="28"/>
      <c r="G49" s="7"/>
    </row>
    <row r="50" spans="1:7" x14ac:dyDescent="0.15">
      <c r="A50" s="7"/>
      <c r="B50" s="4">
        <v>48</v>
      </c>
      <c r="C50" s="5">
        <v>12</v>
      </c>
      <c r="D50" s="6">
        <v>7.91</v>
      </c>
      <c r="E50" s="26">
        <f t="shared" si="0"/>
        <v>7.74</v>
      </c>
      <c r="F50" s="28"/>
      <c r="G50" s="7"/>
    </row>
    <row r="51" spans="1:7" x14ac:dyDescent="0.15">
      <c r="A51" s="4">
        <f>A39+1</f>
        <v>5</v>
      </c>
      <c r="B51" s="4">
        <v>49</v>
      </c>
      <c r="C51" s="5">
        <v>1</v>
      </c>
      <c r="D51" s="6">
        <v>8.2100000000000009</v>
      </c>
      <c r="E51" s="26">
        <f t="shared" si="0"/>
        <v>7.91</v>
      </c>
      <c r="F51" s="28"/>
      <c r="G51" s="7"/>
    </row>
    <row r="52" spans="1:7" x14ac:dyDescent="0.15">
      <c r="A52" s="7"/>
      <c r="B52" s="4">
        <v>50</v>
      </c>
      <c r="C52" s="5">
        <v>2</v>
      </c>
      <c r="D52" s="6">
        <v>8.33</v>
      </c>
      <c r="E52" s="26">
        <f t="shared" si="0"/>
        <v>8.2100000000000009</v>
      </c>
      <c r="F52" s="28"/>
      <c r="G52" s="7"/>
    </row>
    <row r="53" spans="1:7" x14ac:dyDescent="0.15">
      <c r="A53" s="7"/>
      <c r="B53" s="4">
        <v>51</v>
      </c>
      <c r="C53" s="5">
        <v>3</v>
      </c>
      <c r="D53" s="6">
        <v>8.24</v>
      </c>
      <c r="E53" s="26">
        <f t="shared" si="0"/>
        <v>8.33</v>
      </c>
      <c r="F53" s="28"/>
      <c r="G53" s="7"/>
    </row>
    <row r="54" spans="1:7" x14ac:dyDescent="0.15">
      <c r="A54" s="7"/>
      <c r="B54" s="4">
        <v>52</v>
      </c>
      <c r="C54" s="5">
        <v>4</v>
      </c>
      <c r="D54" s="6">
        <v>8.15</v>
      </c>
      <c r="E54" s="26">
        <f t="shared" si="0"/>
        <v>8.24</v>
      </c>
      <c r="F54" s="28"/>
      <c r="G54" s="7"/>
    </row>
    <row r="55" spans="1:7" x14ac:dyDescent="0.15">
      <c r="A55" s="7"/>
      <c r="B55" s="4">
        <v>53</v>
      </c>
      <c r="C55" s="5">
        <v>5</v>
      </c>
      <c r="D55" s="6">
        <v>8.52</v>
      </c>
      <c r="E55" s="26">
        <f t="shared" si="0"/>
        <v>8.15</v>
      </c>
      <c r="F55" s="28"/>
      <c r="G55" s="7"/>
    </row>
    <row r="56" spans="1:7" x14ac:dyDescent="0.15">
      <c r="A56" s="7"/>
      <c r="B56" s="4">
        <v>54</v>
      </c>
      <c r="C56" s="5">
        <v>6</v>
      </c>
      <c r="D56" s="6">
        <v>8.2899999999999991</v>
      </c>
      <c r="E56" s="26">
        <f t="shared" si="0"/>
        <v>8.52</v>
      </c>
      <c r="F56" s="28"/>
      <c r="G56" s="7"/>
    </row>
    <row r="57" spans="1:7" x14ac:dyDescent="0.15">
      <c r="A57" s="7"/>
      <c r="B57" s="4">
        <v>55</v>
      </c>
      <c r="C57" s="5">
        <v>7</v>
      </c>
      <c r="D57" s="6">
        <v>8.15</v>
      </c>
      <c r="E57" s="26">
        <f t="shared" si="0"/>
        <v>8.2899999999999991</v>
      </c>
      <c r="F57" s="28"/>
      <c r="G57" s="7"/>
    </row>
    <row r="58" spans="1:7" x14ac:dyDescent="0.15">
      <c r="A58" s="7"/>
      <c r="B58" s="4">
        <v>56</v>
      </c>
      <c r="C58" s="5">
        <v>8</v>
      </c>
      <c r="D58" s="6">
        <v>8.0299999999999994</v>
      </c>
      <c r="E58" s="26">
        <f t="shared" si="0"/>
        <v>8.15</v>
      </c>
      <c r="F58" s="28"/>
      <c r="G58" s="7"/>
    </row>
    <row r="59" spans="1:7" x14ac:dyDescent="0.15">
      <c r="A59" s="7"/>
      <c r="B59" s="4">
        <v>57</v>
      </c>
      <c r="C59" s="4">
        <v>9</v>
      </c>
      <c r="D59" s="6">
        <v>7.91</v>
      </c>
      <c r="E59" s="26">
        <f t="shared" si="0"/>
        <v>8.0299999999999994</v>
      </c>
      <c r="F59" s="28"/>
      <c r="G59" s="7"/>
    </row>
    <row r="60" spans="1:7" x14ac:dyDescent="0.15">
      <c r="A60" s="7"/>
      <c r="B60" s="4">
        <v>58</v>
      </c>
      <c r="C60" s="5">
        <v>10</v>
      </c>
      <c r="D60" s="6">
        <v>7.8</v>
      </c>
      <c r="E60" s="26">
        <f t="shared" si="0"/>
        <v>7.91</v>
      </c>
      <c r="F60" s="28"/>
      <c r="G60" s="7"/>
    </row>
    <row r="61" spans="1:7" x14ac:dyDescent="0.15">
      <c r="A61" s="7"/>
      <c r="B61" s="4">
        <v>59</v>
      </c>
      <c r="C61" s="5">
        <v>11</v>
      </c>
      <c r="D61" s="6">
        <v>7.75</v>
      </c>
      <c r="E61" s="26">
        <f t="shared" si="0"/>
        <v>7.8</v>
      </c>
      <c r="F61" s="28"/>
      <c r="G61" s="7"/>
    </row>
    <row r="62" spans="1:7" x14ac:dyDescent="0.15">
      <c r="A62" s="7"/>
      <c r="B62" s="4">
        <v>60</v>
      </c>
      <c r="C62" s="5">
        <v>12</v>
      </c>
      <c r="D62" s="6">
        <v>7.38</v>
      </c>
      <c r="E62" s="26">
        <f t="shared" si="0"/>
        <v>7.75</v>
      </c>
      <c r="F62" s="28"/>
      <c r="G62" s="7"/>
    </row>
    <row r="63" spans="1:7" x14ac:dyDescent="0.15">
      <c r="A63" s="4">
        <f>A51+1</f>
        <v>6</v>
      </c>
      <c r="B63" s="4">
        <v>61</v>
      </c>
      <c r="C63" s="5">
        <v>1</v>
      </c>
      <c r="D63" s="6">
        <v>7.03</v>
      </c>
      <c r="E63" s="26">
        <f t="shared" si="0"/>
        <v>7.38</v>
      </c>
      <c r="F63" s="28"/>
      <c r="G63" s="7"/>
    </row>
    <row r="64" spans="1:7" x14ac:dyDescent="0.15">
      <c r="A64" s="7"/>
      <c r="B64" s="4">
        <v>62</v>
      </c>
      <c r="C64" s="5">
        <v>2</v>
      </c>
      <c r="D64" s="6">
        <v>7.05</v>
      </c>
      <c r="E64" s="26">
        <f t="shared" si="0"/>
        <v>7.03</v>
      </c>
      <c r="F64" s="28"/>
      <c r="G64" s="7"/>
    </row>
    <row r="65" spans="1:7" x14ac:dyDescent="0.15">
      <c r="A65" s="7"/>
      <c r="B65" s="4">
        <v>63</v>
      </c>
      <c r="C65" s="5">
        <v>3</v>
      </c>
      <c r="D65" s="6">
        <v>6.95</v>
      </c>
      <c r="E65" s="26">
        <f t="shared" si="0"/>
        <v>7.05</v>
      </c>
      <c r="F65" s="28"/>
      <c r="G65" s="7"/>
    </row>
    <row r="66" spans="1:7" x14ac:dyDescent="0.15">
      <c r="A66" s="7"/>
      <c r="B66" s="4">
        <v>64</v>
      </c>
      <c r="C66" s="5">
        <v>4</v>
      </c>
      <c r="D66" s="6">
        <v>7.08</v>
      </c>
      <c r="E66" s="26">
        <f t="shared" si="0"/>
        <v>6.95</v>
      </c>
      <c r="F66" s="28"/>
      <c r="G66" s="7"/>
    </row>
    <row r="67" spans="1:7" x14ac:dyDescent="0.15">
      <c r="A67" s="7"/>
      <c r="B67" s="4">
        <v>65</v>
      </c>
      <c r="C67" s="5">
        <v>5</v>
      </c>
      <c r="D67" s="6">
        <v>7.15</v>
      </c>
      <c r="E67" s="26">
        <f t="shared" si="0"/>
        <v>7.08</v>
      </c>
      <c r="F67" s="28"/>
      <c r="G67" s="7"/>
    </row>
    <row r="68" spans="1:7" x14ac:dyDescent="0.15">
      <c r="A68" s="7"/>
      <c r="B68" s="4">
        <v>66</v>
      </c>
      <c r="C68" s="5">
        <v>6</v>
      </c>
      <c r="D68" s="6">
        <v>7.16</v>
      </c>
      <c r="E68" s="26">
        <f t="shared" si="0"/>
        <v>7.15</v>
      </c>
      <c r="F68" s="28"/>
      <c r="G68" s="7"/>
    </row>
    <row r="69" spans="1:7" x14ac:dyDescent="0.15">
      <c r="A69" s="7"/>
      <c r="B69" s="4">
        <v>67</v>
      </c>
      <c r="C69" s="5">
        <v>7</v>
      </c>
      <c r="D69" s="6">
        <v>7.13</v>
      </c>
      <c r="E69" s="26">
        <f t="shared" ref="E69:E85" si="1">E68+$H$2*(D68-E68)</f>
        <v>7.16</v>
      </c>
      <c r="F69" s="28"/>
      <c r="G69" s="7"/>
    </row>
    <row r="70" spans="1:7" x14ac:dyDescent="0.15">
      <c r="A70" s="7"/>
      <c r="B70" s="4">
        <v>68</v>
      </c>
      <c r="C70" s="5">
        <v>8</v>
      </c>
      <c r="D70" s="6">
        <v>6.95</v>
      </c>
      <c r="E70" s="26">
        <f t="shared" si="1"/>
        <v>7.13</v>
      </c>
      <c r="F70" s="28"/>
      <c r="G70" s="7"/>
    </row>
    <row r="71" spans="1:7" x14ac:dyDescent="0.15">
      <c r="A71" s="7"/>
      <c r="B71" s="4">
        <v>69</v>
      </c>
      <c r="C71" s="4">
        <v>9</v>
      </c>
      <c r="D71" s="6">
        <v>6.82</v>
      </c>
      <c r="E71" s="26">
        <f t="shared" si="1"/>
        <v>6.95</v>
      </c>
      <c r="F71" s="28"/>
      <c r="G71" s="7"/>
    </row>
    <row r="72" spans="1:7" x14ac:dyDescent="0.15">
      <c r="A72" s="7"/>
      <c r="B72" s="4">
        <v>70</v>
      </c>
      <c r="C72" s="5">
        <v>10</v>
      </c>
      <c r="D72" s="6">
        <v>6.62</v>
      </c>
      <c r="E72" s="26">
        <f t="shared" si="1"/>
        <v>6.82</v>
      </c>
      <c r="F72" s="28"/>
      <c r="G72" s="7"/>
    </row>
    <row r="73" spans="1:7" x14ac:dyDescent="0.15">
      <c r="A73" s="7"/>
      <c r="B73" s="4">
        <v>71</v>
      </c>
      <c r="C73" s="5">
        <v>11</v>
      </c>
      <c r="D73" s="6">
        <v>6.66</v>
      </c>
      <c r="E73" s="26">
        <f t="shared" si="1"/>
        <v>6.62</v>
      </c>
      <c r="F73" s="28"/>
      <c r="G73" s="7"/>
    </row>
    <row r="74" spans="1:7" x14ac:dyDescent="0.15">
      <c r="A74" s="7"/>
      <c r="B74" s="4">
        <v>72</v>
      </c>
      <c r="C74" s="5">
        <v>12</v>
      </c>
      <c r="D74" s="6">
        <v>7.07</v>
      </c>
      <c r="E74" s="26">
        <f t="shared" si="1"/>
        <v>6.66</v>
      </c>
      <c r="F74" s="28"/>
      <c r="G74" s="7"/>
    </row>
    <row r="75" spans="1:7" x14ac:dyDescent="0.15">
      <c r="A75" s="4">
        <f>A63+1</f>
        <v>7</v>
      </c>
      <c r="B75" s="4">
        <v>73</v>
      </c>
      <c r="C75" s="5">
        <v>1</v>
      </c>
      <c r="D75" s="6">
        <v>7</v>
      </c>
      <c r="E75" s="26">
        <f t="shared" si="1"/>
        <v>7.07</v>
      </c>
      <c r="F75" s="28"/>
      <c r="G75" s="7"/>
    </row>
    <row r="76" spans="1:7" x14ac:dyDescent="0.15">
      <c r="A76" s="7"/>
      <c r="B76" s="4">
        <v>74</v>
      </c>
      <c r="C76" s="5">
        <v>2</v>
      </c>
      <c r="D76" s="6">
        <v>6.89</v>
      </c>
      <c r="E76" s="26">
        <f t="shared" si="1"/>
        <v>7</v>
      </c>
      <c r="F76" s="28"/>
      <c r="G76" s="7"/>
    </row>
    <row r="77" spans="1:7" x14ac:dyDescent="0.15">
      <c r="A77" s="7"/>
      <c r="B77" s="4">
        <v>75</v>
      </c>
      <c r="C77" s="5">
        <v>3</v>
      </c>
      <c r="D77" s="6">
        <v>7.01</v>
      </c>
      <c r="E77" s="26">
        <f t="shared" si="1"/>
        <v>6.89</v>
      </c>
      <c r="F77" s="28"/>
      <c r="G77" s="7"/>
    </row>
    <row r="78" spans="1:7" x14ac:dyDescent="0.15">
      <c r="A78" s="7"/>
      <c r="B78" s="4">
        <v>76</v>
      </c>
      <c r="C78" s="5">
        <v>4</v>
      </c>
      <c r="D78" s="6">
        <v>6.99</v>
      </c>
      <c r="E78" s="26">
        <f t="shared" si="1"/>
        <v>7.01</v>
      </c>
      <c r="F78" s="28"/>
      <c r="G78" s="7"/>
    </row>
    <row r="79" spans="1:7" x14ac:dyDescent="0.15">
      <c r="A79" s="7"/>
      <c r="B79" s="4">
        <v>77</v>
      </c>
      <c r="C79" s="5">
        <v>5</v>
      </c>
      <c r="D79" s="6">
        <v>6.81</v>
      </c>
      <c r="E79" s="26">
        <f t="shared" si="1"/>
        <v>6.99</v>
      </c>
      <c r="F79" s="28"/>
      <c r="G79" s="7"/>
    </row>
    <row r="80" spans="1:7" x14ac:dyDescent="0.15">
      <c r="A80" s="7"/>
      <c r="B80" s="4">
        <v>78</v>
      </c>
      <c r="C80" s="5">
        <v>6</v>
      </c>
      <c r="D80" s="6">
        <v>6.65</v>
      </c>
      <c r="E80" s="26">
        <f t="shared" si="1"/>
        <v>6.81</v>
      </c>
      <c r="F80" s="28"/>
      <c r="G80" s="7"/>
    </row>
    <row r="81" spans="1:7" x14ac:dyDescent="0.15">
      <c r="A81" s="7"/>
      <c r="B81" s="4">
        <v>79</v>
      </c>
      <c r="C81" s="5">
        <v>7</v>
      </c>
      <c r="D81" s="6">
        <v>6.49</v>
      </c>
      <c r="E81" s="26">
        <f t="shared" si="1"/>
        <v>6.65</v>
      </c>
      <c r="F81" s="28"/>
      <c r="G81" s="7"/>
    </row>
    <row r="82" spans="1:7" x14ac:dyDescent="0.15">
      <c r="A82" s="7"/>
      <c r="B82" s="4">
        <v>80</v>
      </c>
      <c r="C82" s="5">
        <v>8</v>
      </c>
      <c r="D82" s="6">
        <v>6.29</v>
      </c>
      <c r="E82" s="26">
        <f t="shared" si="1"/>
        <v>6.49</v>
      </c>
      <c r="F82" s="28"/>
      <c r="G82" s="7"/>
    </row>
    <row r="83" spans="1:7" x14ac:dyDescent="0.15">
      <c r="A83" s="7"/>
      <c r="B83" s="4">
        <v>81</v>
      </c>
      <c r="C83" s="4">
        <v>9</v>
      </c>
      <c r="D83" s="6">
        <v>6.09</v>
      </c>
      <c r="E83" s="26">
        <f t="shared" si="1"/>
        <v>6.29</v>
      </c>
      <c r="F83" s="28"/>
      <c r="G83" s="7"/>
    </row>
    <row r="84" spans="1:7" ht="14" thickBot="1" x14ac:dyDescent="0.2">
      <c r="A84" s="8"/>
      <c r="B84" s="9">
        <v>82</v>
      </c>
      <c r="C84" s="10">
        <v>10</v>
      </c>
      <c r="D84" s="11">
        <v>6.11</v>
      </c>
      <c r="E84" s="82">
        <f t="shared" si="1"/>
        <v>6.09</v>
      </c>
      <c r="F84" s="28"/>
      <c r="G84" s="7"/>
    </row>
    <row r="85" spans="1:7" x14ac:dyDescent="0.15">
      <c r="B85" s="4">
        <v>83</v>
      </c>
      <c r="C85" s="1">
        <v>11</v>
      </c>
      <c r="D85" s="17"/>
      <c r="E85" s="26">
        <f t="shared" si="1"/>
        <v>6.11</v>
      </c>
      <c r="F85" s="29"/>
      <c r="G85" s="7"/>
    </row>
    <row r="86" spans="1:7" x14ac:dyDescent="0.15">
      <c r="B86" s="4">
        <v>84</v>
      </c>
      <c r="C86" s="1">
        <v>12</v>
      </c>
      <c r="D86" s="30"/>
      <c r="E86" s="26">
        <f>E85+$H$2*(D84-E85)</f>
        <v>6.11</v>
      </c>
      <c r="F86" s="31"/>
      <c r="G86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5FC8-81B7-42D4-B80D-E461CA7AE6B8}">
  <dimension ref="A1:L86"/>
  <sheetViews>
    <sheetView workbookViewId="0">
      <selection activeCell="I84" sqref="I84"/>
    </sheetView>
  </sheetViews>
  <sheetFormatPr baseColWidth="10" defaultColWidth="8.83203125" defaultRowHeight="13" x14ac:dyDescent="0.15"/>
  <sheetData>
    <row r="1" spans="1:12" x14ac:dyDescent="0.15">
      <c r="C1" s="1"/>
      <c r="D1" s="1"/>
      <c r="E1" s="12" t="s">
        <v>20</v>
      </c>
      <c r="F1" s="12" t="s">
        <v>21</v>
      </c>
      <c r="G1" s="1"/>
      <c r="H1" s="1"/>
      <c r="I1" s="12" t="s">
        <v>22</v>
      </c>
    </row>
    <row r="2" spans="1:12" ht="15" thickBot="1" x14ac:dyDescent="0.2">
      <c r="A2" s="2" t="s">
        <v>1</v>
      </c>
      <c r="B2" s="2" t="s">
        <v>2</v>
      </c>
      <c r="C2" s="3" t="s">
        <v>3</v>
      </c>
      <c r="D2" s="3" t="s">
        <v>4</v>
      </c>
      <c r="E2" s="2" t="s">
        <v>23</v>
      </c>
      <c r="F2" s="2" t="s">
        <v>23</v>
      </c>
      <c r="G2" s="2" t="s">
        <v>24</v>
      </c>
      <c r="H2" s="2" t="s">
        <v>25</v>
      </c>
      <c r="I2" s="2" t="s">
        <v>4</v>
      </c>
    </row>
    <row r="3" spans="1:12" ht="15" thickTop="1" thickBot="1" x14ac:dyDescent="0.2">
      <c r="A3" s="4">
        <v>1</v>
      </c>
      <c r="B3" s="4">
        <v>1</v>
      </c>
      <c r="C3" s="5">
        <v>1</v>
      </c>
      <c r="D3" s="6">
        <v>7.03</v>
      </c>
      <c r="E3" s="19" t="s">
        <v>47</v>
      </c>
      <c r="F3" s="69" t="s">
        <v>15</v>
      </c>
      <c r="G3" s="69" t="s">
        <v>15</v>
      </c>
      <c r="H3" s="69" t="s">
        <v>15</v>
      </c>
      <c r="I3" s="69" t="s">
        <v>15</v>
      </c>
      <c r="K3" s="12" t="s">
        <v>26</v>
      </c>
      <c r="L3" s="36">
        <f>SUMXMY2(D10:D84,I10:I84)/COUNT(D10:D84)</f>
        <v>6.7582776620370363E-2</v>
      </c>
    </row>
    <row r="4" spans="1:12" ht="14" thickTop="1" x14ac:dyDescent="0.15">
      <c r="A4" s="7"/>
      <c r="B4" s="4">
        <v>2</v>
      </c>
      <c r="C4" s="5">
        <v>2</v>
      </c>
      <c r="D4" s="6">
        <v>7.08</v>
      </c>
      <c r="E4" s="19" t="s">
        <v>47</v>
      </c>
      <c r="F4" s="69" t="s">
        <v>15</v>
      </c>
      <c r="G4" s="69" t="s">
        <v>15</v>
      </c>
      <c r="H4" s="69" t="s">
        <v>15</v>
      </c>
      <c r="I4" s="69" t="s">
        <v>15</v>
      </c>
    </row>
    <row r="5" spans="1:12" x14ac:dyDescent="0.15">
      <c r="A5" s="7"/>
      <c r="B5" s="4">
        <v>3</v>
      </c>
      <c r="C5" s="5">
        <v>3</v>
      </c>
      <c r="D5" s="6">
        <v>7.62</v>
      </c>
      <c r="E5" s="19" t="s">
        <v>47</v>
      </c>
      <c r="F5" s="69" t="s">
        <v>15</v>
      </c>
      <c r="G5" s="69" t="s">
        <v>15</v>
      </c>
      <c r="H5" s="69" t="s">
        <v>15</v>
      </c>
      <c r="I5" s="69" t="s">
        <v>15</v>
      </c>
    </row>
    <row r="6" spans="1:12" x14ac:dyDescent="0.15">
      <c r="A6" s="7"/>
      <c r="B6" s="4">
        <v>4</v>
      </c>
      <c r="C6" s="5">
        <v>4</v>
      </c>
      <c r="D6" s="6">
        <v>7.93</v>
      </c>
      <c r="E6" s="18">
        <f>AVERAGE(D3:D6)</f>
        <v>7.415</v>
      </c>
      <c r="F6" s="69" t="s">
        <v>15</v>
      </c>
      <c r="G6" s="69" t="s">
        <v>15</v>
      </c>
      <c r="H6" s="69" t="s">
        <v>15</v>
      </c>
      <c r="I6" s="69" t="s">
        <v>15</v>
      </c>
    </row>
    <row r="7" spans="1:12" x14ac:dyDescent="0.15">
      <c r="A7" s="7"/>
      <c r="B7" s="4">
        <v>5</v>
      </c>
      <c r="C7" s="5">
        <v>5</v>
      </c>
      <c r="D7" s="6">
        <v>8.07</v>
      </c>
      <c r="E7" s="18">
        <f t="shared" ref="E7:F70" si="0">AVERAGE(D4:D7)</f>
        <v>7.6749999999999998</v>
      </c>
      <c r="F7" s="69" t="s">
        <v>15</v>
      </c>
      <c r="G7" s="69" t="s">
        <v>15</v>
      </c>
      <c r="H7" s="69" t="s">
        <v>15</v>
      </c>
      <c r="I7" s="69" t="s">
        <v>15</v>
      </c>
    </row>
    <row r="8" spans="1:12" x14ac:dyDescent="0.15">
      <c r="A8" s="7"/>
      <c r="B8" s="4">
        <v>6</v>
      </c>
      <c r="C8" s="5">
        <v>6</v>
      </c>
      <c r="D8" s="6">
        <v>8.32</v>
      </c>
      <c r="E8" s="18">
        <f t="shared" si="0"/>
        <v>7.9850000000000003</v>
      </c>
      <c r="F8" s="69" t="s">
        <v>15</v>
      </c>
      <c r="G8" s="69" t="s">
        <v>15</v>
      </c>
      <c r="H8" s="69" t="s">
        <v>15</v>
      </c>
      <c r="I8" s="69" t="s">
        <v>15</v>
      </c>
    </row>
    <row r="9" spans="1:12" x14ac:dyDescent="0.15">
      <c r="A9" s="7"/>
      <c r="B9" s="4">
        <v>7</v>
      </c>
      <c r="C9" s="5">
        <v>7</v>
      </c>
      <c r="D9" s="6">
        <v>8.25</v>
      </c>
      <c r="E9" s="18">
        <f t="shared" si="0"/>
        <v>8.1425000000000001</v>
      </c>
      <c r="F9" s="18">
        <f>AVERAGE(E6:E9)</f>
        <v>7.8043750000000003</v>
      </c>
      <c r="G9" s="1">
        <f>(2*E9)-F9</f>
        <v>8.4806249999999999</v>
      </c>
      <c r="H9" s="1">
        <f>2*(E9-F9)/3</f>
        <v>0.22541666666666652</v>
      </c>
      <c r="I9" s="17"/>
    </row>
    <row r="10" spans="1:12" x14ac:dyDescent="0.15">
      <c r="A10" s="7"/>
      <c r="B10" s="4">
        <v>8</v>
      </c>
      <c r="C10" s="5">
        <v>8</v>
      </c>
      <c r="D10" s="6">
        <v>8</v>
      </c>
      <c r="E10" s="18">
        <f t="shared" si="0"/>
        <v>8.16</v>
      </c>
      <c r="F10" s="18">
        <f t="shared" si="0"/>
        <v>7.9906250000000005</v>
      </c>
      <c r="G10" s="1">
        <f t="shared" ref="G10:G73" si="1">(2*E10)-F10</f>
        <v>8.3293749999999989</v>
      </c>
      <c r="H10" s="1">
        <f t="shared" ref="H10:H73" si="2">2*(E10-F10)/3</f>
        <v>0.1129166666666664</v>
      </c>
      <c r="I10" s="32">
        <f>G9+H9</f>
        <v>8.7060416666666658</v>
      </c>
    </row>
    <row r="11" spans="1:12" x14ac:dyDescent="0.15">
      <c r="A11" s="7"/>
      <c r="B11" s="4">
        <v>9</v>
      </c>
      <c r="C11" s="4">
        <v>9</v>
      </c>
      <c r="D11" s="6">
        <v>8.23</v>
      </c>
      <c r="E11" s="18">
        <f t="shared" si="0"/>
        <v>8.1999999999999993</v>
      </c>
      <c r="F11" s="18">
        <f t="shared" si="0"/>
        <v>8.1218749999999993</v>
      </c>
      <c r="G11" s="1">
        <f t="shared" si="1"/>
        <v>8.2781249999999993</v>
      </c>
      <c r="H11" s="1">
        <f t="shared" si="2"/>
        <v>5.2083333333333336E-2</v>
      </c>
      <c r="I11" s="32">
        <f t="shared" ref="I11:I74" si="3">G10+H10</f>
        <v>8.4422916666666659</v>
      </c>
    </row>
    <row r="12" spans="1:12" x14ac:dyDescent="0.15">
      <c r="A12" s="7"/>
      <c r="B12" s="4">
        <v>10</v>
      </c>
      <c r="C12" s="5">
        <v>10</v>
      </c>
      <c r="D12" s="6">
        <v>7.92</v>
      </c>
      <c r="E12" s="18">
        <f t="shared" si="0"/>
        <v>8.1</v>
      </c>
      <c r="F12" s="18">
        <f t="shared" si="0"/>
        <v>8.1506249999999998</v>
      </c>
      <c r="G12" s="1">
        <f t="shared" si="1"/>
        <v>8.0493749999999995</v>
      </c>
      <c r="H12" s="1">
        <f t="shared" si="2"/>
        <v>-3.3750000000000092E-2</v>
      </c>
      <c r="I12" s="32">
        <f t="shared" si="3"/>
        <v>8.3302083333333332</v>
      </c>
    </row>
    <row r="13" spans="1:12" x14ac:dyDescent="0.15">
      <c r="A13" s="7"/>
      <c r="B13" s="4">
        <v>11</v>
      </c>
      <c r="C13" s="5">
        <v>11</v>
      </c>
      <c r="D13" s="6">
        <v>7.62</v>
      </c>
      <c r="E13" s="18">
        <f t="shared" si="0"/>
        <v>7.9424999999999999</v>
      </c>
      <c r="F13" s="18">
        <f t="shared" si="0"/>
        <v>8.1006250000000009</v>
      </c>
      <c r="G13" s="1">
        <f t="shared" si="1"/>
        <v>7.7843749999999989</v>
      </c>
      <c r="H13" s="1">
        <f t="shared" si="2"/>
        <v>-0.10541666666666731</v>
      </c>
      <c r="I13" s="32">
        <f t="shared" si="3"/>
        <v>8.015625</v>
      </c>
    </row>
    <row r="14" spans="1:12" x14ac:dyDescent="0.15">
      <c r="A14" s="7"/>
      <c r="B14" s="4">
        <v>12</v>
      </c>
      <c r="C14" s="5">
        <v>12</v>
      </c>
      <c r="D14" s="6">
        <v>7.6</v>
      </c>
      <c r="E14" s="18">
        <f t="shared" si="0"/>
        <v>7.8424999999999994</v>
      </c>
      <c r="F14" s="18">
        <f t="shared" si="0"/>
        <v>8.0212499999999984</v>
      </c>
      <c r="G14" s="1">
        <f t="shared" si="1"/>
        <v>7.6637500000000003</v>
      </c>
      <c r="H14" s="1">
        <f t="shared" si="2"/>
        <v>-0.11916666666666605</v>
      </c>
      <c r="I14" s="32">
        <f t="shared" si="3"/>
        <v>7.6789583333333313</v>
      </c>
    </row>
    <row r="15" spans="1:12" x14ac:dyDescent="0.15">
      <c r="A15" s="4">
        <f>A3+1</f>
        <v>2</v>
      </c>
      <c r="B15" s="4">
        <v>13</v>
      </c>
      <c r="C15" s="5">
        <v>1</v>
      </c>
      <c r="D15" s="6">
        <v>7.82</v>
      </c>
      <c r="E15" s="18">
        <f t="shared" si="0"/>
        <v>7.74</v>
      </c>
      <c r="F15" s="18">
        <f t="shared" si="0"/>
        <v>7.90625</v>
      </c>
      <c r="G15" s="1">
        <f t="shared" si="1"/>
        <v>7.5737500000000004</v>
      </c>
      <c r="H15" s="1">
        <f t="shared" si="2"/>
        <v>-0.11083333333333319</v>
      </c>
      <c r="I15" s="32">
        <f t="shared" si="3"/>
        <v>7.5445833333333345</v>
      </c>
    </row>
    <row r="16" spans="1:12" x14ac:dyDescent="0.15">
      <c r="A16" s="7"/>
      <c r="B16" s="4">
        <v>14</v>
      </c>
      <c r="C16" s="5">
        <v>2</v>
      </c>
      <c r="D16" s="6">
        <v>7.65</v>
      </c>
      <c r="E16" s="18">
        <f t="shared" si="0"/>
        <v>7.6724999999999994</v>
      </c>
      <c r="F16" s="18">
        <f t="shared" si="0"/>
        <v>7.7993749999999995</v>
      </c>
      <c r="G16" s="1">
        <f t="shared" si="1"/>
        <v>7.5456249999999994</v>
      </c>
      <c r="H16" s="1">
        <f t="shared" si="2"/>
        <v>-8.4583333333333385E-2</v>
      </c>
      <c r="I16" s="32">
        <f t="shared" si="3"/>
        <v>7.4629166666666675</v>
      </c>
    </row>
    <row r="17" spans="1:9" x14ac:dyDescent="0.15">
      <c r="A17" s="7"/>
      <c r="B17" s="4">
        <v>15</v>
      </c>
      <c r="C17" s="5">
        <v>3</v>
      </c>
      <c r="D17" s="6">
        <v>7.9</v>
      </c>
      <c r="E17" s="18">
        <f t="shared" si="0"/>
        <v>7.7424999999999997</v>
      </c>
      <c r="F17" s="18">
        <f t="shared" si="0"/>
        <v>7.7493749999999997</v>
      </c>
      <c r="G17" s="1">
        <f t="shared" si="1"/>
        <v>7.7356249999999998</v>
      </c>
      <c r="H17" s="1">
        <f t="shared" si="2"/>
        <v>-4.5833333333333099E-3</v>
      </c>
      <c r="I17" s="32">
        <f t="shared" si="3"/>
        <v>7.4610416666666657</v>
      </c>
    </row>
    <row r="18" spans="1:9" x14ac:dyDescent="0.15">
      <c r="A18" s="7"/>
      <c r="B18" s="4">
        <v>16</v>
      </c>
      <c r="C18" s="5">
        <v>4</v>
      </c>
      <c r="D18" s="6">
        <v>8.14</v>
      </c>
      <c r="E18" s="18">
        <f t="shared" si="0"/>
        <v>7.8775000000000004</v>
      </c>
      <c r="F18" s="18">
        <f t="shared" si="0"/>
        <v>7.7581250000000006</v>
      </c>
      <c r="G18" s="1">
        <f t="shared" si="1"/>
        <v>7.9968750000000002</v>
      </c>
      <c r="H18" s="1">
        <f t="shared" si="2"/>
        <v>7.9583333333333187E-2</v>
      </c>
      <c r="I18" s="32">
        <f t="shared" si="3"/>
        <v>7.7310416666666661</v>
      </c>
    </row>
    <row r="19" spans="1:9" x14ac:dyDescent="0.15">
      <c r="A19" s="7"/>
      <c r="B19" s="4">
        <v>17</v>
      </c>
      <c r="C19" s="5">
        <v>5</v>
      </c>
      <c r="D19" s="6">
        <v>7.94</v>
      </c>
      <c r="E19" s="18">
        <f t="shared" si="0"/>
        <v>7.9075000000000006</v>
      </c>
      <c r="F19" s="18">
        <f t="shared" si="0"/>
        <v>7.8000000000000007</v>
      </c>
      <c r="G19" s="1">
        <f t="shared" si="1"/>
        <v>8.0150000000000006</v>
      </c>
      <c r="H19" s="1">
        <f t="shared" si="2"/>
        <v>7.1666666666666615E-2</v>
      </c>
      <c r="I19" s="32">
        <f t="shared" si="3"/>
        <v>8.0764583333333331</v>
      </c>
    </row>
    <row r="20" spans="1:9" x14ac:dyDescent="0.15">
      <c r="A20" s="7"/>
      <c r="B20" s="4">
        <v>18</v>
      </c>
      <c r="C20" s="5">
        <v>6</v>
      </c>
      <c r="D20" s="6">
        <v>7.69</v>
      </c>
      <c r="E20" s="18">
        <f t="shared" si="0"/>
        <v>7.9175000000000004</v>
      </c>
      <c r="F20" s="18">
        <f t="shared" si="0"/>
        <v>7.861250000000001</v>
      </c>
      <c r="G20" s="1">
        <f t="shared" si="1"/>
        <v>7.9737499999999999</v>
      </c>
      <c r="H20" s="1">
        <f t="shared" si="2"/>
        <v>3.7499999999999645E-2</v>
      </c>
      <c r="I20" s="32">
        <f t="shared" si="3"/>
        <v>8.0866666666666678</v>
      </c>
    </row>
    <row r="21" spans="1:9" x14ac:dyDescent="0.15">
      <c r="A21" s="7"/>
      <c r="B21" s="4">
        <v>19</v>
      </c>
      <c r="C21" s="5">
        <v>7</v>
      </c>
      <c r="D21" s="6">
        <v>7.5</v>
      </c>
      <c r="E21" s="18">
        <f t="shared" si="0"/>
        <v>7.8175000000000008</v>
      </c>
      <c r="F21" s="18">
        <f t="shared" si="0"/>
        <v>7.8800000000000008</v>
      </c>
      <c r="G21" s="1">
        <f t="shared" si="1"/>
        <v>7.7550000000000008</v>
      </c>
      <c r="H21" s="1">
        <f t="shared" si="2"/>
        <v>-4.1666666666666664E-2</v>
      </c>
      <c r="I21" s="32">
        <f t="shared" si="3"/>
        <v>8.0112500000000004</v>
      </c>
    </row>
    <row r="22" spans="1:9" x14ac:dyDescent="0.15">
      <c r="A22" s="7"/>
      <c r="B22" s="4">
        <v>20</v>
      </c>
      <c r="C22" s="5">
        <v>8</v>
      </c>
      <c r="D22" s="6">
        <v>7.48</v>
      </c>
      <c r="E22" s="18">
        <f t="shared" si="0"/>
        <v>7.6525000000000007</v>
      </c>
      <c r="F22" s="18">
        <f t="shared" si="0"/>
        <v>7.8237500000000004</v>
      </c>
      <c r="G22" s="1">
        <f t="shared" si="1"/>
        <v>7.4812500000000011</v>
      </c>
      <c r="H22" s="1">
        <f t="shared" si="2"/>
        <v>-0.11416666666666646</v>
      </c>
      <c r="I22" s="32">
        <f t="shared" si="3"/>
        <v>7.7133333333333338</v>
      </c>
    </row>
    <row r="23" spans="1:9" x14ac:dyDescent="0.15">
      <c r="A23" s="7"/>
      <c r="B23" s="4">
        <v>21</v>
      </c>
      <c r="C23" s="4">
        <v>9</v>
      </c>
      <c r="D23" s="6">
        <v>7.43</v>
      </c>
      <c r="E23" s="18">
        <f t="shared" si="0"/>
        <v>7.5250000000000004</v>
      </c>
      <c r="F23" s="18">
        <f t="shared" si="0"/>
        <v>7.7281250000000004</v>
      </c>
      <c r="G23" s="1">
        <f t="shared" si="1"/>
        <v>7.3218750000000004</v>
      </c>
      <c r="H23" s="1">
        <f t="shared" si="2"/>
        <v>-0.13541666666666666</v>
      </c>
      <c r="I23" s="32">
        <f t="shared" si="3"/>
        <v>7.3670833333333343</v>
      </c>
    </row>
    <row r="24" spans="1:9" x14ac:dyDescent="0.15">
      <c r="A24" s="7"/>
      <c r="B24" s="4">
        <v>22</v>
      </c>
      <c r="C24" s="5">
        <v>10</v>
      </c>
      <c r="D24" s="6">
        <v>7.29</v>
      </c>
      <c r="E24" s="18">
        <f t="shared" si="0"/>
        <v>7.4249999999999998</v>
      </c>
      <c r="F24" s="18">
        <f t="shared" si="0"/>
        <v>7.6050000000000013</v>
      </c>
      <c r="G24" s="1">
        <f t="shared" si="1"/>
        <v>7.2449999999999983</v>
      </c>
      <c r="H24" s="1">
        <f t="shared" si="2"/>
        <v>-0.12000000000000099</v>
      </c>
      <c r="I24" s="32">
        <f t="shared" si="3"/>
        <v>7.1864583333333334</v>
      </c>
    </row>
    <row r="25" spans="1:9" x14ac:dyDescent="0.15">
      <c r="A25" s="7"/>
      <c r="B25" s="4">
        <v>23</v>
      </c>
      <c r="C25" s="5">
        <v>11</v>
      </c>
      <c r="D25" s="6">
        <v>7.21</v>
      </c>
      <c r="E25" s="18">
        <f t="shared" si="0"/>
        <v>7.3525</v>
      </c>
      <c r="F25" s="18">
        <f t="shared" si="0"/>
        <v>7.4887500000000005</v>
      </c>
      <c r="G25" s="1">
        <f t="shared" si="1"/>
        <v>7.2162499999999996</v>
      </c>
      <c r="H25" s="1">
        <f t="shared" si="2"/>
        <v>-9.0833333333333613E-2</v>
      </c>
      <c r="I25" s="32">
        <f t="shared" si="3"/>
        <v>7.1249999999999973</v>
      </c>
    </row>
    <row r="26" spans="1:9" x14ac:dyDescent="0.15">
      <c r="A26" s="7"/>
      <c r="B26" s="4">
        <v>24</v>
      </c>
      <c r="C26" s="5">
        <v>12</v>
      </c>
      <c r="D26" s="6">
        <v>7.1</v>
      </c>
      <c r="E26" s="18">
        <f t="shared" si="0"/>
        <v>7.2575000000000003</v>
      </c>
      <c r="F26" s="18">
        <f t="shared" si="0"/>
        <v>7.39</v>
      </c>
      <c r="G26" s="1">
        <f t="shared" si="1"/>
        <v>7.1250000000000009</v>
      </c>
      <c r="H26" s="1">
        <f t="shared" si="2"/>
        <v>-8.8333333333332931E-2</v>
      </c>
      <c r="I26" s="32">
        <f t="shared" si="3"/>
        <v>7.1254166666666663</v>
      </c>
    </row>
    <row r="27" spans="1:9" x14ac:dyDescent="0.15">
      <c r="A27" s="4">
        <f>A15+1</f>
        <v>3</v>
      </c>
      <c r="B27" s="4">
        <v>25</v>
      </c>
      <c r="C27" s="5">
        <v>1</v>
      </c>
      <c r="D27" s="6">
        <v>6.99</v>
      </c>
      <c r="E27" s="18">
        <f t="shared" si="0"/>
        <v>7.1475000000000009</v>
      </c>
      <c r="F27" s="18">
        <f t="shared" si="0"/>
        <v>7.2956250000000002</v>
      </c>
      <c r="G27" s="1">
        <f t="shared" si="1"/>
        <v>6.9993750000000015</v>
      </c>
      <c r="H27" s="1">
        <f t="shared" si="2"/>
        <v>-9.8749999999999602E-2</v>
      </c>
      <c r="I27" s="32">
        <f t="shared" si="3"/>
        <v>7.036666666666668</v>
      </c>
    </row>
    <row r="28" spans="1:9" x14ac:dyDescent="0.15">
      <c r="A28" s="7"/>
      <c r="B28" s="4">
        <v>26</v>
      </c>
      <c r="C28" s="5">
        <v>2</v>
      </c>
      <c r="D28" s="6">
        <v>7.04</v>
      </c>
      <c r="E28" s="18">
        <f t="shared" si="0"/>
        <v>7.0849999999999991</v>
      </c>
      <c r="F28" s="18">
        <f t="shared" si="0"/>
        <v>7.2106250000000003</v>
      </c>
      <c r="G28" s="1">
        <f t="shared" si="1"/>
        <v>6.9593749999999979</v>
      </c>
      <c r="H28" s="1">
        <f t="shared" si="2"/>
        <v>-8.375000000000081E-2</v>
      </c>
      <c r="I28" s="32">
        <f t="shared" si="3"/>
        <v>6.9006250000000016</v>
      </c>
    </row>
    <row r="29" spans="1:9" x14ac:dyDescent="0.15">
      <c r="A29" s="7"/>
      <c r="B29" s="4">
        <v>27</v>
      </c>
      <c r="C29" s="5">
        <v>3</v>
      </c>
      <c r="D29" s="6">
        <v>7.13</v>
      </c>
      <c r="E29" s="18">
        <f t="shared" si="0"/>
        <v>7.0649999999999995</v>
      </c>
      <c r="F29" s="18">
        <f t="shared" si="0"/>
        <v>7.1387499999999999</v>
      </c>
      <c r="G29" s="1">
        <f t="shared" si="1"/>
        <v>6.9912499999999991</v>
      </c>
      <c r="H29" s="1">
        <f t="shared" si="2"/>
        <v>-4.9166666666666949E-2</v>
      </c>
      <c r="I29" s="32">
        <f t="shared" si="3"/>
        <v>6.8756249999999968</v>
      </c>
    </row>
    <row r="30" spans="1:9" x14ac:dyDescent="0.15">
      <c r="A30" s="7"/>
      <c r="B30" s="4">
        <v>28</v>
      </c>
      <c r="C30" s="5">
        <v>4</v>
      </c>
      <c r="D30" s="6">
        <v>7.14</v>
      </c>
      <c r="E30" s="18">
        <f t="shared" si="0"/>
        <v>7.0750000000000002</v>
      </c>
      <c r="F30" s="18">
        <f t="shared" si="0"/>
        <v>7.0931249999999997</v>
      </c>
      <c r="G30" s="1">
        <f t="shared" si="1"/>
        <v>7.0568750000000007</v>
      </c>
      <c r="H30" s="1">
        <f t="shared" si="2"/>
        <v>-1.2083333333333002E-2</v>
      </c>
      <c r="I30" s="32">
        <f t="shared" si="3"/>
        <v>6.9420833333333318</v>
      </c>
    </row>
    <row r="31" spans="1:9" x14ac:dyDescent="0.15">
      <c r="A31" s="7"/>
      <c r="B31" s="4">
        <v>29</v>
      </c>
      <c r="C31" s="5">
        <v>5</v>
      </c>
      <c r="D31" s="6">
        <v>7.14</v>
      </c>
      <c r="E31" s="18">
        <f t="shared" si="0"/>
        <v>7.1124999999999998</v>
      </c>
      <c r="F31" s="18">
        <f t="shared" si="0"/>
        <v>7.0843749999999996</v>
      </c>
      <c r="G31" s="1">
        <f t="shared" si="1"/>
        <v>7.140625</v>
      </c>
      <c r="H31" s="1">
        <f t="shared" si="2"/>
        <v>1.8750000000000117E-2</v>
      </c>
      <c r="I31" s="32">
        <f t="shared" si="3"/>
        <v>7.0447916666666677</v>
      </c>
    </row>
    <row r="32" spans="1:9" x14ac:dyDescent="0.15">
      <c r="A32" s="7"/>
      <c r="B32" s="4">
        <v>30</v>
      </c>
      <c r="C32" s="5">
        <v>6</v>
      </c>
      <c r="D32" s="6">
        <v>7</v>
      </c>
      <c r="E32" s="18">
        <f t="shared" si="0"/>
        <v>7.1025</v>
      </c>
      <c r="F32" s="18">
        <f t="shared" si="0"/>
        <v>7.0887500000000001</v>
      </c>
      <c r="G32" s="1">
        <f t="shared" si="1"/>
        <v>7.11625</v>
      </c>
      <c r="H32" s="1">
        <f t="shared" si="2"/>
        <v>9.1666666666666199E-3</v>
      </c>
      <c r="I32" s="32">
        <f t="shared" si="3"/>
        <v>7.1593749999999998</v>
      </c>
    </row>
    <row r="33" spans="1:9" x14ac:dyDescent="0.15">
      <c r="A33" s="7"/>
      <c r="B33" s="4">
        <v>31</v>
      </c>
      <c r="C33" s="5">
        <v>7</v>
      </c>
      <c r="D33" s="6">
        <v>6.95</v>
      </c>
      <c r="E33" s="18">
        <f t="shared" si="0"/>
        <v>7.0575000000000001</v>
      </c>
      <c r="F33" s="18">
        <f t="shared" si="0"/>
        <v>7.086875</v>
      </c>
      <c r="G33" s="1">
        <f t="shared" si="1"/>
        <v>7.0281250000000002</v>
      </c>
      <c r="H33" s="1">
        <f t="shared" si="2"/>
        <v>-1.9583333333333286E-2</v>
      </c>
      <c r="I33" s="32">
        <f t="shared" si="3"/>
        <v>7.1254166666666663</v>
      </c>
    </row>
    <row r="34" spans="1:9" x14ac:dyDescent="0.15">
      <c r="A34" s="7"/>
      <c r="B34" s="4">
        <v>32</v>
      </c>
      <c r="C34" s="5">
        <v>8</v>
      </c>
      <c r="D34" s="6">
        <v>6.92</v>
      </c>
      <c r="E34" s="18">
        <f t="shared" si="0"/>
        <v>7.0024999999999995</v>
      </c>
      <c r="F34" s="18">
        <f t="shared" si="0"/>
        <v>7.0687499999999996</v>
      </c>
      <c r="G34" s="1">
        <f t="shared" si="1"/>
        <v>6.9362499999999994</v>
      </c>
      <c r="H34" s="1">
        <f t="shared" si="2"/>
        <v>-4.4166666666666764E-2</v>
      </c>
      <c r="I34" s="32">
        <f t="shared" si="3"/>
        <v>7.0085416666666669</v>
      </c>
    </row>
    <row r="35" spans="1:9" x14ac:dyDescent="0.15">
      <c r="A35" s="7"/>
      <c r="B35" s="4">
        <v>33</v>
      </c>
      <c r="C35" s="4">
        <v>9</v>
      </c>
      <c r="D35" s="6">
        <v>6.72</v>
      </c>
      <c r="E35" s="18">
        <f t="shared" si="0"/>
        <v>6.8974999999999991</v>
      </c>
      <c r="F35" s="18">
        <f t="shared" si="0"/>
        <v>7.0150000000000006</v>
      </c>
      <c r="G35" s="1">
        <f t="shared" si="1"/>
        <v>6.7799999999999976</v>
      </c>
      <c r="H35" s="1">
        <f t="shared" si="2"/>
        <v>-7.8333333333334323E-2</v>
      </c>
      <c r="I35" s="32">
        <f t="shared" si="3"/>
        <v>6.8920833333333329</v>
      </c>
    </row>
    <row r="36" spans="1:9" x14ac:dyDescent="0.15">
      <c r="A36" s="7"/>
      <c r="B36" s="4">
        <v>34</v>
      </c>
      <c r="C36" s="5">
        <v>10</v>
      </c>
      <c r="D36" s="6">
        <v>6.71</v>
      </c>
      <c r="E36" s="18">
        <f t="shared" si="0"/>
        <v>6.8250000000000002</v>
      </c>
      <c r="F36" s="18">
        <f t="shared" si="0"/>
        <v>6.9456249999999988</v>
      </c>
      <c r="G36" s="1">
        <f t="shared" si="1"/>
        <v>6.7043750000000015</v>
      </c>
      <c r="H36" s="1">
        <f t="shared" si="2"/>
        <v>-8.0416666666665762E-2</v>
      </c>
      <c r="I36" s="32">
        <f t="shared" si="3"/>
        <v>6.7016666666666636</v>
      </c>
    </row>
    <row r="37" spans="1:9" x14ac:dyDescent="0.15">
      <c r="A37" s="7"/>
      <c r="B37" s="4">
        <v>35</v>
      </c>
      <c r="C37" s="5">
        <v>11</v>
      </c>
      <c r="D37" s="6">
        <v>6.87</v>
      </c>
      <c r="E37" s="18">
        <f t="shared" si="0"/>
        <v>6.8050000000000006</v>
      </c>
      <c r="F37" s="18">
        <f t="shared" si="0"/>
        <v>6.8824999999999994</v>
      </c>
      <c r="G37" s="1">
        <f t="shared" si="1"/>
        <v>6.7275000000000018</v>
      </c>
      <c r="H37" s="1">
        <f t="shared" si="2"/>
        <v>-5.1666666666665861E-2</v>
      </c>
      <c r="I37" s="32">
        <f t="shared" si="3"/>
        <v>6.6239583333333361</v>
      </c>
    </row>
    <row r="38" spans="1:9" x14ac:dyDescent="0.15">
      <c r="A38" s="7"/>
      <c r="B38" s="4">
        <v>36</v>
      </c>
      <c r="C38" s="5">
        <v>12</v>
      </c>
      <c r="D38" s="6">
        <v>6.74</v>
      </c>
      <c r="E38" s="18">
        <f t="shared" si="0"/>
        <v>6.76</v>
      </c>
      <c r="F38" s="18">
        <f t="shared" si="0"/>
        <v>6.8218750000000004</v>
      </c>
      <c r="G38" s="1">
        <f t="shared" si="1"/>
        <v>6.6981249999999992</v>
      </c>
      <c r="H38" s="1">
        <f t="shared" si="2"/>
        <v>-4.1250000000000377E-2</v>
      </c>
      <c r="I38" s="32">
        <f t="shared" si="3"/>
        <v>6.675833333333336</v>
      </c>
    </row>
    <row r="39" spans="1:9" x14ac:dyDescent="0.15">
      <c r="A39" s="4">
        <f>A27+1</f>
        <v>4</v>
      </c>
      <c r="B39" s="4">
        <v>37</v>
      </c>
      <c r="C39" s="5">
        <v>1</v>
      </c>
      <c r="D39" s="6">
        <v>6.79</v>
      </c>
      <c r="E39" s="18">
        <f t="shared" si="0"/>
        <v>6.7774999999999999</v>
      </c>
      <c r="F39" s="18">
        <f t="shared" si="0"/>
        <v>6.7918750000000001</v>
      </c>
      <c r="G39" s="1">
        <f t="shared" si="1"/>
        <v>6.7631249999999996</v>
      </c>
      <c r="H39" s="1">
        <f t="shared" si="2"/>
        <v>-9.5833333333334991E-3</v>
      </c>
      <c r="I39" s="32">
        <f t="shared" si="3"/>
        <v>6.6568749999999985</v>
      </c>
    </row>
    <row r="40" spans="1:9" x14ac:dyDescent="0.15">
      <c r="A40" s="7"/>
      <c r="B40" s="4">
        <v>38</v>
      </c>
      <c r="C40" s="5">
        <v>2</v>
      </c>
      <c r="D40" s="6">
        <v>6.81</v>
      </c>
      <c r="E40" s="18">
        <f t="shared" si="0"/>
        <v>6.8024999999999993</v>
      </c>
      <c r="F40" s="18">
        <f t="shared" si="0"/>
        <v>6.7862499999999999</v>
      </c>
      <c r="G40" s="1">
        <f t="shared" si="1"/>
        <v>6.8187499999999988</v>
      </c>
      <c r="H40" s="1">
        <f t="shared" si="2"/>
        <v>1.0833333333332954E-2</v>
      </c>
      <c r="I40" s="32">
        <f t="shared" si="3"/>
        <v>6.7535416666666661</v>
      </c>
    </row>
    <row r="41" spans="1:9" x14ac:dyDescent="0.15">
      <c r="A41" s="7"/>
      <c r="B41" s="4">
        <v>39</v>
      </c>
      <c r="C41" s="5">
        <v>3</v>
      </c>
      <c r="D41" s="6">
        <v>7.04</v>
      </c>
      <c r="E41" s="18">
        <f t="shared" si="0"/>
        <v>6.8449999999999998</v>
      </c>
      <c r="F41" s="18">
        <f t="shared" si="0"/>
        <v>6.7962499999999997</v>
      </c>
      <c r="G41" s="1">
        <f t="shared" si="1"/>
        <v>6.8937499999999998</v>
      </c>
      <c r="H41" s="1">
        <f t="shared" si="2"/>
        <v>3.250000000000005E-2</v>
      </c>
      <c r="I41" s="32">
        <f t="shared" si="3"/>
        <v>6.829583333333332</v>
      </c>
    </row>
    <row r="42" spans="1:9" x14ac:dyDescent="0.15">
      <c r="A42" s="7"/>
      <c r="B42" s="4">
        <v>40</v>
      </c>
      <c r="C42" s="5">
        <v>4</v>
      </c>
      <c r="D42" s="6">
        <v>6.92</v>
      </c>
      <c r="E42" s="18">
        <f t="shared" si="0"/>
        <v>6.8900000000000006</v>
      </c>
      <c r="F42" s="18">
        <f t="shared" si="0"/>
        <v>6.8287499999999994</v>
      </c>
      <c r="G42" s="1">
        <f t="shared" si="1"/>
        <v>6.9512500000000017</v>
      </c>
      <c r="H42" s="1">
        <f t="shared" si="2"/>
        <v>4.0833333333334089E-2</v>
      </c>
      <c r="I42" s="32">
        <f t="shared" si="3"/>
        <v>6.9262499999999996</v>
      </c>
    </row>
    <row r="43" spans="1:9" x14ac:dyDescent="0.15">
      <c r="A43" s="7"/>
      <c r="B43" s="4">
        <v>41</v>
      </c>
      <c r="C43" s="5">
        <v>5</v>
      </c>
      <c r="D43" s="6">
        <v>7.15</v>
      </c>
      <c r="E43" s="18">
        <f t="shared" si="0"/>
        <v>6.98</v>
      </c>
      <c r="F43" s="18">
        <f t="shared" si="0"/>
        <v>6.8793750000000005</v>
      </c>
      <c r="G43" s="1">
        <f t="shared" si="1"/>
        <v>7.0806250000000004</v>
      </c>
      <c r="H43" s="1">
        <f t="shared" si="2"/>
        <v>6.7083333333333314E-2</v>
      </c>
      <c r="I43" s="32">
        <f t="shared" si="3"/>
        <v>6.9920833333333361</v>
      </c>
    </row>
    <row r="44" spans="1:9" x14ac:dyDescent="0.15">
      <c r="A44" s="7"/>
      <c r="B44" s="4">
        <v>42</v>
      </c>
      <c r="C44" s="5">
        <v>6</v>
      </c>
      <c r="D44" s="6">
        <v>7.55</v>
      </c>
      <c r="E44" s="18">
        <f t="shared" si="0"/>
        <v>7.165</v>
      </c>
      <c r="F44" s="18">
        <f t="shared" si="0"/>
        <v>6.97</v>
      </c>
      <c r="G44" s="1">
        <f t="shared" si="1"/>
        <v>7.36</v>
      </c>
      <c r="H44" s="1">
        <f t="shared" si="2"/>
        <v>0.1300000000000002</v>
      </c>
      <c r="I44" s="32">
        <f t="shared" si="3"/>
        <v>7.147708333333334</v>
      </c>
    </row>
    <row r="45" spans="1:9" x14ac:dyDescent="0.15">
      <c r="A45" s="7"/>
      <c r="B45" s="4">
        <v>43</v>
      </c>
      <c r="C45" s="5">
        <v>7</v>
      </c>
      <c r="D45" s="6">
        <v>7.63</v>
      </c>
      <c r="E45" s="18">
        <f t="shared" si="0"/>
        <v>7.3125</v>
      </c>
      <c r="F45" s="18">
        <f t="shared" si="0"/>
        <v>7.086875</v>
      </c>
      <c r="G45" s="1">
        <f t="shared" si="1"/>
        <v>7.538125</v>
      </c>
      <c r="H45" s="1">
        <f t="shared" si="2"/>
        <v>0.15041666666666664</v>
      </c>
      <c r="I45" s="32">
        <f t="shared" si="3"/>
        <v>7.49</v>
      </c>
    </row>
    <row r="46" spans="1:9" x14ac:dyDescent="0.15">
      <c r="A46" s="7"/>
      <c r="B46" s="4">
        <v>44</v>
      </c>
      <c r="C46" s="5">
        <v>8</v>
      </c>
      <c r="D46" s="6">
        <v>7.94</v>
      </c>
      <c r="E46" s="18">
        <f t="shared" si="0"/>
        <v>7.5674999999999999</v>
      </c>
      <c r="F46" s="18">
        <f t="shared" si="0"/>
        <v>7.2562499999999996</v>
      </c>
      <c r="G46" s="1">
        <f t="shared" si="1"/>
        <v>7.8787500000000001</v>
      </c>
      <c r="H46" s="1">
        <f t="shared" si="2"/>
        <v>0.20750000000000016</v>
      </c>
      <c r="I46" s="32">
        <f t="shared" si="3"/>
        <v>7.6885416666666666</v>
      </c>
    </row>
    <row r="47" spans="1:9" x14ac:dyDescent="0.15">
      <c r="A47" s="7"/>
      <c r="B47" s="4">
        <v>45</v>
      </c>
      <c r="C47" s="4">
        <v>9</v>
      </c>
      <c r="D47" s="6">
        <v>7.82</v>
      </c>
      <c r="E47" s="18">
        <f t="shared" si="0"/>
        <v>7.7350000000000003</v>
      </c>
      <c r="F47" s="18">
        <f t="shared" si="0"/>
        <v>7.4449999999999994</v>
      </c>
      <c r="G47" s="1">
        <f t="shared" si="1"/>
        <v>8.0250000000000021</v>
      </c>
      <c r="H47" s="1">
        <f t="shared" si="2"/>
        <v>0.19333333333333394</v>
      </c>
      <c r="I47" s="32">
        <f t="shared" si="3"/>
        <v>8.0862499999999997</v>
      </c>
    </row>
    <row r="48" spans="1:9" x14ac:dyDescent="0.15">
      <c r="A48" s="7"/>
      <c r="B48" s="4">
        <v>46</v>
      </c>
      <c r="C48" s="5">
        <v>10</v>
      </c>
      <c r="D48" s="6">
        <v>7.85</v>
      </c>
      <c r="E48" s="18">
        <f t="shared" si="0"/>
        <v>7.8100000000000005</v>
      </c>
      <c r="F48" s="18">
        <f t="shared" si="0"/>
        <v>7.6062499999999993</v>
      </c>
      <c r="G48" s="1">
        <f t="shared" si="1"/>
        <v>8.0137500000000017</v>
      </c>
      <c r="H48" s="1">
        <f t="shared" si="2"/>
        <v>0.13583333333333414</v>
      </c>
      <c r="I48" s="32">
        <f t="shared" si="3"/>
        <v>8.2183333333333355</v>
      </c>
    </row>
    <row r="49" spans="1:9" x14ac:dyDescent="0.15">
      <c r="A49" s="7"/>
      <c r="B49" s="4">
        <v>47</v>
      </c>
      <c r="C49" s="5">
        <v>11</v>
      </c>
      <c r="D49" s="6">
        <v>7.74</v>
      </c>
      <c r="E49" s="18">
        <f t="shared" si="0"/>
        <v>7.8375000000000004</v>
      </c>
      <c r="F49" s="18">
        <f t="shared" si="0"/>
        <v>7.7375000000000007</v>
      </c>
      <c r="G49" s="1">
        <f t="shared" si="1"/>
        <v>7.9375</v>
      </c>
      <c r="H49" s="1">
        <f t="shared" si="2"/>
        <v>6.666666666666643E-2</v>
      </c>
      <c r="I49" s="32">
        <f t="shared" si="3"/>
        <v>8.1495833333333358</v>
      </c>
    </row>
    <row r="50" spans="1:9" x14ac:dyDescent="0.15">
      <c r="A50" s="7"/>
      <c r="B50" s="4">
        <v>48</v>
      </c>
      <c r="C50" s="5">
        <v>12</v>
      </c>
      <c r="D50" s="6">
        <v>7.91</v>
      </c>
      <c r="E50" s="18">
        <f t="shared" si="0"/>
        <v>7.83</v>
      </c>
      <c r="F50" s="18">
        <f t="shared" si="0"/>
        <v>7.8031249999999996</v>
      </c>
      <c r="G50" s="1">
        <f t="shared" si="1"/>
        <v>7.8568750000000005</v>
      </c>
      <c r="H50" s="1">
        <f t="shared" si="2"/>
        <v>1.7916666666666952E-2</v>
      </c>
      <c r="I50" s="32">
        <f t="shared" si="3"/>
        <v>8.0041666666666664</v>
      </c>
    </row>
    <row r="51" spans="1:9" x14ac:dyDescent="0.15">
      <c r="A51" s="4">
        <f>A39+1</f>
        <v>5</v>
      </c>
      <c r="B51" s="4">
        <v>49</v>
      </c>
      <c r="C51" s="5">
        <v>1</v>
      </c>
      <c r="D51" s="6">
        <v>8.2100000000000009</v>
      </c>
      <c r="E51" s="18">
        <f t="shared" si="0"/>
        <v>7.9275000000000002</v>
      </c>
      <c r="F51" s="18">
        <f t="shared" si="0"/>
        <v>7.8512500000000003</v>
      </c>
      <c r="G51" s="1">
        <f t="shared" si="1"/>
        <v>8.0037500000000001</v>
      </c>
      <c r="H51" s="1">
        <f t="shared" si="2"/>
        <v>5.0833333333333286E-2</v>
      </c>
      <c r="I51" s="32">
        <f t="shared" si="3"/>
        <v>7.8747916666666677</v>
      </c>
    </row>
    <row r="52" spans="1:9" x14ac:dyDescent="0.15">
      <c r="A52" s="7"/>
      <c r="B52" s="4">
        <v>50</v>
      </c>
      <c r="C52" s="5">
        <v>2</v>
      </c>
      <c r="D52" s="6">
        <v>8.33</v>
      </c>
      <c r="E52" s="18">
        <f t="shared" si="0"/>
        <v>8.0474999999999994</v>
      </c>
      <c r="F52" s="18">
        <f t="shared" si="0"/>
        <v>7.9106249999999996</v>
      </c>
      <c r="G52" s="1">
        <f t="shared" si="1"/>
        <v>8.1843749999999993</v>
      </c>
      <c r="H52" s="1">
        <f t="shared" si="2"/>
        <v>9.1249999999999901E-2</v>
      </c>
      <c r="I52" s="32">
        <f t="shared" si="3"/>
        <v>8.0545833333333334</v>
      </c>
    </row>
    <row r="53" spans="1:9" x14ac:dyDescent="0.15">
      <c r="A53" s="7"/>
      <c r="B53" s="4">
        <v>51</v>
      </c>
      <c r="C53" s="5">
        <v>3</v>
      </c>
      <c r="D53" s="6">
        <v>8.24</v>
      </c>
      <c r="E53" s="18">
        <f t="shared" si="0"/>
        <v>8.1725000000000012</v>
      </c>
      <c r="F53" s="18">
        <f t="shared" si="0"/>
        <v>7.9943749999999998</v>
      </c>
      <c r="G53" s="1">
        <f t="shared" si="1"/>
        <v>8.3506250000000026</v>
      </c>
      <c r="H53" s="1">
        <f t="shared" si="2"/>
        <v>0.11875000000000095</v>
      </c>
      <c r="I53" s="32">
        <f t="shared" si="3"/>
        <v>8.2756249999999998</v>
      </c>
    </row>
    <row r="54" spans="1:9" x14ac:dyDescent="0.15">
      <c r="A54" s="7"/>
      <c r="B54" s="4">
        <v>52</v>
      </c>
      <c r="C54" s="5">
        <v>4</v>
      </c>
      <c r="D54" s="6">
        <v>8.15</v>
      </c>
      <c r="E54" s="18">
        <f t="shared" si="0"/>
        <v>8.2324999999999999</v>
      </c>
      <c r="F54" s="18">
        <f t="shared" si="0"/>
        <v>8.0950000000000006</v>
      </c>
      <c r="G54" s="1">
        <f t="shared" si="1"/>
        <v>8.3699999999999992</v>
      </c>
      <c r="H54" s="1">
        <f t="shared" si="2"/>
        <v>9.1666666666666188E-2</v>
      </c>
      <c r="I54" s="32">
        <f t="shared" si="3"/>
        <v>8.469375000000003</v>
      </c>
    </row>
    <row r="55" spans="1:9" x14ac:dyDescent="0.15">
      <c r="A55" s="7"/>
      <c r="B55" s="4">
        <v>53</v>
      </c>
      <c r="C55" s="5">
        <v>5</v>
      </c>
      <c r="D55" s="6">
        <v>8.52</v>
      </c>
      <c r="E55" s="18">
        <f t="shared" si="0"/>
        <v>8.3099999999999987</v>
      </c>
      <c r="F55" s="18">
        <f t="shared" si="0"/>
        <v>8.1906250000000007</v>
      </c>
      <c r="G55" s="1">
        <f t="shared" si="1"/>
        <v>8.4293749999999967</v>
      </c>
      <c r="H55" s="1">
        <f t="shared" si="2"/>
        <v>7.9583333333332007E-2</v>
      </c>
      <c r="I55" s="32">
        <f t="shared" si="3"/>
        <v>8.461666666666666</v>
      </c>
    </row>
    <row r="56" spans="1:9" x14ac:dyDescent="0.15">
      <c r="A56" s="7"/>
      <c r="B56" s="4">
        <v>54</v>
      </c>
      <c r="C56" s="5">
        <v>6</v>
      </c>
      <c r="D56" s="6">
        <v>8.2899999999999991</v>
      </c>
      <c r="E56" s="18">
        <f t="shared" si="0"/>
        <v>8.3000000000000007</v>
      </c>
      <c r="F56" s="18">
        <f t="shared" si="0"/>
        <v>8.2537500000000001</v>
      </c>
      <c r="G56" s="1">
        <f t="shared" si="1"/>
        <v>8.3462500000000013</v>
      </c>
      <c r="H56" s="1">
        <f t="shared" si="2"/>
        <v>3.0833333333333712E-2</v>
      </c>
      <c r="I56" s="32">
        <f t="shared" si="3"/>
        <v>8.5089583333333287</v>
      </c>
    </row>
    <row r="57" spans="1:9" x14ac:dyDescent="0.15">
      <c r="A57" s="7"/>
      <c r="B57" s="4">
        <v>55</v>
      </c>
      <c r="C57" s="5">
        <v>7</v>
      </c>
      <c r="D57" s="6">
        <v>8.15</v>
      </c>
      <c r="E57" s="18">
        <f t="shared" si="0"/>
        <v>8.2774999999999999</v>
      </c>
      <c r="F57" s="18">
        <f t="shared" si="0"/>
        <v>8.2799999999999994</v>
      </c>
      <c r="G57" s="1">
        <f t="shared" si="1"/>
        <v>8.2750000000000004</v>
      </c>
      <c r="H57" s="1">
        <f t="shared" si="2"/>
        <v>-1.666666666666335E-3</v>
      </c>
      <c r="I57" s="32">
        <f t="shared" si="3"/>
        <v>8.377083333333335</v>
      </c>
    </row>
    <row r="58" spans="1:9" x14ac:dyDescent="0.15">
      <c r="A58" s="7"/>
      <c r="B58" s="4">
        <v>56</v>
      </c>
      <c r="C58" s="5">
        <v>8</v>
      </c>
      <c r="D58" s="6">
        <v>8.0299999999999994</v>
      </c>
      <c r="E58" s="18">
        <f t="shared" si="0"/>
        <v>8.2475000000000005</v>
      </c>
      <c r="F58" s="18">
        <f t="shared" si="0"/>
        <v>8.2837499999999995</v>
      </c>
      <c r="G58" s="1">
        <f t="shared" si="1"/>
        <v>8.2112500000000015</v>
      </c>
      <c r="H58" s="1">
        <f t="shared" si="2"/>
        <v>-2.4166666666666003E-2</v>
      </c>
      <c r="I58" s="32">
        <f t="shared" si="3"/>
        <v>8.2733333333333334</v>
      </c>
    </row>
    <row r="59" spans="1:9" x14ac:dyDescent="0.15">
      <c r="A59" s="7"/>
      <c r="B59" s="4">
        <v>57</v>
      </c>
      <c r="C59" s="4">
        <v>9</v>
      </c>
      <c r="D59" s="6">
        <v>7.91</v>
      </c>
      <c r="E59" s="18">
        <f t="shared" si="0"/>
        <v>8.0949999999999989</v>
      </c>
      <c r="F59" s="18">
        <f t="shared" si="0"/>
        <v>8.23</v>
      </c>
      <c r="G59" s="1">
        <f t="shared" si="1"/>
        <v>7.9599999999999973</v>
      </c>
      <c r="H59" s="1">
        <f t="shared" si="2"/>
        <v>-9.0000000000001038E-2</v>
      </c>
      <c r="I59" s="32">
        <f t="shared" si="3"/>
        <v>8.1870833333333355</v>
      </c>
    </row>
    <row r="60" spans="1:9" x14ac:dyDescent="0.15">
      <c r="A60" s="7"/>
      <c r="B60" s="4">
        <v>58</v>
      </c>
      <c r="C60" s="5">
        <v>10</v>
      </c>
      <c r="D60" s="6">
        <v>7.8</v>
      </c>
      <c r="E60" s="18">
        <f t="shared" si="0"/>
        <v>7.9725000000000001</v>
      </c>
      <c r="F60" s="18">
        <f t="shared" si="0"/>
        <v>8.1481250000000003</v>
      </c>
      <c r="G60" s="1">
        <f t="shared" si="1"/>
        <v>7.796875</v>
      </c>
      <c r="H60" s="1">
        <f t="shared" si="2"/>
        <v>-0.11708333333333343</v>
      </c>
      <c r="I60" s="32">
        <f t="shared" si="3"/>
        <v>7.8699999999999966</v>
      </c>
    </row>
    <row r="61" spans="1:9" x14ac:dyDescent="0.15">
      <c r="A61" s="7"/>
      <c r="B61" s="4">
        <v>59</v>
      </c>
      <c r="C61" s="5">
        <v>11</v>
      </c>
      <c r="D61" s="6">
        <v>7.75</v>
      </c>
      <c r="E61" s="18">
        <f t="shared" si="0"/>
        <v>7.8724999999999996</v>
      </c>
      <c r="F61" s="18">
        <f t="shared" si="0"/>
        <v>8.046875</v>
      </c>
      <c r="G61" s="1">
        <f t="shared" si="1"/>
        <v>7.6981249999999992</v>
      </c>
      <c r="H61" s="1">
        <f t="shared" si="2"/>
        <v>-0.11625000000000026</v>
      </c>
      <c r="I61" s="32">
        <f t="shared" si="3"/>
        <v>7.6797916666666666</v>
      </c>
    </row>
    <row r="62" spans="1:9" x14ac:dyDescent="0.15">
      <c r="A62" s="7"/>
      <c r="B62" s="4">
        <v>60</v>
      </c>
      <c r="C62" s="5">
        <v>12</v>
      </c>
      <c r="D62" s="6">
        <v>7.38</v>
      </c>
      <c r="E62" s="18">
        <f t="shared" si="0"/>
        <v>7.71</v>
      </c>
      <c r="F62" s="18">
        <f t="shared" si="0"/>
        <v>7.9124999999999996</v>
      </c>
      <c r="G62" s="1">
        <f t="shared" si="1"/>
        <v>7.5075000000000003</v>
      </c>
      <c r="H62" s="1">
        <f t="shared" si="2"/>
        <v>-0.13499999999999979</v>
      </c>
      <c r="I62" s="32">
        <f t="shared" si="3"/>
        <v>7.5818749999999993</v>
      </c>
    </row>
    <row r="63" spans="1:9" x14ac:dyDescent="0.15">
      <c r="A63" s="4">
        <f>A51+1</f>
        <v>6</v>
      </c>
      <c r="B63" s="4">
        <v>61</v>
      </c>
      <c r="C63" s="5">
        <v>1</v>
      </c>
      <c r="D63" s="6">
        <v>7.03</v>
      </c>
      <c r="E63" s="18">
        <f t="shared" si="0"/>
        <v>7.49</v>
      </c>
      <c r="F63" s="18">
        <f t="shared" si="0"/>
        <v>7.7612500000000004</v>
      </c>
      <c r="G63" s="1">
        <f t="shared" si="1"/>
        <v>7.21875</v>
      </c>
      <c r="H63" s="1">
        <f t="shared" si="2"/>
        <v>-0.18083333333333348</v>
      </c>
      <c r="I63" s="32">
        <f t="shared" si="3"/>
        <v>7.3725000000000005</v>
      </c>
    </row>
    <row r="64" spans="1:9" x14ac:dyDescent="0.15">
      <c r="A64" s="7"/>
      <c r="B64" s="4">
        <v>62</v>
      </c>
      <c r="C64" s="5">
        <v>2</v>
      </c>
      <c r="D64" s="6">
        <v>7.05</v>
      </c>
      <c r="E64" s="18">
        <f t="shared" si="0"/>
        <v>7.3025000000000002</v>
      </c>
      <c r="F64" s="18">
        <f t="shared" si="0"/>
        <v>7.59375</v>
      </c>
      <c r="G64" s="1">
        <f t="shared" si="1"/>
        <v>7.0112500000000004</v>
      </c>
      <c r="H64" s="1">
        <f t="shared" si="2"/>
        <v>-0.19416666666666652</v>
      </c>
      <c r="I64" s="32">
        <f t="shared" si="3"/>
        <v>7.0379166666666668</v>
      </c>
    </row>
    <row r="65" spans="1:9" x14ac:dyDescent="0.15">
      <c r="A65" s="7"/>
      <c r="B65" s="4">
        <v>63</v>
      </c>
      <c r="C65" s="5">
        <v>3</v>
      </c>
      <c r="D65" s="6">
        <v>6.95</v>
      </c>
      <c r="E65" s="18">
        <f t="shared" si="0"/>
        <v>7.1025</v>
      </c>
      <c r="F65" s="18">
        <f t="shared" si="0"/>
        <v>7.4012499999999992</v>
      </c>
      <c r="G65" s="1">
        <f t="shared" si="1"/>
        <v>6.8037500000000009</v>
      </c>
      <c r="H65" s="1">
        <f t="shared" si="2"/>
        <v>-0.19916666666666613</v>
      </c>
      <c r="I65" s="32">
        <f t="shared" si="3"/>
        <v>6.8170833333333336</v>
      </c>
    </row>
    <row r="66" spans="1:9" x14ac:dyDescent="0.15">
      <c r="A66" s="7"/>
      <c r="B66" s="4">
        <v>64</v>
      </c>
      <c r="C66" s="5">
        <v>4</v>
      </c>
      <c r="D66" s="6">
        <v>7.08</v>
      </c>
      <c r="E66" s="18">
        <f t="shared" si="0"/>
        <v>7.0274999999999999</v>
      </c>
      <c r="F66" s="18">
        <f t="shared" si="0"/>
        <v>7.2306249999999999</v>
      </c>
      <c r="G66" s="1">
        <f t="shared" si="1"/>
        <v>6.8243749999999999</v>
      </c>
      <c r="H66" s="1">
        <f t="shared" si="2"/>
        <v>-0.13541666666666666</v>
      </c>
      <c r="I66" s="32">
        <f t="shared" si="3"/>
        <v>6.604583333333335</v>
      </c>
    </row>
    <row r="67" spans="1:9" x14ac:dyDescent="0.15">
      <c r="A67" s="7"/>
      <c r="B67" s="4">
        <v>65</v>
      </c>
      <c r="C67" s="5">
        <v>5</v>
      </c>
      <c r="D67" s="6">
        <v>7.15</v>
      </c>
      <c r="E67" s="18">
        <f t="shared" si="0"/>
        <v>7.0574999999999992</v>
      </c>
      <c r="F67" s="18">
        <f t="shared" si="0"/>
        <v>7.1225000000000005</v>
      </c>
      <c r="G67" s="1">
        <f t="shared" si="1"/>
        <v>6.9924999999999979</v>
      </c>
      <c r="H67" s="1">
        <f t="shared" si="2"/>
        <v>-4.3333333333334188E-2</v>
      </c>
      <c r="I67" s="32">
        <f t="shared" si="3"/>
        <v>6.6889583333333329</v>
      </c>
    </row>
    <row r="68" spans="1:9" x14ac:dyDescent="0.15">
      <c r="A68" s="7"/>
      <c r="B68" s="4">
        <v>66</v>
      </c>
      <c r="C68" s="5">
        <v>6</v>
      </c>
      <c r="D68" s="6">
        <v>7.16</v>
      </c>
      <c r="E68" s="18">
        <f t="shared" si="0"/>
        <v>7.085</v>
      </c>
      <c r="F68" s="18">
        <f t="shared" si="0"/>
        <v>7.0681250000000002</v>
      </c>
      <c r="G68" s="1">
        <f t="shared" si="1"/>
        <v>7.1018749999999997</v>
      </c>
      <c r="H68" s="1">
        <f t="shared" si="2"/>
        <v>1.1249999999999835E-2</v>
      </c>
      <c r="I68" s="32">
        <f t="shared" si="3"/>
        <v>6.949166666666664</v>
      </c>
    </row>
    <row r="69" spans="1:9" x14ac:dyDescent="0.15">
      <c r="A69" s="7"/>
      <c r="B69" s="4">
        <v>67</v>
      </c>
      <c r="C69" s="5">
        <v>7</v>
      </c>
      <c r="D69" s="6">
        <v>7.13</v>
      </c>
      <c r="E69" s="18">
        <f t="shared" si="0"/>
        <v>7.13</v>
      </c>
      <c r="F69" s="18">
        <f t="shared" si="0"/>
        <v>7.0749999999999993</v>
      </c>
      <c r="G69" s="1">
        <f t="shared" si="1"/>
        <v>7.1850000000000005</v>
      </c>
      <c r="H69" s="1">
        <f t="shared" si="2"/>
        <v>3.6666666666667069E-2</v>
      </c>
      <c r="I69" s="32">
        <f t="shared" si="3"/>
        <v>7.1131249999999993</v>
      </c>
    </row>
    <row r="70" spans="1:9" x14ac:dyDescent="0.15">
      <c r="A70" s="7"/>
      <c r="B70" s="4">
        <v>68</v>
      </c>
      <c r="C70" s="5">
        <v>8</v>
      </c>
      <c r="D70" s="6">
        <v>6.95</v>
      </c>
      <c r="E70" s="18">
        <f t="shared" si="0"/>
        <v>7.0975000000000001</v>
      </c>
      <c r="F70" s="18">
        <f t="shared" si="0"/>
        <v>7.0924999999999994</v>
      </c>
      <c r="G70" s="1">
        <f t="shared" si="1"/>
        <v>7.1025000000000009</v>
      </c>
      <c r="H70" s="1">
        <f t="shared" si="2"/>
        <v>3.3333333333338544E-3</v>
      </c>
      <c r="I70" s="32">
        <f t="shared" si="3"/>
        <v>7.2216666666666676</v>
      </c>
    </row>
    <row r="71" spans="1:9" x14ac:dyDescent="0.15">
      <c r="A71" s="7"/>
      <c r="B71" s="4">
        <v>69</v>
      </c>
      <c r="C71" s="4">
        <v>9</v>
      </c>
      <c r="D71" s="6">
        <v>6.82</v>
      </c>
      <c r="E71" s="18">
        <f t="shared" ref="E71:F84" si="4">AVERAGE(D68:D71)</f>
        <v>7.0149999999999997</v>
      </c>
      <c r="F71" s="18">
        <f t="shared" si="4"/>
        <v>7.0818750000000001</v>
      </c>
      <c r="G71" s="1">
        <f t="shared" si="1"/>
        <v>6.9481249999999992</v>
      </c>
      <c r="H71" s="1">
        <f t="shared" si="2"/>
        <v>-4.4583333333333641E-2</v>
      </c>
      <c r="I71" s="32">
        <f t="shared" si="3"/>
        <v>7.1058333333333348</v>
      </c>
    </row>
    <row r="72" spans="1:9" x14ac:dyDescent="0.15">
      <c r="A72" s="7"/>
      <c r="B72" s="4">
        <v>70</v>
      </c>
      <c r="C72" s="5">
        <v>10</v>
      </c>
      <c r="D72" s="6">
        <v>6.62</v>
      </c>
      <c r="E72" s="18">
        <f t="shared" si="4"/>
        <v>6.88</v>
      </c>
      <c r="F72" s="18">
        <f t="shared" si="4"/>
        <v>7.0306249999999997</v>
      </c>
      <c r="G72" s="1">
        <f t="shared" si="1"/>
        <v>6.7293750000000001</v>
      </c>
      <c r="H72" s="1">
        <f t="shared" si="2"/>
        <v>-0.10041666666666653</v>
      </c>
      <c r="I72" s="32">
        <f t="shared" si="3"/>
        <v>6.9035416666666656</v>
      </c>
    </row>
    <row r="73" spans="1:9" x14ac:dyDescent="0.15">
      <c r="A73" s="7"/>
      <c r="B73" s="4">
        <v>71</v>
      </c>
      <c r="C73" s="5">
        <v>11</v>
      </c>
      <c r="D73" s="6">
        <v>6.66</v>
      </c>
      <c r="E73" s="18">
        <f t="shared" si="4"/>
        <v>6.7625000000000002</v>
      </c>
      <c r="F73" s="18">
        <f t="shared" si="4"/>
        <v>6.9387499999999998</v>
      </c>
      <c r="G73" s="1">
        <f t="shared" si="1"/>
        <v>6.5862500000000006</v>
      </c>
      <c r="H73" s="1">
        <f t="shared" si="2"/>
        <v>-0.11749999999999972</v>
      </c>
      <c r="I73" s="32">
        <f t="shared" si="3"/>
        <v>6.6289583333333333</v>
      </c>
    </row>
    <row r="74" spans="1:9" x14ac:dyDescent="0.15">
      <c r="A74" s="7"/>
      <c r="B74" s="4">
        <v>72</v>
      </c>
      <c r="C74" s="5">
        <v>12</v>
      </c>
      <c r="D74" s="6">
        <v>7.07</v>
      </c>
      <c r="E74" s="18">
        <f t="shared" si="4"/>
        <v>6.7925000000000004</v>
      </c>
      <c r="F74" s="18">
        <f t="shared" si="4"/>
        <v>6.8624999999999998</v>
      </c>
      <c r="G74" s="1">
        <f t="shared" ref="G74:G84" si="5">(2*E74)-F74</f>
        <v>6.722500000000001</v>
      </c>
      <c r="H74" s="1">
        <f t="shared" ref="H74:H84" si="6">2*(E74-F74)/3</f>
        <v>-4.6666666666666266E-2</v>
      </c>
      <c r="I74" s="32">
        <f t="shared" si="3"/>
        <v>6.4687500000000009</v>
      </c>
    </row>
    <row r="75" spans="1:9" x14ac:dyDescent="0.15">
      <c r="A75" s="4">
        <f>A63+1</f>
        <v>7</v>
      </c>
      <c r="B75" s="4">
        <v>73</v>
      </c>
      <c r="C75" s="5">
        <v>1</v>
      </c>
      <c r="D75" s="6">
        <v>7</v>
      </c>
      <c r="E75" s="18">
        <f t="shared" si="4"/>
        <v>6.8375000000000004</v>
      </c>
      <c r="F75" s="18">
        <f t="shared" si="4"/>
        <v>6.8181250000000002</v>
      </c>
      <c r="G75" s="1">
        <f t="shared" si="5"/>
        <v>6.8568750000000005</v>
      </c>
      <c r="H75" s="1">
        <f t="shared" si="6"/>
        <v>1.2916666666666762E-2</v>
      </c>
      <c r="I75" s="32">
        <f t="shared" ref="I75:I85" si="7">G74+H74</f>
        <v>6.6758333333333351</v>
      </c>
    </row>
    <row r="76" spans="1:9" x14ac:dyDescent="0.15">
      <c r="A76" s="7"/>
      <c r="B76" s="4">
        <v>74</v>
      </c>
      <c r="C76" s="5">
        <v>2</v>
      </c>
      <c r="D76" s="6">
        <v>6.89</v>
      </c>
      <c r="E76" s="18">
        <f t="shared" si="4"/>
        <v>6.9050000000000002</v>
      </c>
      <c r="F76" s="18">
        <f t="shared" si="4"/>
        <v>6.8243749999999999</v>
      </c>
      <c r="G76" s="1">
        <f t="shared" si="5"/>
        <v>6.9856250000000006</v>
      </c>
      <c r="H76" s="1">
        <f t="shared" si="6"/>
        <v>5.3750000000000263E-2</v>
      </c>
      <c r="I76" s="32">
        <f t="shared" si="7"/>
        <v>6.869791666666667</v>
      </c>
    </row>
    <row r="77" spans="1:9" x14ac:dyDescent="0.15">
      <c r="A77" s="7"/>
      <c r="B77" s="4">
        <v>75</v>
      </c>
      <c r="C77" s="5">
        <v>3</v>
      </c>
      <c r="D77" s="6">
        <v>7.01</v>
      </c>
      <c r="E77" s="18">
        <f t="shared" si="4"/>
        <v>6.9924999999999997</v>
      </c>
      <c r="F77" s="18">
        <f t="shared" si="4"/>
        <v>6.881875</v>
      </c>
      <c r="G77" s="1">
        <f t="shared" si="5"/>
        <v>7.1031249999999995</v>
      </c>
      <c r="H77" s="1">
        <f t="shared" si="6"/>
        <v>7.374999999999983E-2</v>
      </c>
      <c r="I77" s="32">
        <f t="shared" si="7"/>
        <v>7.0393750000000006</v>
      </c>
    </row>
    <row r="78" spans="1:9" x14ac:dyDescent="0.15">
      <c r="A78" s="7"/>
      <c r="B78" s="4">
        <v>76</v>
      </c>
      <c r="C78" s="5">
        <v>4</v>
      </c>
      <c r="D78" s="6">
        <v>6.99</v>
      </c>
      <c r="E78" s="18">
        <f t="shared" si="4"/>
        <v>6.9725000000000001</v>
      </c>
      <c r="F78" s="18">
        <f t="shared" si="4"/>
        <v>6.9268749999999999</v>
      </c>
      <c r="G78" s="1">
        <f t="shared" si="5"/>
        <v>7.0181250000000004</v>
      </c>
      <c r="H78" s="1">
        <f t="shared" si="6"/>
        <v>3.0416666666666831E-2</v>
      </c>
      <c r="I78" s="32">
        <f t="shared" si="7"/>
        <v>7.176874999999999</v>
      </c>
    </row>
    <row r="79" spans="1:9" x14ac:dyDescent="0.15">
      <c r="A79" s="7"/>
      <c r="B79" s="4">
        <v>77</v>
      </c>
      <c r="C79" s="5">
        <v>5</v>
      </c>
      <c r="D79" s="6">
        <v>6.81</v>
      </c>
      <c r="E79" s="18">
        <f t="shared" si="4"/>
        <v>6.9249999999999998</v>
      </c>
      <c r="F79" s="18">
        <f t="shared" si="4"/>
        <v>6.9487500000000004</v>
      </c>
      <c r="G79" s="1">
        <f t="shared" si="5"/>
        <v>6.9012499999999992</v>
      </c>
      <c r="H79" s="1">
        <f t="shared" si="6"/>
        <v>-1.5833333333333737E-2</v>
      </c>
      <c r="I79" s="32">
        <f t="shared" si="7"/>
        <v>7.0485416666666669</v>
      </c>
    </row>
    <row r="80" spans="1:9" x14ac:dyDescent="0.15">
      <c r="A80" s="7"/>
      <c r="B80" s="4">
        <v>78</v>
      </c>
      <c r="C80" s="5">
        <v>6</v>
      </c>
      <c r="D80" s="6">
        <v>6.65</v>
      </c>
      <c r="E80" s="18">
        <f t="shared" si="4"/>
        <v>6.8650000000000002</v>
      </c>
      <c r="F80" s="18">
        <f t="shared" si="4"/>
        <v>6.9387500000000006</v>
      </c>
      <c r="G80" s="1">
        <f t="shared" si="5"/>
        <v>6.7912499999999998</v>
      </c>
      <c r="H80" s="1">
        <f t="shared" si="6"/>
        <v>-4.9166666666666949E-2</v>
      </c>
      <c r="I80" s="32">
        <f t="shared" si="7"/>
        <v>6.8854166666666652</v>
      </c>
    </row>
    <row r="81" spans="1:9" x14ac:dyDescent="0.15">
      <c r="A81" s="7"/>
      <c r="B81" s="4">
        <v>79</v>
      </c>
      <c r="C81" s="5">
        <v>7</v>
      </c>
      <c r="D81" s="6">
        <v>6.49</v>
      </c>
      <c r="E81" s="18">
        <f t="shared" si="4"/>
        <v>6.7350000000000012</v>
      </c>
      <c r="F81" s="18">
        <f t="shared" si="4"/>
        <v>6.8743750000000006</v>
      </c>
      <c r="G81" s="1">
        <f t="shared" si="5"/>
        <v>6.5956250000000018</v>
      </c>
      <c r="H81" s="1">
        <f t="shared" si="6"/>
        <v>-9.2916666666666245E-2</v>
      </c>
      <c r="I81" s="32">
        <f t="shared" si="7"/>
        <v>6.7420833333333325</v>
      </c>
    </row>
    <row r="82" spans="1:9" x14ac:dyDescent="0.15">
      <c r="A82" s="7"/>
      <c r="B82" s="4">
        <v>80</v>
      </c>
      <c r="C82" s="5">
        <v>8</v>
      </c>
      <c r="D82" s="6">
        <v>6.29</v>
      </c>
      <c r="E82" s="18">
        <f t="shared" si="4"/>
        <v>6.5600000000000005</v>
      </c>
      <c r="F82" s="18">
        <f t="shared" si="4"/>
        <v>6.7712500000000002</v>
      </c>
      <c r="G82" s="1">
        <f t="shared" si="5"/>
        <v>6.3487500000000008</v>
      </c>
      <c r="H82" s="1">
        <f t="shared" si="6"/>
        <v>-0.14083333333333314</v>
      </c>
      <c r="I82" s="32">
        <f t="shared" si="7"/>
        <v>6.5027083333333353</v>
      </c>
    </row>
    <row r="83" spans="1:9" x14ac:dyDescent="0.15">
      <c r="A83" s="7"/>
      <c r="B83" s="4">
        <v>81</v>
      </c>
      <c r="C83" s="4">
        <v>9</v>
      </c>
      <c r="D83" s="6">
        <v>6.09</v>
      </c>
      <c r="E83" s="18">
        <f t="shared" si="4"/>
        <v>6.38</v>
      </c>
      <c r="F83" s="18">
        <f t="shared" si="4"/>
        <v>6.6350000000000007</v>
      </c>
      <c r="G83" s="1">
        <f t="shared" si="5"/>
        <v>6.1249999999999991</v>
      </c>
      <c r="H83" s="1">
        <f t="shared" si="6"/>
        <v>-0.17000000000000051</v>
      </c>
      <c r="I83" s="32">
        <f t="shared" si="7"/>
        <v>6.2079166666666676</v>
      </c>
    </row>
    <row r="84" spans="1:9" ht="14" thickBot="1" x14ac:dyDescent="0.2">
      <c r="A84" s="33"/>
      <c r="B84" s="9">
        <v>82</v>
      </c>
      <c r="C84" s="10">
        <v>10</v>
      </c>
      <c r="D84" s="11">
        <v>6.11</v>
      </c>
      <c r="E84" s="18">
        <f t="shared" si="4"/>
        <v>6.2450000000000001</v>
      </c>
      <c r="F84" s="18">
        <f t="shared" si="4"/>
        <v>6.48</v>
      </c>
      <c r="G84" s="1">
        <f t="shared" si="5"/>
        <v>6.01</v>
      </c>
      <c r="H84" s="1">
        <f t="shared" si="6"/>
        <v>-0.15666666666666687</v>
      </c>
      <c r="I84" s="83">
        <f t="shared" si="7"/>
        <v>5.9549999999999983</v>
      </c>
    </row>
    <row r="85" spans="1:9" x14ac:dyDescent="0.15">
      <c r="B85" s="35">
        <v>83</v>
      </c>
      <c r="C85" s="1">
        <v>11</v>
      </c>
      <c r="D85" s="17" t="s">
        <v>15</v>
      </c>
      <c r="E85" s="17"/>
      <c r="F85" s="18"/>
      <c r="G85" s="17"/>
      <c r="H85" s="17"/>
      <c r="I85" s="32">
        <f t="shared" si="7"/>
        <v>5.8533333333333326</v>
      </c>
    </row>
    <row r="86" spans="1:9" x14ac:dyDescent="0.15">
      <c r="B86" s="35">
        <v>84</v>
      </c>
      <c r="C86" s="1">
        <v>12</v>
      </c>
      <c r="D86" s="17" t="s">
        <v>15</v>
      </c>
      <c r="E86" s="17"/>
      <c r="F86" s="18"/>
      <c r="G86" s="17"/>
      <c r="H86" s="17"/>
      <c r="I86" s="32">
        <f>G84+H84</f>
        <v>5.8533333333333326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90FD-C1E3-41A7-AF99-FF5D03206E49}">
  <dimension ref="A1:K86"/>
  <sheetViews>
    <sheetView topLeftCell="A48" workbookViewId="0">
      <selection activeCell="G84" sqref="G84"/>
    </sheetView>
  </sheetViews>
  <sheetFormatPr baseColWidth="10" defaultColWidth="8.83203125" defaultRowHeight="13" x14ac:dyDescent="0.15"/>
  <sheetData>
    <row r="1" spans="1:11" x14ac:dyDescent="0.15">
      <c r="C1" s="1"/>
      <c r="D1" s="1"/>
      <c r="E1" s="12" t="s">
        <v>27</v>
      </c>
      <c r="F1" s="12"/>
      <c r="G1" s="12" t="s">
        <v>22</v>
      </c>
    </row>
    <row r="2" spans="1:11" ht="15" thickBot="1" x14ac:dyDescent="0.2">
      <c r="A2" s="2" t="s">
        <v>1</v>
      </c>
      <c r="B2" s="2" t="s">
        <v>2</v>
      </c>
      <c r="C2" s="3" t="s">
        <v>3</v>
      </c>
      <c r="D2" s="3" t="s">
        <v>4</v>
      </c>
      <c r="E2" s="2"/>
      <c r="F2" s="2" t="s">
        <v>25</v>
      </c>
      <c r="G2" s="2"/>
    </row>
    <row r="3" spans="1:11" x14ac:dyDescent="0.15">
      <c r="A3" s="4">
        <v>1</v>
      </c>
      <c r="B3" s="4">
        <v>1</v>
      </c>
      <c r="C3" s="5">
        <v>1</v>
      </c>
      <c r="D3" s="6">
        <v>7.03</v>
      </c>
      <c r="E3" s="70">
        <f>D3</f>
        <v>7.03</v>
      </c>
      <c r="F3" s="23">
        <v>0</v>
      </c>
      <c r="G3" s="37" t="s">
        <v>47</v>
      </c>
      <c r="I3" s="21" t="s">
        <v>18</v>
      </c>
      <c r="J3" s="39">
        <v>0.99999999999999989</v>
      </c>
    </row>
    <row r="4" spans="1:11" x14ac:dyDescent="0.15">
      <c r="A4" s="7"/>
      <c r="B4" s="4">
        <v>2</v>
      </c>
      <c r="C4" s="5">
        <v>2</v>
      </c>
      <c r="D4" s="6">
        <v>7.08</v>
      </c>
      <c r="E4" s="1">
        <f>$J$3*D4+(1-$J$3)*(E3+F3)</f>
        <v>7.08</v>
      </c>
      <c r="F4" s="38">
        <f>$J$4*(E4-E3)+(1-$J$4)*F3</f>
        <v>0</v>
      </c>
      <c r="G4" s="32">
        <f>E3+F3</f>
        <v>7.03</v>
      </c>
      <c r="I4" s="21" t="s">
        <v>28</v>
      </c>
      <c r="J4" s="22">
        <v>0</v>
      </c>
    </row>
    <row r="5" spans="1:11" ht="14" thickBot="1" x14ac:dyDescent="0.2">
      <c r="A5" s="7"/>
      <c r="B5" s="4">
        <v>3</v>
      </c>
      <c r="C5" s="5">
        <v>3</v>
      </c>
      <c r="D5" s="6">
        <v>7.62</v>
      </c>
      <c r="E5" s="1">
        <f t="shared" ref="E5:E68" si="0">$J$3*D5+(1-$J$3)*(E4+F4)</f>
        <v>7.62</v>
      </c>
      <c r="F5" s="38">
        <f t="shared" ref="F5:F68" si="1">$J$4*(E5-E4)+(1-$J$4)*F4</f>
        <v>0</v>
      </c>
      <c r="G5" s="32">
        <f t="shared" ref="G5:G68" si="2">E4+F4</f>
        <v>7.08</v>
      </c>
    </row>
    <row r="6" spans="1:11" ht="15" thickTop="1" thickBot="1" x14ac:dyDescent="0.2">
      <c r="A6" s="7"/>
      <c r="B6" s="4">
        <v>4</v>
      </c>
      <c r="C6" s="5">
        <v>4</v>
      </c>
      <c r="D6" s="6">
        <v>7.93</v>
      </c>
      <c r="E6" s="1">
        <f t="shared" si="0"/>
        <v>7.93</v>
      </c>
      <c r="F6" s="38">
        <f t="shared" si="1"/>
        <v>0</v>
      </c>
      <c r="G6" s="32">
        <f t="shared" si="2"/>
        <v>7.62</v>
      </c>
      <c r="I6" s="12" t="s">
        <v>26</v>
      </c>
      <c r="J6" s="27"/>
      <c r="K6">
        <f>SUMXMY2(G4:G84,D4:D84)/COUNT(D4:D84)</f>
        <v>3.5150617283950636E-2</v>
      </c>
    </row>
    <row r="7" spans="1:11" ht="14" thickTop="1" x14ac:dyDescent="0.15">
      <c r="A7" s="7"/>
      <c r="B7" s="4">
        <v>5</v>
      </c>
      <c r="C7" s="5">
        <v>5</v>
      </c>
      <c r="D7" s="6">
        <v>8.07</v>
      </c>
      <c r="E7" s="1">
        <f t="shared" si="0"/>
        <v>8.0699999999999985</v>
      </c>
      <c r="F7" s="38">
        <f t="shared" si="1"/>
        <v>0</v>
      </c>
      <c r="G7" s="32">
        <f t="shared" si="2"/>
        <v>7.93</v>
      </c>
    </row>
    <row r="8" spans="1:11" x14ac:dyDescent="0.15">
      <c r="A8" s="7"/>
      <c r="B8" s="4">
        <v>6</v>
      </c>
      <c r="C8" s="5">
        <v>6</v>
      </c>
      <c r="D8" s="6">
        <v>8.32</v>
      </c>
      <c r="E8" s="1">
        <f t="shared" si="0"/>
        <v>8.32</v>
      </c>
      <c r="F8" s="38">
        <f t="shared" si="1"/>
        <v>0</v>
      </c>
      <c r="G8" s="32">
        <f t="shared" si="2"/>
        <v>8.0699999999999985</v>
      </c>
    </row>
    <row r="9" spans="1:11" x14ac:dyDescent="0.15">
      <c r="A9" s="7"/>
      <c r="B9" s="4">
        <v>7</v>
      </c>
      <c r="C9" s="5">
        <v>7</v>
      </c>
      <c r="D9" s="6">
        <v>8.25</v>
      </c>
      <c r="E9" s="1">
        <f t="shared" si="0"/>
        <v>8.25</v>
      </c>
      <c r="F9" s="38">
        <f t="shared" si="1"/>
        <v>0</v>
      </c>
      <c r="G9" s="32">
        <f t="shared" si="2"/>
        <v>8.32</v>
      </c>
    </row>
    <row r="10" spans="1:11" x14ac:dyDescent="0.15">
      <c r="A10" s="7"/>
      <c r="B10" s="4">
        <v>8</v>
      </c>
      <c r="C10" s="5">
        <v>8</v>
      </c>
      <c r="D10" s="6">
        <v>8</v>
      </c>
      <c r="E10" s="1">
        <f t="shared" si="0"/>
        <v>8</v>
      </c>
      <c r="F10" s="38">
        <f t="shared" si="1"/>
        <v>0</v>
      </c>
      <c r="G10" s="32">
        <f t="shared" si="2"/>
        <v>8.25</v>
      </c>
    </row>
    <row r="11" spans="1:11" x14ac:dyDescent="0.15">
      <c r="A11" s="7"/>
      <c r="B11" s="4">
        <v>9</v>
      </c>
      <c r="C11" s="4">
        <v>9</v>
      </c>
      <c r="D11" s="6">
        <v>8.23</v>
      </c>
      <c r="E11" s="1">
        <f t="shared" si="0"/>
        <v>8.23</v>
      </c>
      <c r="F11" s="38">
        <f t="shared" si="1"/>
        <v>0</v>
      </c>
      <c r="G11" s="32">
        <f t="shared" si="2"/>
        <v>8</v>
      </c>
    </row>
    <row r="12" spans="1:11" x14ac:dyDescent="0.15">
      <c r="A12" s="7"/>
      <c r="B12" s="4">
        <v>10</v>
      </c>
      <c r="C12" s="5">
        <v>10</v>
      </c>
      <c r="D12" s="6">
        <v>7.92</v>
      </c>
      <c r="E12" s="1">
        <f t="shared" si="0"/>
        <v>7.92</v>
      </c>
      <c r="F12" s="38">
        <f t="shared" si="1"/>
        <v>0</v>
      </c>
      <c r="G12" s="32">
        <f t="shared" si="2"/>
        <v>8.23</v>
      </c>
    </row>
    <row r="13" spans="1:11" x14ac:dyDescent="0.15">
      <c r="A13" s="7"/>
      <c r="B13" s="4">
        <v>11</v>
      </c>
      <c r="C13" s="5">
        <v>11</v>
      </c>
      <c r="D13" s="6">
        <v>7.62</v>
      </c>
      <c r="E13" s="1">
        <f t="shared" si="0"/>
        <v>7.62</v>
      </c>
      <c r="F13" s="38">
        <f t="shared" si="1"/>
        <v>0</v>
      </c>
      <c r="G13" s="32">
        <f t="shared" si="2"/>
        <v>7.92</v>
      </c>
    </row>
    <row r="14" spans="1:11" x14ac:dyDescent="0.15">
      <c r="A14" s="7"/>
      <c r="B14" s="4">
        <v>12</v>
      </c>
      <c r="C14" s="5">
        <v>12</v>
      </c>
      <c r="D14" s="6">
        <v>7.6</v>
      </c>
      <c r="E14" s="1">
        <f t="shared" si="0"/>
        <v>7.6</v>
      </c>
      <c r="F14" s="38">
        <f t="shared" si="1"/>
        <v>0</v>
      </c>
      <c r="G14" s="32">
        <f t="shared" si="2"/>
        <v>7.62</v>
      </c>
    </row>
    <row r="15" spans="1:11" x14ac:dyDescent="0.15">
      <c r="A15" s="4">
        <f>A3+1</f>
        <v>2</v>
      </c>
      <c r="B15" s="4">
        <v>13</v>
      </c>
      <c r="C15" s="5">
        <v>1</v>
      </c>
      <c r="D15" s="6">
        <v>7.82</v>
      </c>
      <c r="E15" s="1">
        <f t="shared" si="0"/>
        <v>7.82</v>
      </c>
      <c r="F15" s="38">
        <f t="shared" si="1"/>
        <v>0</v>
      </c>
      <c r="G15" s="32">
        <f t="shared" si="2"/>
        <v>7.6</v>
      </c>
    </row>
    <row r="16" spans="1:11" x14ac:dyDescent="0.15">
      <c r="A16" s="7"/>
      <c r="B16" s="4">
        <v>14</v>
      </c>
      <c r="C16" s="5">
        <v>2</v>
      </c>
      <c r="D16" s="6">
        <v>7.65</v>
      </c>
      <c r="E16" s="1">
        <f t="shared" si="0"/>
        <v>7.65</v>
      </c>
      <c r="F16" s="38">
        <f t="shared" si="1"/>
        <v>0</v>
      </c>
      <c r="G16" s="32">
        <f t="shared" si="2"/>
        <v>7.82</v>
      </c>
    </row>
    <row r="17" spans="1:7" x14ac:dyDescent="0.15">
      <c r="A17" s="7"/>
      <c r="B17" s="4">
        <v>15</v>
      </c>
      <c r="C17" s="5">
        <v>3</v>
      </c>
      <c r="D17" s="6">
        <v>7.9</v>
      </c>
      <c r="E17" s="1">
        <f t="shared" si="0"/>
        <v>7.9</v>
      </c>
      <c r="F17" s="38">
        <f t="shared" si="1"/>
        <v>0</v>
      </c>
      <c r="G17" s="32">
        <f t="shared" si="2"/>
        <v>7.65</v>
      </c>
    </row>
    <row r="18" spans="1:7" x14ac:dyDescent="0.15">
      <c r="A18" s="7"/>
      <c r="B18" s="4">
        <v>16</v>
      </c>
      <c r="C18" s="5">
        <v>4</v>
      </c>
      <c r="D18" s="6">
        <v>8.14</v>
      </c>
      <c r="E18" s="1">
        <f t="shared" si="0"/>
        <v>8.1399999999999988</v>
      </c>
      <c r="F18" s="38">
        <f t="shared" si="1"/>
        <v>0</v>
      </c>
      <c r="G18" s="32">
        <f t="shared" si="2"/>
        <v>7.9</v>
      </c>
    </row>
    <row r="19" spans="1:7" x14ac:dyDescent="0.15">
      <c r="A19" s="7"/>
      <c r="B19" s="4">
        <v>17</v>
      </c>
      <c r="C19" s="5">
        <v>5</v>
      </c>
      <c r="D19" s="6">
        <v>7.94</v>
      </c>
      <c r="E19" s="1">
        <f t="shared" si="0"/>
        <v>7.94</v>
      </c>
      <c r="F19" s="38">
        <f t="shared" si="1"/>
        <v>0</v>
      </c>
      <c r="G19" s="32">
        <f t="shared" si="2"/>
        <v>8.1399999999999988</v>
      </c>
    </row>
    <row r="20" spans="1:7" x14ac:dyDescent="0.15">
      <c r="A20" s="7"/>
      <c r="B20" s="4">
        <v>18</v>
      </c>
      <c r="C20" s="5">
        <v>6</v>
      </c>
      <c r="D20" s="6">
        <v>7.69</v>
      </c>
      <c r="E20" s="1">
        <f t="shared" si="0"/>
        <v>7.69</v>
      </c>
      <c r="F20" s="38">
        <f t="shared" si="1"/>
        <v>0</v>
      </c>
      <c r="G20" s="32">
        <f t="shared" si="2"/>
        <v>7.94</v>
      </c>
    </row>
    <row r="21" spans="1:7" x14ac:dyDescent="0.15">
      <c r="A21" s="7"/>
      <c r="B21" s="4">
        <v>19</v>
      </c>
      <c r="C21" s="5">
        <v>7</v>
      </c>
      <c r="D21" s="6">
        <v>7.5</v>
      </c>
      <c r="E21" s="1">
        <f t="shared" si="0"/>
        <v>7.5</v>
      </c>
      <c r="F21" s="38">
        <f t="shared" si="1"/>
        <v>0</v>
      </c>
      <c r="G21" s="32">
        <f t="shared" si="2"/>
        <v>7.69</v>
      </c>
    </row>
    <row r="22" spans="1:7" x14ac:dyDescent="0.15">
      <c r="A22" s="7"/>
      <c r="B22" s="4">
        <v>20</v>
      </c>
      <c r="C22" s="5">
        <v>8</v>
      </c>
      <c r="D22" s="6">
        <v>7.48</v>
      </c>
      <c r="E22" s="1">
        <f t="shared" si="0"/>
        <v>7.48</v>
      </c>
      <c r="F22" s="38">
        <f t="shared" si="1"/>
        <v>0</v>
      </c>
      <c r="G22" s="32">
        <f t="shared" si="2"/>
        <v>7.5</v>
      </c>
    </row>
    <row r="23" spans="1:7" x14ac:dyDescent="0.15">
      <c r="A23" s="7"/>
      <c r="B23" s="4">
        <v>21</v>
      </c>
      <c r="C23" s="4">
        <v>9</v>
      </c>
      <c r="D23" s="6">
        <v>7.43</v>
      </c>
      <c r="E23" s="1">
        <f t="shared" si="0"/>
        <v>7.43</v>
      </c>
      <c r="F23" s="38">
        <f t="shared" si="1"/>
        <v>0</v>
      </c>
      <c r="G23" s="32">
        <f t="shared" si="2"/>
        <v>7.48</v>
      </c>
    </row>
    <row r="24" spans="1:7" x14ac:dyDescent="0.15">
      <c r="A24" s="7"/>
      <c r="B24" s="4">
        <v>22</v>
      </c>
      <c r="C24" s="5">
        <v>10</v>
      </c>
      <c r="D24" s="6">
        <v>7.29</v>
      </c>
      <c r="E24" s="1">
        <f t="shared" si="0"/>
        <v>7.29</v>
      </c>
      <c r="F24" s="38">
        <f t="shared" si="1"/>
        <v>0</v>
      </c>
      <c r="G24" s="32">
        <f t="shared" si="2"/>
        <v>7.43</v>
      </c>
    </row>
    <row r="25" spans="1:7" x14ac:dyDescent="0.15">
      <c r="A25" s="7"/>
      <c r="B25" s="4">
        <v>23</v>
      </c>
      <c r="C25" s="5">
        <v>11</v>
      </c>
      <c r="D25" s="6">
        <v>7.21</v>
      </c>
      <c r="E25" s="1">
        <f t="shared" si="0"/>
        <v>7.21</v>
      </c>
      <c r="F25" s="38">
        <f t="shared" si="1"/>
        <v>0</v>
      </c>
      <c r="G25" s="32">
        <f t="shared" si="2"/>
        <v>7.29</v>
      </c>
    </row>
    <row r="26" spans="1:7" x14ac:dyDescent="0.15">
      <c r="A26" s="7"/>
      <c r="B26" s="4">
        <v>24</v>
      </c>
      <c r="C26" s="5">
        <v>12</v>
      </c>
      <c r="D26" s="6">
        <v>7.1</v>
      </c>
      <c r="E26" s="1">
        <f t="shared" si="0"/>
        <v>7.1</v>
      </c>
      <c r="F26" s="38">
        <f t="shared" si="1"/>
        <v>0</v>
      </c>
      <c r="G26" s="32">
        <f t="shared" si="2"/>
        <v>7.21</v>
      </c>
    </row>
    <row r="27" spans="1:7" x14ac:dyDescent="0.15">
      <c r="A27" s="4">
        <f>A15+1</f>
        <v>3</v>
      </c>
      <c r="B27" s="4">
        <v>25</v>
      </c>
      <c r="C27" s="5">
        <v>1</v>
      </c>
      <c r="D27" s="6">
        <v>6.99</v>
      </c>
      <c r="E27" s="1">
        <f t="shared" si="0"/>
        <v>6.99</v>
      </c>
      <c r="F27" s="38">
        <f t="shared" si="1"/>
        <v>0</v>
      </c>
      <c r="G27" s="32">
        <f t="shared" si="2"/>
        <v>7.1</v>
      </c>
    </row>
    <row r="28" spans="1:7" x14ac:dyDescent="0.15">
      <c r="A28" s="7"/>
      <c r="B28" s="4">
        <v>26</v>
      </c>
      <c r="C28" s="5">
        <v>2</v>
      </c>
      <c r="D28" s="6">
        <v>7.04</v>
      </c>
      <c r="E28" s="1">
        <f t="shared" si="0"/>
        <v>7.04</v>
      </c>
      <c r="F28" s="38">
        <f t="shared" si="1"/>
        <v>0</v>
      </c>
      <c r="G28" s="32">
        <f t="shared" si="2"/>
        <v>6.99</v>
      </c>
    </row>
    <row r="29" spans="1:7" x14ac:dyDescent="0.15">
      <c r="A29" s="7"/>
      <c r="B29" s="4">
        <v>27</v>
      </c>
      <c r="C29" s="5">
        <v>3</v>
      </c>
      <c r="D29" s="6">
        <v>7.13</v>
      </c>
      <c r="E29" s="1">
        <f t="shared" si="0"/>
        <v>7.13</v>
      </c>
      <c r="F29" s="38">
        <f t="shared" si="1"/>
        <v>0</v>
      </c>
      <c r="G29" s="32">
        <f t="shared" si="2"/>
        <v>7.04</v>
      </c>
    </row>
    <row r="30" spans="1:7" x14ac:dyDescent="0.15">
      <c r="A30" s="7"/>
      <c r="B30" s="4">
        <v>28</v>
      </c>
      <c r="C30" s="5">
        <v>4</v>
      </c>
      <c r="D30" s="6">
        <v>7.14</v>
      </c>
      <c r="E30" s="1">
        <f t="shared" si="0"/>
        <v>7.14</v>
      </c>
      <c r="F30" s="38">
        <f t="shared" si="1"/>
        <v>0</v>
      </c>
      <c r="G30" s="32">
        <f t="shared" si="2"/>
        <v>7.13</v>
      </c>
    </row>
    <row r="31" spans="1:7" x14ac:dyDescent="0.15">
      <c r="A31" s="7"/>
      <c r="B31" s="4">
        <v>29</v>
      </c>
      <c r="C31" s="5">
        <v>5</v>
      </c>
      <c r="D31" s="6">
        <v>7.14</v>
      </c>
      <c r="E31" s="1">
        <f t="shared" si="0"/>
        <v>7.14</v>
      </c>
      <c r="F31" s="38">
        <f t="shared" si="1"/>
        <v>0</v>
      </c>
      <c r="G31" s="32">
        <f t="shared" si="2"/>
        <v>7.14</v>
      </c>
    </row>
    <row r="32" spans="1:7" x14ac:dyDescent="0.15">
      <c r="A32" s="7"/>
      <c r="B32" s="4">
        <v>30</v>
      </c>
      <c r="C32" s="5">
        <v>6</v>
      </c>
      <c r="D32" s="6">
        <v>7</v>
      </c>
      <c r="E32" s="1">
        <f t="shared" si="0"/>
        <v>7</v>
      </c>
      <c r="F32" s="38">
        <f t="shared" si="1"/>
        <v>0</v>
      </c>
      <c r="G32" s="32">
        <f t="shared" si="2"/>
        <v>7.14</v>
      </c>
    </row>
    <row r="33" spans="1:7" x14ac:dyDescent="0.15">
      <c r="A33" s="7"/>
      <c r="B33" s="4">
        <v>31</v>
      </c>
      <c r="C33" s="5">
        <v>7</v>
      </c>
      <c r="D33" s="6">
        <v>6.95</v>
      </c>
      <c r="E33" s="1">
        <f t="shared" si="0"/>
        <v>6.95</v>
      </c>
      <c r="F33" s="38">
        <f t="shared" si="1"/>
        <v>0</v>
      </c>
      <c r="G33" s="32">
        <f t="shared" si="2"/>
        <v>7</v>
      </c>
    </row>
    <row r="34" spans="1:7" x14ac:dyDescent="0.15">
      <c r="A34" s="7"/>
      <c r="B34" s="4">
        <v>32</v>
      </c>
      <c r="C34" s="5">
        <v>8</v>
      </c>
      <c r="D34" s="6">
        <v>6.92</v>
      </c>
      <c r="E34" s="1">
        <f t="shared" si="0"/>
        <v>6.92</v>
      </c>
      <c r="F34" s="38">
        <f t="shared" si="1"/>
        <v>0</v>
      </c>
      <c r="G34" s="32">
        <f t="shared" si="2"/>
        <v>6.95</v>
      </c>
    </row>
    <row r="35" spans="1:7" x14ac:dyDescent="0.15">
      <c r="A35" s="7"/>
      <c r="B35" s="4">
        <v>33</v>
      </c>
      <c r="C35" s="4">
        <v>9</v>
      </c>
      <c r="D35" s="6">
        <v>6.72</v>
      </c>
      <c r="E35" s="1">
        <f t="shared" si="0"/>
        <v>6.72</v>
      </c>
      <c r="F35" s="38">
        <f t="shared" si="1"/>
        <v>0</v>
      </c>
      <c r="G35" s="32">
        <f t="shared" si="2"/>
        <v>6.92</v>
      </c>
    </row>
    <row r="36" spans="1:7" x14ac:dyDescent="0.15">
      <c r="A36" s="7"/>
      <c r="B36" s="4">
        <v>34</v>
      </c>
      <c r="C36" s="5">
        <v>10</v>
      </c>
      <c r="D36" s="6">
        <v>6.71</v>
      </c>
      <c r="E36" s="1">
        <f t="shared" si="0"/>
        <v>6.71</v>
      </c>
      <c r="F36" s="38">
        <f t="shared" si="1"/>
        <v>0</v>
      </c>
      <c r="G36" s="32">
        <f t="shared" si="2"/>
        <v>6.72</v>
      </c>
    </row>
    <row r="37" spans="1:7" x14ac:dyDescent="0.15">
      <c r="A37" s="7"/>
      <c r="B37" s="4">
        <v>35</v>
      </c>
      <c r="C37" s="5">
        <v>11</v>
      </c>
      <c r="D37" s="6">
        <v>6.87</v>
      </c>
      <c r="E37" s="1">
        <f t="shared" si="0"/>
        <v>6.87</v>
      </c>
      <c r="F37" s="38">
        <f t="shared" si="1"/>
        <v>0</v>
      </c>
      <c r="G37" s="32">
        <f t="shared" si="2"/>
        <v>6.71</v>
      </c>
    </row>
    <row r="38" spans="1:7" x14ac:dyDescent="0.15">
      <c r="A38" s="7"/>
      <c r="B38" s="4">
        <v>36</v>
      </c>
      <c r="C38" s="5">
        <v>12</v>
      </c>
      <c r="D38" s="6">
        <v>6.74</v>
      </c>
      <c r="E38" s="1">
        <f t="shared" si="0"/>
        <v>6.74</v>
      </c>
      <c r="F38" s="38">
        <f t="shared" si="1"/>
        <v>0</v>
      </c>
      <c r="G38" s="32">
        <f t="shared" si="2"/>
        <v>6.87</v>
      </c>
    </row>
    <row r="39" spans="1:7" x14ac:dyDescent="0.15">
      <c r="A39" s="4">
        <f>A27+1</f>
        <v>4</v>
      </c>
      <c r="B39" s="4">
        <v>37</v>
      </c>
      <c r="C39" s="5">
        <v>1</v>
      </c>
      <c r="D39" s="6">
        <v>6.79</v>
      </c>
      <c r="E39" s="1">
        <f t="shared" si="0"/>
        <v>6.79</v>
      </c>
      <c r="F39" s="38">
        <f t="shared" si="1"/>
        <v>0</v>
      </c>
      <c r="G39" s="32">
        <f t="shared" si="2"/>
        <v>6.74</v>
      </c>
    </row>
    <row r="40" spans="1:7" x14ac:dyDescent="0.15">
      <c r="A40" s="7"/>
      <c r="B40" s="4">
        <v>38</v>
      </c>
      <c r="C40" s="5">
        <v>2</v>
      </c>
      <c r="D40" s="6">
        <v>6.81</v>
      </c>
      <c r="E40" s="1">
        <f t="shared" si="0"/>
        <v>6.81</v>
      </c>
      <c r="F40" s="38">
        <f t="shared" si="1"/>
        <v>0</v>
      </c>
      <c r="G40" s="32">
        <f t="shared" si="2"/>
        <v>6.79</v>
      </c>
    </row>
    <row r="41" spans="1:7" x14ac:dyDescent="0.15">
      <c r="A41" s="7"/>
      <c r="B41" s="4">
        <v>39</v>
      </c>
      <c r="C41" s="5">
        <v>3</v>
      </c>
      <c r="D41" s="6">
        <v>7.04</v>
      </c>
      <c r="E41" s="1">
        <f t="shared" si="0"/>
        <v>7.04</v>
      </c>
      <c r="F41" s="38">
        <f t="shared" si="1"/>
        <v>0</v>
      </c>
      <c r="G41" s="32">
        <f t="shared" si="2"/>
        <v>6.81</v>
      </c>
    </row>
    <row r="42" spans="1:7" x14ac:dyDescent="0.15">
      <c r="A42" s="7"/>
      <c r="B42" s="4">
        <v>40</v>
      </c>
      <c r="C42" s="5">
        <v>4</v>
      </c>
      <c r="D42" s="6">
        <v>6.92</v>
      </c>
      <c r="E42" s="1">
        <f t="shared" si="0"/>
        <v>6.92</v>
      </c>
      <c r="F42" s="38">
        <f t="shared" si="1"/>
        <v>0</v>
      </c>
      <c r="G42" s="32">
        <f t="shared" si="2"/>
        <v>7.04</v>
      </c>
    </row>
    <row r="43" spans="1:7" x14ac:dyDescent="0.15">
      <c r="A43" s="7"/>
      <c r="B43" s="4">
        <v>41</v>
      </c>
      <c r="C43" s="5">
        <v>5</v>
      </c>
      <c r="D43" s="6">
        <v>7.15</v>
      </c>
      <c r="E43" s="1">
        <f t="shared" si="0"/>
        <v>7.15</v>
      </c>
      <c r="F43" s="38">
        <f t="shared" si="1"/>
        <v>0</v>
      </c>
      <c r="G43" s="32">
        <f t="shared" si="2"/>
        <v>6.92</v>
      </c>
    </row>
    <row r="44" spans="1:7" x14ac:dyDescent="0.15">
      <c r="A44" s="7"/>
      <c r="B44" s="4">
        <v>42</v>
      </c>
      <c r="C44" s="5">
        <v>6</v>
      </c>
      <c r="D44" s="6">
        <v>7.55</v>
      </c>
      <c r="E44" s="1">
        <f t="shared" si="0"/>
        <v>7.55</v>
      </c>
      <c r="F44" s="38">
        <f t="shared" si="1"/>
        <v>0</v>
      </c>
      <c r="G44" s="32">
        <f t="shared" si="2"/>
        <v>7.15</v>
      </c>
    </row>
    <row r="45" spans="1:7" x14ac:dyDescent="0.15">
      <c r="A45" s="7"/>
      <c r="B45" s="4">
        <v>43</v>
      </c>
      <c r="C45" s="5">
        <v>7</v>
      </c>
      <c r="D45" s="6">
        <v>7.63</v>
      </c>
      <c r="E45" s="1">
        <f t="shared" si="0"/>
        <v>7.63</v>
      </c>
      <c r="F45" s="38">
        <f t="shared" si="1"/>
        <v>0</v>
      </c>
      <c r="G45" s="32">
        <f t="shared" si="2"/>
        <v>7.55</v>
      </c>
    </row>
    <row r="46" spans="1:7" x14ac:dyDescent="0.15">
      <c r="A46" s="7"/>
      <c r="B46" s="4">
        <v>44</v>
      </c>
      <c r="C46" s="5">
        <v>8</v>
      </c>
      <c r="D46" s="6">
        <v>7.94</v>
      </c>
      <c r="E46" s="1">
        <f t="shared" si="0"/>
        <v>7.94</v>
      </c>
      <c r="F46" s="38">
        <f t="shared" si="1"/>
        <v>0</v>
      </c>
      <c r="G46" s="32">
        <f t="shared" si="2"/>
        <v>7.63</v>
      </c>
    </row>
    <row r="47" spans="1:7" x14ac:dyDescent="0.15">
      <c r="A47" s="7"/>
      <c r="B47" s="4">
        <v>45</v>
      </c>
      <c r="C47" s="4">
        <v>9</v>
      </c>
      <c r="D47" s="6">
        <v>7.82</v>
      </c>
      <c r="E47" s="1">
        <f t="shared" si="0"/>
        <v>7.82</v>
      </c>
      <c r="F47" s="38">
        <f t="shared" si="1"/>
        <v>0</v>
      </c>
      <c r="G47" s="32">
        <f t="shared" si="2"/>
        <v>7.94</v>
      </c>
    </row>
    <row r="48" spans="1:7" x14ac:dyDescent="0.15">
      <c r="A48" s="7"/>
      <c r="B48" s="4">
        <v>46</v>
      </c>
      <c r="C48" s="5">
        <v>10</v>
      </c>
      <c r="D48" s="6">
        <v>7.85</v>
      </c>
      <c r="E48" s="1">
        <f t="shared" si="0"/>
        <v>7.85</v>
      </c>
      <c r="F48" s="38">
        <f t="shared" si="1"/>
        <v>0</v>
      </c>
      <c r="G48" s="32">
        <f t="shared" si="2"/>
        <v>7.82</v>
      </c>
    </row>
    <row r="49" spans="1:7" x14ac:dyDescent="0.15">
      <c r="A49" s="7"/>
      <c r="B49" s="4">
        <v>47</v>
      </c>
      <c r="C49" s="5">
        <v>11</v>
      </c>
      <c r="D49" s="6">
        <v>7.74</v>
      </c>
      <c r="E49" s="1">
        <f t="shared" si="0"/>
        <v>7.74</v>
      </c>
      <c r="F49" s="38">
        <f t="shared" si="1"/>
        <v>0</v>
      </c>
      <c r="G49" s="32">
        <f t="shared" si="2"/>
        <v>7.85</v>
      </c>
    </row>
    <row r="50" spans="1:7" x14ac:dyDescent="0.15">
      <c r="A50" s="7"/>
      <c r="B50" s="4">
        <v>48</v>
      </c>
      <c r="C50" s="5">
        <v>12</v>
      </c>
      <c r="D50" s="6">
        <v>7.91</v>
      </c>
      <c r="E50" s="1">
        <f t="shared" si="0"/>
        <v>7.91</v>
      </c>
      <c r="F50" s="38">
        <f t="shared" si="1"/>
        <v>0</v>
      </c>
      <c r="G50" s="32">
        <f t="shared" si="2"/>
        <v>7.74</v>
      </c>
    </row>
    <row r="51" spans="1:7" x14ac:dyDescent="0.15">
      <c r="A51" s="4">
        <f>A39+1</f>
        <v>5</v>
      </c>
      <c r="B51" s="4">
        <v>49</v>
      </c>
      <c r="C51" s="5">
        <v>1</v>
      </c>
      <c r="D51" s="6">
        <v>8.2100000000000009</v>
      </c>
      <c r="E51" s="1">
        <f t="shared" si="0"/>
        <v>8.2099999999999991</v>
      </c>
      <c r="F51" s="38">
        <f t="shared" si="1"/>
        <v>0</v>
      </c>
      <c r="G51" s="32">
        <f t="shared" si="2"/>
        <v>7.91</v>
      </c>
    </row>
    <row r="52" spans="1:7" x14ac:dyDescent="0.15">
      <c r="A52" s="7"/>
      <c r="B52" s="4">
        <v>50</v>
      </c>
      <c r="C52" s="5">
        <v>2</v>
      </c>
      <c r="D52" s="6">
        <v>8.33</v>
      </c>
      <c r="E52" s="1">
        <f t="shared" si="0"/>
        <v>8.33</v>
      </c>
      <c r="F52" s="38">
        <f t="shared" si="1"/>
        <v>0</v>
      </c>
      <c r="G52" s="32">
        <f t="shared" si="2"/>
        <v>8.2099999999999991</v>
      </c>
    </row>
    <row r="53" spans="1:7" x14ac:dyDescent="0.15">
      <c r="A53" s="7"/>
      <c r="B53" s="4">
        <v>51</v>
      </c>
      <c r="C53" s="5">
        <v>3</v>
      </c>
      <c r="D53" s="6">
        <v>8.24</v>
      </c>
      <c r="E53" s="1">
        <f t="shared" si="0"/>
        <v>8.24</v>
      </c>
      <c r="F53" s="38">
        <f t="shared" si="1"/>
        <v>0</v>
      </c>
      <c r="G53" s="32">
        <f t="shared" si="2"/>
        <v>8.33</v>
      </c>
    </row>
    <row r="54" spans="1:7" x14ac:dyDescent="0.15">
      <c r="A54" s="7"/>
      <c r="B54" s="4">
        <v>52</v>
      </c>
      <c r="C54" s="5">
        <v>4</v>
      </c>
      <c r="D54" s="6">
        <v>8.15</v>
      </c>
      <c r="E54" s="1">
        <f t="shared" si="0"/>
        <v>8.15</v>
      </c>
      <c r="F54" s="38">
        <f t="shared" si="1"/>
        <v>0</v>
      </c>
      <c r="G54" s="32">
        <f t="shared" si="2"/>
        <v>8.24</v>
      </c>
    </row>
    <row r="55" spans="1:7" x14ac:dyDescent="0.15">
      <c r="A55" s="7"/>
      <c r="B55" s="4">
        <v>53</v>
      </c>
      <c r="C55" s="5">
        <v>5</v>
      </c>
      <c r="D55" s="6">
        <v>8.52</v>
      </c>
      <c r="E55" s="1">
        <f t="shared" si="0"/>
        <v>8.52</v>
      </c>
      <c r="F55" s="38">
        <f t="shared" si="1"/>
        <v>0</v>
      </c>
      <c r="G55" s="32">
        <f t="shared" si="2"/>
        <v>8.15</v>
      </c>
    </row>
    <row r="56" spans="1:7" x14ac:dyDescent="0.15">
      <c r="A56" s="7"/>
      <c r="B56" s="4">
        <v>54</v>
      </c>
      <c r="C56" s="5">
        <v>6</v>
      </c>
      <c r="D56" s="6">
        <v>8.2899999999999991</v>
      </c>
      <c r="E56" s="1">
        <f t="shared" si="0"/>
        <v>8.2899999999999991</v>
      </c>
      <c r="F56" s="38">
        <f t="shared" si="1"/>
        <v>0</v>
      </c>
      <c r="G56" s="32">
        <f t="shared" si="2"/>
        <v>8.52</v>
      </c>
    </row>
    <row r="57" spans="1:7" x14ac:dyDescent="0.15">
      <c r="A57" s="7"/>
      <c r="B57" s="4">
        <v>55</v>
      </c>
      <c r="C57" s="5">
        <v>7</v>
      </c>
      <c r="D57" s="6">
        <v>8.15</v>
      </c>
      <c r="E57" s="1">
        <f t="shared" si="0"/>
        <v>8.15</v>
      </c>
      <c r="F57" s="38">
        <f t="shared" si="1"/>
        <v>0</v>
      </c>
      <c r="G57" s="32">
        <f t="shared" si="2"/>
        <v>8.2899999999999991</v>
      </c>
    </row>
    <row r="58" spans="1:7" x14ac:dyDescent="0.15">
      <c r="A58" s="7"/>
      <c r="B58" s="4">
        <v>56</v>
      </c>
      <c r="C58" s="5">
        <v>8</v>
      </c>
      <c r="D58" s="6">
        <v>8.0299999999999994</v>
      </c>
      <c r="E58" s="1">
        <f t="shared" si="0"/>
        <v>8.0299999999999994</v>
      </c>
      <c r="F58" s="38">
        <f t="shared" si="1"/>
        <v>0</v>
      </c>
      <c r="G58" s="32">
        <f t="shared" si="2"/>
        <v>8.15</v>
      </c>
    </row>
    <row r="59" spans="1:7" x14ac:dyDescent="0.15">
      <c r="A59" s="7"/>
      <c r="B59" s="4">
        <v>57</v>
      </c>
      <c r="C59" s="4">
        <v>9</v>
      </c>
      <c r="D59" s="6">
        <v>7.91</v>
      </c>
      <c r="E59" s="1">
        <f t="shared" si="0"/>
        <v>7.91</v>
      </c>
      <c r="F59" s="38">
        <f t="shared" si="1"/>
        <v>0</v>
      </c>
      <c r="G59" s="32">
        <f t="shared" si="2"/>
        <v>8.0299999999999994</v>
      </c>
    </row>
    <row r="60" spans="1:7" x14ac:dyDescent="0.15">
      <c r="A60" s="7"/>
      <c r="B60" s="4">
        <v>58</v>
      </c>
      <c r="C60" s="5">
        <v>10</v>
      </c>
      <c r="D60" s="6">
        <v>7.8</v>
      </c>
      <c r="E60" s="1">
        <f t="shared" si="0"/>
        <v>7.8</v>
      </c>
      <c r="F60" s="38">
        <f t="shared" si="1"/>
        <v>0</v>
      </c>
      <c r="G60" s="32">
        <f t="shared" si="2"/>
        <v>7.91</v>
      </c>
    </row>
    <row r="61" spans="1:7" x14ac:dyDescent="0.15">
      <c r="A61" s="7"/>
      <c r="B61" s="4">
        <v>59</v>
      </c>
      <c r="C61" s="5">
        <v>11</v>
      </c>
      <c r="D61" s="6">
        <v>7.75</v>
      </c>
      <c r="E61" s="1">
        <f t="shared" si="0"/>
        <v>7.75</v>
      </c>
      <c r="F61" s="38">
        <f t="shared" si="1"/>
        <v>0</v>
      </c>
      <c r="G61" s="32">
        <f t="shared" si="2"/>
        <v>7.8</v>
      </c>
    </row>
    <row r="62" spans="1:7" x14ac:dyDescent="0.15">
      <c r="A62" s="7"/>
      <c r="B62" s="4">
        <v>60</v>
      </c>
      <c r="C62" s="5">
        <v>12</v>
      </c>
      <c r="D62" s="6">
        <v>7.38</v>
      </c>
      <c r="E62" s="1">
        <f t="shared" si="0"/>
        <v>7.38</v>
      </c>
      <c r="F62" s="38">
        <f t="shared" si="1"/>
        <v>0</v>
      </c>
      <c r="G62" s="32">
        <f t="shared" si="2"/>
        <v>7.75</v>
      </c>
    </row>
    <row r="63" spans="1:7" x14ac:dyDescent="0.15">
      <c r="A63" s="4">
        <f>A51+1</f>
        <v>6</v>
      </c>
      <c r="B63" s="4">
        <v>61</v>
      </c>
      <c r="C63" s="5">
        <v>1</v>
      </c>
      <c r="D63" s="6">
        <v>7.03</v>
      </c>
      <c r="E63" s="1">
        <f t="shared" si="0"/>
        <v>7.03</v>
      </c>
      <c r="F63" s="38">
        <f t="shared" si="1"/>
        <v>0</v>
      </c>
      <c r="G63" s="32">
        <f t="shared" si="2"/>
        <v>7.38</v>
      </c>
    </row>
    <row r="64" spans="1:7" x14ac:dyDescent="0.15">
      <c r="A64" s="7"/>
      <c r="B64" s="4">
        <v>62</v>
      </c>
      <c r="C64" s="5">
        <v>2</v>
      </c>
      <c r="D64" s="6">
        <v>7.05</v>
      </c>
      <c r="E64" s="1">
        <f t="shared" si="0"/>
        <v>7.05</v>
      </c>
      <c r="F64" s="38">
        <f t="shared" si="1"/>
        <v>0</v>
      </c>
      <c r="G64" s="32">
        <f t="shared" si="2"/>
        <v>7.03</v>
      </c>
    </row>
    <row r="65" spans="1:7" x14ac:dyDescent="0.15">
      <c r="A65" s="7"/>
      <c r="B65" s="4">
        <v>63</v>
      </c>
      <c r="C65" s="5">
        <v>3</v>
      </c>
      <c r="D65" s="6">
        <v>6.95</v>
      </c>
      <c r="E65" s="1">
        <f t="shared" si="0"/>
        <v>6.95</v>
      </c>
      <c r="F65" s="38">
        <f t="shared" si="1"/>
        <v>0</v>
      </c>
      <c r="G65" s="32">
        <f t="shared" si="2"/>
        <v>7.05</v>
      </c>
    </row>
    <row r="66" spans="1:7" x14ac:dyDescent="0.15">
      <c r="A66" s="7"/>
      <c r="B66" s="4">
        <v>64</v>
      </c>
      <c r="C66" s="5">
        <v>4</v>
      </c>
      <c r="D66" s="6">
        <v>7.08</v>
      </c>
      <c r="E66" s="1">
        <f t="shared" si="0"/>
        <v>7.08</v>
      </c>
      <c r="F66" s="38">
        <f t="shared" si="1"/>
        <v>0</v>
      </c>
      <c r="G66" s="32">
        <f t="shared" si="2"/>
        <v>6.95</v>
      </c>
    </row>
    <row r="67" spans="1:7" x14ac:dyDescent="0.15">
      <c r="A67" s="7"/>
      <c r="B67" s="4">
        <v>65</v>
      </c>
      <c r="C67" s="5">
        <v>5</v>
      </c>
      <c r="D67" s="6">
        <v>7.15</v>
      </c>
      <c r="E67" s="1">
        <f t="shared" si="0"/>
        <v>7.15</v>
      </c>
      <c r="F67" s="38">
        <f t="shared" si="1"/>
        <v>0</v>
      </c>
      <c r="G67" s="32">
        <f t="shared" si="2"/>
        <v>7.08</v>
      </c>
    </row>
    <row r="68" spans="1:7" x14ac:dyDescent="0.15">
      <c r="A68" s="7"/>
      <c r="B68" s="4">
        <v>66</v>
      </c>
      <c r="C68" s="5">
        <v>6</v>
      </c>
      <c r="D68" s="6">
        <v>7.16</v>
      </c>
      <c r="E68" s="1">
        <f t="shared" si="0"/>
        <v>7.16</v>
      </c>
      <c r="F68" s="38">
        <f t="shared" si="1"/>
        <v>0</v>
      </c>
      <c r="G68" s="32">
        <f t="shared" si="2"/>
        <v>7.15</v>
      </c>
    </row>
    <row r="69" spans="1:7" x14ac:dyDescent="0.15">
      <c r="A69" s="7"/>
      <c r="B69" s="4">
        <v>67</v>
      </c>
      <c r="C69" s="5">
        <v>7</v>
      </c>
      <c r="D69" s="6">
        <v>7.13</v>
      </c>
      <c r="E69" s="1">
        <f t="shared" ref="E69:E84" si="3">$J$3*D69+(1-$J$3)*(E68+F68)</f>
        <v>7.13</v>
      </c>
      <c r="F69" s="38">
        <f t="shared" ref="F69:F84" si="4">$J$4*(E69-E68)+(1-$J$4)*F68</f>
        <v>0</v>
      </c>
      <c r="G69" s="32">
        <f t="shared" ref="G69:G84" si="5">E68+F68</f>
        <v>7.16</v>
      </c>
    </row>
    <row r="70" spans="1:7" x14ac:dyDescent="0.15">
      <c r="A70" s="7"/>
      <c r="B70" s="4">
        <v>68</v>
      </c>
      <c r="C70" s="5">
        <v>8</v>
      </c>
      <c r="D70" s="6">
        <v>6.95</v>
      </c>
      <c r="E70" s="1">
        <f t="shared" si="3"/>
        <v>6.95</v>
      </c>
      <c r="F70" s="38">
        <f t="shared" si="4"/>
        <v>0</v>
      </c>
      <c r="G70" s="32">
        <f t="shared" si="5"/>
        <v>7.13</v>
      </c>
    </row>
    <row r="71" spans="1:7" x14ac:dyDescent="0.15">
      <c r="A71" s="7"/>
      <c r="B71" s="4">
        <v>69</v>
      </c>
      <c r="C71" s="4">
        <v>9</v>
      </c>
      <c r="D71" s="6">
        <v>6.82</v>
      </c>
      <c r="E71" s="1">
        <f t="shared" si="3"/>
        <v>6.82</v>
      </c>
      <c r="F71" s="38">
        <f t="shared" si="4"/>
        <v>0</v>
      </c>
      <c r="G71" s="32">
        <f t="shared" si="5"/>
        <v>6.95</v>
      </c>
    </row>
    <row r="72" spans="1:7" x14ac:dyDescent="0.15">
      <c r="A72" s="7"/>
      <c r="B72" s="4">
        <v>70</v>
      </c>
      <c r="C72" s="5">
        <v>10</v>
      </c>
      <c r="D72" s="6">
        <v>6.62</v>
      </c>
      <c r="E72" s="1">
        <f t="shared" si="3"/>
        <v>6.62</v>
      </c>
      <c r="F72" s="38">
        <f t="shared" si="4"/>
        <v>0</v>
      </c>
      <c r="G72" s="32">
        <f t="shared" si="5"/>
        <v>6.82</v>
      </c>
    </row>
    <row r="73" spans="1:7" x14ac:dyDescent="0.15">
      <c r="A73" s="7"/>
      <c r="B73" s="4">
        <v>71</v>
      </c>
      <c r="C73" s="5">
        <v>11</v>
      </c>
      <c r="D73" s="6">
        <v>6.66</v>
      </c>
      <c r="E73" s="1">
        <f t="shared" si="3"/>
        <v>6.66</v>
      </c>
      <c r="F73" s="38">
        <f t="shared" si="4"/>
        <v>0</v>
      </c>
      <c r="G73" s="32">
        <f t="shared" si="5"/>
        <v>6.62</v>
      </c>
    </row>
    <row r="74" spans="1:7" x14ac:dyDescent="0.15">
      <c r="A74" s="7"/>
      <c r="B74" s="4">
        <v>72</v>
      </c>
      <c r="C74" s="5">
        <v>12</v>
      </c>
      <c r="D74" s="6">
        <v>7.07</v>
      </c>
      <c r="E74" s="1">
        <f t="shared" si="3"/>
        <v>7.07</v>
      </c>
      <c r="F74" s="38">
        <f t="shared" si="4"/>
        <v>0</v>
      </c>
      <c r="G74" s="32">
        <f t="shared" si="5"/>
        <v>6.66</v>
      </c>
    </row>
    <row r="75" spans="1:7" x14ac:dyDescent="0.15">
      <c r="A75" s="4">
        <f>A63+1</f>
        <v>7</v>
      </c>
      <c r="B75" s="4">
        <v>73</v>
      </c>
      <c r="C75" s="5">
        <v>1</v>
      </c>
      <c r="D75" s="6">
        <v>7</v>
      </c>
      <c r="E75" s="1">
        <f t="shared" si="3"/>
        <v>7</v>
      </c>
      <c r="F75" s="38">
        <f t="shared" si="4"/>
        <v>0</v>
      </c>
      <c r="G75" s="32">
        <f t="shared" si="5"/>
        <v>7.07</v>
      </c>
    </row>
    <row r="76" spans="1:7" x14ac:dyDescent="0.15">
      <c r="A76" s="7"/>
      <c r="B76" s="4">
        <v>74</v>
      </c>
      <c r="C76" s="5">
        <v>2</v>
      </c>
      <c r="D76" s="6">
        <v>6.89</v>
      </c>
      <c r="E76" s="1">
        <f t="shared" si="3"/>
        <v>6.89</v>
      </c>
      <c r="F76" s="38">
        <f t="shared" si="4"/>
        <v>0</v>
      </c>
      <c r="G76" s="32">
        <f t="shared" si="5"/>
        <v>7</v>
      </c>
    </row>
    <row r="77" spans="1:7" x14ac:dyDescent="0.15">
      <c r="A77" s="7"/>
      <c r="B77" s="4">
        <v>75</v>
      </c>
      <c r="C77" s="5">
        <v>3</v>
      </c>
      <c r="D77" s="6">
        <v>7.01</v>
      </c>
      <c r="E77" s="1">
        <f t="shared" si="3"/>
        <v>7.01</v>
      </c>
      <c r="F77" s="38">
        <f t="shared" si="4"/>
        <v>0</v>
      </c>
      <c r="G77" s="32">
        <f t="shared" si="5"/>
        <v>6.89</v>
      </c>
    </row>
    <row r="78" spans="1:7" x14ac:dyDescent="0.15">
      <c r="A78" s="7"/>
      <c r="B78" s="4">
        <v>76</v>
      </c>
      <c r="C78" s="5">
        <v>4</v>
      </c>
      <c r="D78" s="6">
        <v>6.99</v>
      </c>
      <c r="E78" s="1">
        <f t="shared" si="3"/>
        <v>6.99</v>
      </c>
      <c r="F78" s="38">
        <f t="shared" si="4"/>
        <v>0</v>
      </c>
      <c r="G78" s="32">
        <f t="shared" si="5"/>
        <v>7.01</v>
      </c>
    </row>
    <row r="79" spans="1:7" x14ac:dyDescent="0.15">
      <c r="A79" s="7"/>
      <c r="B79" s="4">
        <v>77</v>
      </c>
      <c r="C79" s="5">
        <v>5</v>
      </c>
      <c r="D79" s="6">
        <v>6.81</v>
      </c>
      <c r="E79" s="1">
        <f t="shared" si="3"/>
        <v>6.81</v>
      </c>
      <c r="F79" s="38">
        <f t="shared" si="4"/>
        <v>0</v>
      </c>
      <c r="G79" s="32">
        <f t="shared" si="5"/>
        <v>6.99</v>
      </c>
    </row>
    <row r="80" spans="1:7" x14ac:dyDescent="0.15">
      <c r="A80" s="7"/>
      <c r="B80" s="4">
        <v>78</v>
      </c>
      <c r="C80" s="5">
        <v>6</v>
      </c>
      <c r="D80" s="6">
        <v>6.65</v>
      </c>
      <c r="E80" s="1">
        <f t="shared" si="3"/>
        <v>6.65</v>
      </c>
      <c r="F80" s="38">
        <f t="shared" si="4"/>
        <v>0</v>
      </c>
      <c r="G80" s="32">
        <f t="shared" si="5"/>
        <v>6.81</v>
      </c>
    </row>
    <row r="81" spans="1:7" x14ac:dyDescent="0.15">
      <c r="A81" s="7"/>
      <c r="B81" s="4">
        <v>79</v>
      </c>
      <c r="C81" s="5">
        <v>7</v>
      </c>
      <c r="D81" s="6">
        <v>6.49</v>
      </c>
      <c r="E81" s="1">
        <f t="shared" si="3"/>
        <v>6.49</v>
      </c>
      <c r="F81" s="38">
        <f t="shared" si="4"/>
        <v>0</v>
      </c>
      <c r="G81" s="32">
        <f t="shared" si="5"/>
        <v>6.65</v>
      </c>
    </row>
    <row r="82" spans="1:7" x14ac:dyDescent="0.15">
      <c r="A82" s="7"/>
      <c r="B82" s="4">
        <v>80</v>
      </c>
      <c r="C82" s="5">
        <v>8</v>
      </c>
      <c r="D82" s="6">
        <v>6.29</v>
      </c>
      <c r="E82" s="1">
        <f t="shared" si="3"/>
        <v>6.29</v>
      </c>
      <c r="F82" s="38">
        <f t="shared" si="4"/>
        <v>0</v>
      </c>
      <c r="G82" s="32">
        <f t="shared" si="5"/>
        <v>6.49</v>
      </c>
    </row>
    <row r="83" spans="1:7" x14ac:dyDescent="0.15">
      <c r="A83" s="7"/>
      <c r="B83" s="4">
        <v>81</v>
      </c>
      <c r="C83" s="4">
        <v>9</v>
      </c>
      <c r="D83" s="6">
        <v>6.09</v>
      </c>
      <c r="E83" s="1">
        <f t="shared" si="3"/>
        <v>6.09</v>
      </c>
      <c r="F83" s="38">
        <f t="shared" si="4"/>
        <v>0</v>
      </c>
      <c r="G83" s="32">
        <f t="shared" si="5"/>
        <v>6.29</v>
      </c>
    </row>
    <row r="84" spans="1:7" ht="14" thickBot="1" x14ac:dyDescent="0.2">
      <c r="A84" s="33"/>
      <c r="B84" s="9">
        <v>82</v>
      </c>
      <c r="C84" s="10">
        <v>10</v>
      </c>
      <c r="D84" s="11">
        <v>6.11</v>
      </c>
      <c r="E84" s="1">
        <f t="shared" si="3"/>
        <v>6.11</v>
      </c>
      <c r="F84" s="38">
        <f t="shared" si="4"/>
        <v>0</v>
      </c>
      <c r="G84" s="83">
        <f t="shared" si="5"/>
        <v>6.09</v>
      </c>
    </row>
    <row r="85" spans="1:7" x14ac:dyDescent="0.15">
      <c r="B85" s="35">
        <v>83</v>
      </c>
      <c r="C85" s="1">
        <v>11</v>
      </c>
      <c r="D85" s="17" t="s">
        <v>15</v>
      </c>
      <c r="E85" s="37"/>
      <c r="F85" s="17"/>
      <c r="G85" s="18">
        <f>$E$84+C75*$F$84</f>
        <v>6.11</v>
      </c>
    </row>
    <row r="86" spans="1:7" x14ac:dyDescent="0.15">
      <c r="B86" s="35">
        <v>84</v>
      </c>
      <c r="C86" s="1">
        <v>12</v>
      </c>
      <c r="D86" s="17" t="s">
        <v>15</v>
      </c>
      <c r="E86" s="17"/>
      <c r="F86" s="17"/>
      <c r="G86" s="18">
        <f>$E$84+C76*$F$84</f>
        <v>6.11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0FD3-1E19-4F3F-87B8-F2D0BF9C3364}">
  <dimension ref="A1:K23"/>
  <sheetViews>
    <sheetView zoomScale="110" zoomScaleNormal="110" workbookViewId="0">
      <selection activeCell="G14" sqref="G14"/>
    </sheetView>
  </sheetViews>
  <sheetFormatPr baseColWidth="10" defaultColWidth="9.1640625" defaultRowHeight="13" x14ac:dyDescent="0.15"/>
  <cols>
    <col min="1" max="1" width="5.5" style="42" customWidth="1"/>
    <col min="2" max="2" width="8.1640625" style="42" customWidth="1"/>
    <col min="3" max="3" width="5.5" style="42" customWidth="1"/>
    <col min="4" max="4" width="11" style="41" customWidth="1"/>
    <col min="5" max="5" width="9.1640625" style="41"/>
    <col min="6" max="6" width="16.6640625" style="41" bestFit="1" customWidth="1"/>
    <col min="7" max="16384" width="9.1640625" style="41"/>
  </cols>
  <sheetData>
    <row r="1" spans="1:11" x14ac:dyDescent="0.15">
      <c r="E1" s="49" t="s">
        <v>32</v>
      </c>
      <c r="F1" s="49" t="s">
        <v>33</v>
      </c>
      <c r="G1" s="49" t="s">
        <v>35</v>
      </c>
    </row>
    <row r="2" spans="1:11" ht="14" thickBot="1" x14ac:dyDescent="0.2">
      <c r="A2" s="40" t="s">
        <v>1</v>
      </c>
      <c r="B2" s="40" t="s">
        <v>29</v>
      </c>
      <c r="C2" s="40" t="s">
        <v>30</v>
      </c>
      <c r="D2" s="40" t="s">
        <v>31</v>
      </c>
      <c r="E2" s="40" t="s">
        <v>25</v>
      </c>
      <c r="F2" s="40" t="s">
        <v>34</v>
      </c>
      <c r="G2" s="40" t="s">
        <v>36</v>
      </c>
      <c r="J2" s="50" t="s">
        <v>37</v>
      </c>
      <c r="K2" s="20"/>
    </row>
    <row r="3" spans="1:11" x14ac:dyDescent="0.15">
      <c r="A3" s="42">
        <v>2014</v>
      </c>
      <c r="B3" s="42">
        <v>1</v>
      </c>
      <c r="C3" s="42">
        <v>1</v>
      </c>
      <c r="D3" s="43">
        <v>23</v>
      </c>
      <c r="E3" s="76">
        <f>TREND($D$3:$D$14,$C$3:$C$14,C3)</f>
        <v>24.320512820512821</v>
      </c>
      <c r="F3" s="75">
        <f>(D3/E3)</f>
        <v>0.94570374275171321</v>
      </c>
      <c r="G3" s="76">
        <f>E3*VLOOKUP(B3,$J$3:$K$6,2)</f>
        <v>20.478448938674632</v>
      </c>
      <c r="J3" s="1">
        <v>1</v>
      </c>
      <c r="K3" s="51">
        <f>AVERAGEIF($B$3:$B$14,J3,$F$3:$F$14)</f>
        <v>0.84202373074149772</v>
      </c>
    </row>
    <row r="4" spans="1:11" x14ac:dyDescent="0.15">
      <c r="B4" s="42">
        <v>2</v>
      </c>
      <c r="C4" s="42">
        <v>2</v>
      </c>
      <c r="D4" s="43">
        <v>25</v>
      </c>
      <c r="E4" s="76">
        <f t="shared" ref="E4:E18" si="0">TREND($D$3:$D$14,$C$3:$C$14,C4)</f>
        <v>26.292540792540791</v>
      </c>
      <c r="F4" s="75">
        <f t="shared" ref="F4:F14" si="1">(D4/E4)</f>
        <v>0.95084001950441066</v>
      </c>
      <c r="G4" s="76">
        <f t="shared" ref="G4:G18" si="2">E4*VLOOKUP(B4,$J$3:$K$6,2)</f>
        <v>24.262601620881956</v>
      </c>
      <c r="J4" s="1">
        <v>2</v>
      </c>
      <c r="K4" s="51">
        <f t="shared" ref="K4:K6" si="3">AVERAGEIF($B$3:$B$14,J4,$F$3:$F$14)</f>
        <v>0.92279410393708583</v>
      </c>
    </row>
    <row r="5" spans="1:11" x14ac:dyDescent="0.15">
      <c r="B5" s="42">
        <v>3</v>
      </c>
      <c r="C5" s="42">
        <v>3</v>
      </c>
      <c r="D5" s="43">
        <v>36</v>
      </c>
      <c r="E5" s="76">
        <f t="shared" si="0"/>
        <v>28.264568764568764</v>
      </c>
      <c r="F5" s="75">
        <f t="shared" si="1"/>
        <v>1.2736794358995505</v>
      </c>
      <c r="G5" s="76">
        <f t="shared" si="2"/>
        <v>35.847119351327535</v>
      </c>
      <c r="J5" s="1">
        <v>3</v>
      </c>
      <c r="K5" s="51">
        <f t="shared" si="3"/>
        <v>1.2682705209450755</v>
      </c>
    </row>
    <row r="6" spans="1:11" x14ac:dyDescent="0.15">
      <c r="B6" s="42">
        <v>4</v>
      </c>
      <c r="C6" s="42">
        <v>4</v>
      </c>
      <c r="D6" s="43">
        <v>31</v>
      </c>
      <c r="E6" s="76">
        <f t="shared" si="0"/>
        <v>30.236596736596734</v>
      </c>
      <c r="F6" s="75">
        <f t="shared" si="1"/>
        <v>1.0252476583278727</v>
      </c>
      <c r="G6" s="76">
        <f t="shared" si="2"/>
        <v>29.269421953408266</v>
      </c>
      <c r="J6" s="1">
        <v>4</v>
      </c>
      <c r="K6" s="51">
        <f t="shared" si="3"/>
        <v>0.96801310704329857</v>
      </c>
    </row>
    <row r="7" spans="1:11" x14ac:dyDescent="0.15">
      <c r="A7" s="42">
        <v>2015</v>
      </c>
      <c r="B7" s="42">
        <v>1</v>
      </c>
      <c r="C7" s="42">
        <v>5</v>
      </c>
      <c r="D7" s="43">
        <v>26</v>
      </c>
      <c r="E7" s="76">
        <f t="shared" si="0"/>
        <v>32.208624708624711</v>
      </c>
      <c r="F7" s="75">
        <f t="shared" si="1"/>
        <v>0.80723719920390802</v>
      </c>
      <c r="G7" s="76">
        <f t="shared" si="2"/>
        <v>27.120426339208965</v>
      </c>
      <c r="J7" s="7"/>
      <c r="K7" s="7"/>
    </row>
    <row r="8" spans="1:11" x14ac:dyDescent="0.15">
      <c r="B8" s="42">
        <v>2</v>
      </c>
      <c r="C8" s="42">
        <v>6</v>
      </c>
      <c r="D8" s="43">
        <v>28</v>
      </c>
      <c r="E8" s="76">
        <f t="shared" si="0"/>
        <v>34.180652680652678</v>
      </c>
      <c r="F8" s="75">
        <f t="shared" si="1"/>
        <v>0.81917686773280607</v>
      </c>
      <c r="G8" s="76">
        <f t="shared" si="2"/>
        <v>31.541704762427639</v>
      </c>
      <c r="J8" s="12" t="s">
        <v>5</v>
      </c>
      <c r="K8" s="52">
        <f>SUMXMY2(D3:D14,G3:G14)/COUNT(G3:G14)</f>
        <v>4.7852333268603733</v>
      </c>
    </row>
    <row r="9" spans="1:11" x14ac:dyDescent="0.15">
      <c r="B9" s="42">
        <v>3</v>
      </c>
      <c r="C9" s="42">
        <v>7</v>
      </c>
      <c r="D9" s="43">
        <v>48</v>
      </c>
      <c r="E9" s="76">
        <f t="shared" si="0"/>
        <v>36.152680652680651</v>
      </c>
      <c r="F9" s="75">
        <f t="shared" si="1"/>
        <v>1.3277023759631195</v>
      </c>
      <c r="G9" s="76">
        <f t="shared" si="2"/>
        <v>45.851379124936244</v>
      </c>
    </row>
    <row r="10" spans="1:11" x14ac:dyDescent="0.15">
      <c r="B10" s="42">
        <v>4</v>
      </c>
      <c r="C10" s="42">
        <v>8</v>
      </c>
      <c r="D10" s="43">
        <v>36</v>
      </c>
      <c r="E10" s="76">
        <f t="shared" si="0"/>
        <v>38.124708624708624</v>
      </c>
      <c r="F10" s="75">
        <f t="shared" si="1"/>
        <v>0.94426951178502649</v>
      </c>
      <c r="G10" s="76">
        <f t="shared" si="2"/>
        <v>36.905217650924641</v>
      </c>
    </row>
    <row r="11" spans="1:11" x14ac:dyDescent="0.15">
      <c r="A11" s="42">
        <v>2016</v>
      </c>
      <c r="B11" s="42">
        <v>1</v>
      </c>
      <c r="C11" s="42">
        <v>9</v>
      </c>
      <c r="D11" s="43">
        <v>31</v>
      </c>
      <c r="E11" s="76">
        <f t="shared" si="0"/>
        <v>40.096736596736591</v>
      </c>
      <c r="F11" s="75">
        <f t="shared" si="1"/>
        <v>0.77313025026887205</v>
      </c>
      <c r="G11" s="76">
        <f t="shared" si="2"/>
        <v>33.762403739743291</v>
      </c>
    </row>
    <row r="12" spans="1:11" x14ac:dyDescent="0.15">
      <c r="B12" s="42">
        <v>2</v>
      </c>
      <c r="C12" s="42">
        <v>10</v>
      </c>
      <c r="D12" s="43">
        <v>42</v>
      </c>
      <c r="E12" s="76">
        <f t="shared" si="0"/>
        <v>42.068764568764564</v>
      </c>
      <c r="F12" s="75">
        <f t="shared" si="1"/>
        <v>0.99836542457404087</v>
      </c>
      <c r="G12" s="76">
        <f t="shared" si="2"/>
        <v>38.820807903973318</v>
      </c>
    </row>
    <row r="13" spans="1:11" x14ac:dyDescent="0.15">
      <c r="B13" s="42">
        <v>3</v>
      </c>
      <c r="C13" s="42">
        <v>11</v>
      </c>
      <c r="D13" s="43">
        <v>53</v>
      </c>
      <c r="E13" s="76">
        <f t="shared" si="0"/>
        <v>44.040792540792538</v>
      </c>
      <c r="F13" s="75">
        <f t="shared" si="1"/>
        <v>1.2034297509725569</v>
      </c>
      <c r="G13" s="76">
        <f t="shared" si="2"/>
        <v>55.855638898544946</v>
      </c>
    </row>
    <row r="14" spans="1:11" ht="14" thickBot="1" x14ac:dyDescent="0.2">
      <c r="A14" s="44"/>
      <c r="B14" s="44">
        <v>4</v>
      </c>
      <c r="C14" s="44">
        <v>12</v>
      </c>
      <c r="D14" s="45">
        <v>43</v>
      </c>
      <c r="E14" s="76">
        <f t="shared" si="0"/>
        <v>46.012820512820511</v>
      </c>
      <c r="F14" s="75">
        <f t="shared" si="1"/>
        <v>0.93452215101699643</v>
      </c>
      <c r="G14" s="84">
        <f t="shared" si="2"/>
        <v>44.541013348441005</v>
      </c>
    </row>
    <row r="15" spans="1:11" x14ac:dyDescent="0.15">
      <c r="A15" s="42">
        <v>2017</v>
      </c>
      <c r="B15" s="42">
        <v>1</v>
      </c>
      <c r="C15" s="42">
        <v>13</v>
      </c>
      <c r="D15" s="46" t="s">
        <v>15</v>
      </c>
      <c r="E15" s="76">
        <f>TREND($D$3:$D$14,$C$3:$C$14,C15)</f>
        <v>47.984848484848484</v>
      </c>
      <c r="F15" s="77" t="s">
        <v>47</v>
      </c>
      <c r="G15" s="76">
        <f t="shared" si="2"/>
        <v>40.404381140277629</v>
      </c>
    </row>
    <row r="16" spans="1:11" x14ac:dyDescent="0.15">
      <c r="B16" s="42">
        <v>2</v>
      </c>
      <c r="C16" s="42">
        <v>14</v>
      </c>
      <c r="D16" s="46" t="s">
        <v>15</v>
      </c>
      <c r="E16" s="76">
        <f t="shared" si="0"/>
        <v>49.956876456876458</v>
      </c>
      <c r="F16" s="77" t="s">
        <v>47</v>
      </c>
      <c r="G16" s="76">
        <f t="shared" si="2"/>
        <v>46.099911045519008</v>
      </c>
    </row>
    <row r="17" spans="1:7" x14ac:dyDescent="0.15">
      <c r="B17" s="42">
        <v>3</v>
      </c>
      <c r="C17" s="42">
        <v>15</v>
      </c>
      <c r="D17" s="46" t="s">
        <v>15</v>
      </c>
      <c r="E17" s="76">
        <f t="shared" si="0"/>
        <v>51.928904428904424</v>
      </c>
      <c r="F17" s="77" t="s">
        <v>47</v>
      </c>
      <c r="G17" s="76">
        <f t="shared" si="2"/>
        <v>65.859898672153648</v>
      </c>
    </row>
    <row r="18" spans="1:7" x14ac:dyDescent="0.15">
      <c r="B18" s="42">
        <v>4</v>
      </c>
      <c r="C18" s="42">
        <v>16</v>
      </c>
      <c r="D18" s="46" t="s">
        <v>15</v>
      </c>
      <c r="E18" s="76">
        <f t="shared" si="0"/>
        <v>53.900932400932398</v>
      </c>
      <c r="F18" s="77" t="s">
        <v>47</v>
      </c>
      <c r="G18" s="76">
        <f t="shared" si="2"/>
        <v>52.17680904595737</v>
      </c>
    </row>
    <row r="19" spans="1:7" x14ac:dyDescent="0.15">
      <c r="D19" s="47"/>
    </row>
    <row r="20" spans="1:7" x14ac:dyDescent="0.15">
      <c r="D20" s="47"/>
    </row>
    <row r="21" spans="1:7" x14ac:dyDescent="0.15">
      <c r="D21" s="47"/>
    </row>
    <row r="22" spans="1:7" x14ac:dyDescent="0.15">
      <c r="A22" s="48"/>
      <c r="D22" s="49"/>
    </row>
    <row r="23" spans="1:7" x14ac:dyDescent="0.15">
      <c r="A23" s="48"/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316A-76F9-46E7-9606-91A01B922F63}">
  <dimension ref="A1:K23"/>
  <sheetViews>
    <sheetView zoomScale="125" zoomScaleNormal="110" workbookViewId="0">
      <selection activeCell="H14" sqref="H14"/>
    </sheetView>
  </sheetViews>
  <sheetFormatPr baseColWidth="10" defaultColWidth="9.1640625" defaultRowHeight="13" x14ac:dyDescent="0.15"/>
  <cols>
    <col min="1" max="1" width="5.5" style="42" customWidth="1"/>
    <col min="2" max="2" width="8.1640625" style="42" customWidth="1"/>
    <col min="3" max="3" width="5.5" style="42" customWidth="1"/>
    <col min="4" max="4" width="7.1640625" style="42" bestFit="1" customWidth="1"/>
    <col min="5" max="5" width="11" style="41" customWidth="1"/>
    <col min="6" max="6" width="11.6640625" style="42" bestFit="1" customWidth="1"/>
    <col min="7" max="7" width="16.6640625" style="41" bestFit="1" customWidth="1"/>
    <col min="8" max="16384" width="9.1640625" style="41"/>
  </cols>
  <sheetData>
    <row r="1" spans="1:11" x14ac:dyDescent="0.15">
      <c r="F1" s="48" t="s">
        <v>32</v>
      </c>
      <c r="G1" s="49" t="s">
        <v>33</v>
      </c>
      <c r="H1" s="49" t="s">
        <v>35</v>
      </c>
    </row>
    <row r="2" spans="1:11" ht="14" thickBot="1" x14ac:dyDescent="0.2">
      <c r="A2" s="40" t="s">
        <v>1</v>
      </c>
      <c r="B2" s="40" t="s">
        <v>29</v>
      </c>
      <c r="C2" s="40" t="s">
        <v>30</v>
      </c>
      <c r="D2" s="40" t="s">
        <v>48</v>
      </c>
      <c r="E2" s="40" t="s">
        <v>31</v>
      </c>
      <c r="F2" s="40" t="s">
        <v>25</v>
      </c>
      <c r="G2" s="40" t="s">
        <v>34</v>
      </c>
      <c r="H2" s="40" t="s">
        <v>36</v>
      </c>
      <c r="J2" s="50" t="s">
        <v>37</v>
      </c>
      <c r="K2" s="20"/>
    </row>
    <row r="3" spans="1:11" x14ac:dyDescent="0.15">
      <c r="A3" s="42">
        <v>2014</v>
      </c>
      <c r="B3" s="42">
        <v>1</v>
      </c>
      <c r="C3" s="42">
        <v>1</v>
      </c>
      <c r="D3" s="42">
        <f>C3^2</f>
        <v>1</v>
      </c>
      <c r="E3" s="43">
        <v>23</v>
      </c>
      <c r="F3" s="78">
        <f>TREND($E$3:$E$14,$C$3:$D$14,C3:D3)</f>
        <v>24.989010989010996</v>
      </c>
      <c r="G3" s="75">
        <f>E3/F3</f>
        <v>0.92040457343887394</v>
      </c>
      <c r="H3" s="47">
        <f t="shared" ref="H3:H18" si="0">F3*VLOOKUP(B3,$J$3:$K$6,2)</f>
        <v>20.938364371719757</v>
      </c>
      <c r="J3" s="1">
        <v>1</v>
      </c>
      <c r="K3" s="79">
        <f>AVERAGEIF($B$3:$B$14,J3,$G$3:$G$14)</f>
        <v>0.83790288382871481</v>
      </c>
    </row>
    <row r="4" spans="1:11" x14ac:dyDescent="0.15">
      <c r="B4" s="42">
        <v>2</v>
      </c>
      <c r="C4" s="42">
        <v>2</v>
      </c>
      <c r="D4" s="42">
        <f t="shared" ref="D4:D18" si="1">C4^2</f>
        <v>4</v>
      </c>
      <c r="E4" s="43">
        <v>25</v>
      </c>
      <c r="F4" s="78">
        <f t="shared" ref="F4:F18" si="2">TREND($E$3:$E$14,$C$3:$D$14,C4:D4)</f>
        <v>26.596403596403601</v>
      </c>
      <c r="G4" s="75">
        <f t="shared" ref="G4:G14" si="3">E4/F4</f>
        <v>0.93997671186567988</v>
      </c>
      <c r="H4" s="47">
        <f t="shared" si="0"/>
        <v>24.535665459015306</v>
      </c>
      <c r="J4" s="1">
        <v>2</v>
      </c>
      <c r="K4" s="79">
        <f t="shared" ref="K4:K6" si="4">AVERAGEIF($B$3:$B$14,J4,$G$3:$G$14)</f>
        <v>0.92251816566406175</v>
      </c>
    </row>
    <row r="5" spans="1:11" x14ac:dyDescent="0.15">
      <c r="B5" s="42">
        <v>3</v>
      </c>
      <c r="C5" s="42">
        <v>3</v>
      </c>
      <c r="D5" s="42">
        <f t="shared" si="1"/>
        <v>9</v>
      </c>
      <c r="E5" s="43">
        <v>36</v>
      </c>
      <c r="F5" s="78">
        <f t="shared" si="2"/>
        <v>28.276723276723278</v>
      </c>
      <c r="G5" s="75">
        <f t="shared" si="3"/>
        <v>1.2731319554848965</v>
      </c>
      <c r="H5" s="47">
        <f t="shared" si="0"/>
        <v>35.928658117644666</v>
      </c>
      <c r="J5" s="1">
        <v>3</v>
      </c>
      <c r="K5" s="79">
        <f t="shared" si="4"/>
        <v>1.2706089657573683</v>
      </c>
    </row>
    <row r="6" spans="1:11" x14ac:dyDescent="0.15">
      <c r="B6" s="42">
        <v>4</v>
      </c>
      <c r="C6" s="42">
        <v>4</v>
      </c>
      <c r="D6" s="42">
        <f t="shared" si="1"/>
        <v>16</v>
      </c>
      <c r="E6" s="43">
        <v>31</v>
      </c>
      <c r="F6" s="78">
        <f t="shared" si="2"/>
        <v>30.029970029970031</v>
      </c>
      <c r="G6" s="75">
        <f t="shared" si="3"/>
        <v>1.0323020625415835</v>
      </c>
      <c r="H6" s="47">
        <f t="shared" si="0"/>
        <v>29.094262366898967</v>
      </c>
      <c r="J6" s="1">
        <v>4</v>
      </c>
      <c r="K6" s="79">
        <f t="shared" si="4"/>
        <v>0.96884087256373475</v>
      </c>
    </row>
    <row r="7" spans="1:11" x14ac:dyDescent="0.15">
      <c r="A7" s="42">
        <v>2015</v>
      </c>
      <c r="B7" s="42">
        <v>1</v>
      </c>
      <c r="C7" s="42">
        <v>5</v>
      </c>
      <c r="D7" s="42">
        <f t="shared" si="1"/>
        <v>25</v>
      </c>
      <c r="E7" s="43">
        <v>26</v>
      </c>
      <c r="F7" s="78">
        <f t="shared" si="2"/>
        <v>31.856143856143852</v>
      </c>
      <c r="G7" s="75">
        <f t="shared" si="3"/>
        <v>0.81616909182137487</v>
      </c>
      <c r="H7" s="47">
        <f t="shared" si="0"/>
        <v>26.69235480472533</v>
      </c>
      <c r="J7" s="7"/>
      <c r="K7" s="7"/>
    </row>
    <row r="8" spans="1:11" x14ac:dyDescent="0.15">
      <c r="B8" s="42">
        <v>2</v>
      </c>
      <c r="C8" s="42">
        <v>6</v>
      </c>
      <c r="D8" s="42">
        <f t="shared" si="1"/>
        <v>36</v>
      </c>
      <c r="E8" s="43">
        <v>28</v>
      </c>
      <c r="F8" s="78">
        <f t="shared" si="2"/>
        <v>33.755244755244753</v>
      </c>
      <c r="G8" s="75">
        <f t="shared" si="3"/>
        <v>0.82950072508804651</v>
      </c>
      <c r="H8" s="47">
        <f t="shared" si="0"/>
        <v>31.139826473149832</v>
      </c>
      <c r="J8" s="12" t="s">
        <v>5</v>
      </c>
      <c r="K8" s="52">
        <f>SUMXMY2(E3:E14,H3:H14)/COUNT(H3:H14)</f>
        <v>4.809203616384214</v>
      </c>
    </row>
    <row r="9" spans="1:11" x14ac:dyDescent="0.15">
      <c r="B9" s="42">
        <v>3</v>
      </c>
      <c r="C9" s="42">
        <v>7</v>
      </c>
      <c r="D9" s="42">
        <f t="shared" si="1"/>
        <v>49</v>
      </c>
      <c r="E9" s="43">
        <v>48</v>
      </c>
      <c r="F9" s="78">
        <f t="shared" si="2"/>
        <v>35.72727272727272</v>
      </c>
      <c r="G9" s="75">
        <f t="shared" si="3"/>
        <v>1.3435114503816796</v>
      </c>
      <c r="H9" s="47">
        <f t="shared" si="0"/>
        <v>45.395393049331418</v>
      </c>
    </row>
    <row r="10" spans="1:11" x14ac:dyDescent="0.15">
      <c r="B10" s="42">
        <v>4</v>
      </c>
      <c r="C10" s="42">
        <v>8</v>
      </c>
      <c r="D10" s="42">
        <f t="shared" si="1"/>
        <v>64</v>
      </c>
      <c r="E10" s="43">
        <v>36</v>
      </c>
      <c r="F10" s="78">
        <f t="shared" si="2"/>
        <v>37.772227772227765</v>
      </c>
      <c r="G10" s="75">
        <f t="shared" si="3"/>
        <v>0.95308119545093906</v>
      </c>
      <c r="H10" s="47">
        <f t="shared" si="0"/>
        <v>36.595278113521282</v>
      </c>
    </row>
    <row r="11" spans="1:11" x14ac:dyDescent="0.15">
      <c r="A11" s="42">
        <v>2016</v>
      </c>
      <c r="B11" s="42">
        <v>1</v>
      </c>
      <c r="C11" s="42">
        <v>9</v>
      </c>
      <c r="D11" s="42">
        <f t="shared" si="1"/>
        <v>81</v>
      </c>
      <c r="E11" s="43">
        <v>31</v>
      </c>
      <c r="F11" s="78">
        <f t="shared" si="2"/>
        <v>39.890109890109883</v>
      </c>
      <c r="G11" s="75">
        <f t="shared" si="3"/>
        <v>0.7771349862258955</v>
      </c>
      <c r="H11" s="47">
        <f t="shared" si="0"/>
        <v>33.424038113167413</v>
      </c>
    </row>
    <row r="12" spans="1:11" x14ac:dyDescent="0.15">
      <c r="B12" s="42">
        <v>2</v>
      </c>
      <c r="C12" s="42">
        <v>10</v>
      </c>
      <c r="D12" s="42">
        <f t="shared" si="1"/>
        <v>100</v>
      </c>
      <c r="E12" s="43">
        <v>42</v>
      </c>
      <c r="F12" s="78">
        <f t="shared" si="2"/>
        <v>42.080919080919074</v>
      </c>
      <c r="G12" s="75">
        <f t="shared" si="3"/>
        <v>0.99807706003845897</v>
      </c>
      <c r="H12" s="47">
        <f t="shared" si="0"/>
        <v>38.820412279987281</v>
      </c>
    </row>
    <row r="13" spans="1:11" x14ac:dyDescent="0.15">
      <c r="B13" s="42">
        <v>3</v>
      </c>
      <c r="C13" s="42">
        <v>11</v>
      </c>
      <c r="D13" s="42">
        <f t="shared" si="1"/>
        <v>121</v>
      </c>
      <c r="E13" s="43">
        <v>53</v>
      </c>
      <c r="F13" s="78">
        <f t="shared" si="2"/>
        <v>44.344655344655337</v>
      </c>
      <c r="G13" s="75">
        <f t="shared" si="3"/>
        <v>1.1951834914055286</v>
      </c>
      <c r="H13" s="47">
        <f t="shared" si="0"/>
        <v>56.344716664339472</v>
      </c>
    </row>
    <row r="14" spans="1:11" ht="14" thickBot="1" x14ac:dyDescent="0.2">
      <c r="A14" s="44"/>
      <c r="B14" s="44">
        <v>4</v>
      </c>
      <c r="C14" s="44">
        <v>12</v>
      </c>
      <c r="D14" s="42">
        <f t="shared" si="1"/>
        <v>144</v>
      </c>
      <c r="E14" s="45">
        <v>43</v>
      </c>
      <c r="F14" s="78">
        <f t="shared" si="2"/>
        <v>46.681318681318686</v>
      </c>
      <c r="G14" s="75">
        <f t="shared" si="3"/>
        <v>0.92113935969868166</v>
      </c>
      <c r="H14" s="85">
        <f t="shared" si="0"/>
        <v>45.226769523634566</v>
      </c>
    </row>
    <row r="15" spans="1:11" x14ac:dyDescent="0.15">
      <c r="A15" s="42">
        <v>2017</v>
      </c>
      <c r="B15" s="42">
        <v>1</v>
      </c>
      <c r="C15" s="42">
        <v>13</v>
      </c>
      <c r="D15" s="42">
        <f>C15^2</f>
        <v>169</v>
      </c>
      <c r="E15" s="46" t="s">
        <v>15</v>
      </c>
      <c r="F15" s="78">
        <f t="shared" si="2"/>
        <v>49.090909090909093</v>
      </c>
      <c r="G15" s="46" t="s">
        <v>15</v>
      </c>
      <c r="H15" s="47">
        <f t="shared" si="0"/>
        <v>41.133414297046002</v>
      </c>
    </row>
    <row r="16" spans="1:11" x14ac:dyDescent="0.15">
      <c r="B16" s="42">
        <v>2</v>
      </c>
      <c r="C16" s="42">
        <v>14</v>
      </c>
      <c r="D16" s="42">
        <f t="shared" si="1"/>
        <v>196</v>
      </c>
      <c r="E16" s="46" t="s">
        <v>15</v>
      </c>
      <c r="F16" s="78">
        <f t="shared" si="2"/>
        <v>51.573426573426573</v>
      </c>
      <c r="G16" s="46" t="s">
        <v>15</v>
      </c>
      <c r="H16" s="47">
        <f t="shared" si="0"/>
        <v>47.57742287952766</v>
      </c>
    </row>
    <row r="17" spans="1:8" x14ac:dyDescent="0.15">
      <c r="B17" s="42">
        <v>3</v>
      </c>
      <c r="C17" s="42">
        <v>15</v>
      </c>
      <c r="D17" s="42">
        <f t="shared" si="1"/>
        <v>225</v>
      </c>
      <c r="E17" s="46" t="s">
        <v>15</v>
      </c>
      <c r="F17" s="78">
        <f t="shared" si="2"/>
        <v>54.12887112887114</v>
      </c>
      <c r="G17" s="46" t="s">
        <v>15</v>
      </c>
      <c r="H17" s="47">
        <f t="shared" si="0"/>
        <v>68.776628962668823</v>
      </c>
    </row>
    <row r="18" spans="1:8" x14ac:dyDescent="0.15">
      <c r="B18" s="42">
        <v>4</v>
      </c>
      <c r="C18" s="42">
        <v>16</v>
      </c>
      <c r="D18" s="42">
        <f t="shared" si="1"/>
        <v>256</v>
      </c>
      <c r="E18" s="46" t="s">
        <v>15</v>
      </c>
      <c r="F18" s="78">
        <f t="shared" si="2"/>
        <v>56.757242757242764</v>
      </c>
      <c r="G18" s="46" t="s">
        <v>15</v>
      </c>
      <c r="H18" s="47">
        <f t="shared" si="0"/>
        <v>54.988736597238791</v>
      </c>
    </row>
    <row r="19" spans="1:8" x14ac:dyDescent="0.15">
      <c r="E19" s="47"/>
    </row>
    <row r="20" spans="1:8" x14ac:dyDescent="0.15">
      <c r="E20" s="47"/>
    </row>
    <row r="21" spans="1:8" x14ac:dyDescent="0.15">
      <c r="E21" s="47"/>
    </row>
    <row r="22" spans="1:8" x14ac:dyDescent="0.15">
      <c r="A22" s="48"/>
      <c r="E22" s="49"/>
    </row>
    <row r="23" spans="1:8" x14ac:dyDescent="0.15">
      <c r="A23" s="48"/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5505-E7A3-4AA7-A617-EB56CAFD6766}">
  <dimension ref="A1:K18"/>
  <sheetViews>
    <sheetView workbookViewId="0">
      <selection activeCell="M14" sqref="M14"/>
    </sheetView>
  </sheetViews>
  <sheetFormatPr baseColWidth="10" defaultColWidth="8.83203125" defaultRowHeight="13" x14ac:dyDescent="0.15"/>
  <sheetData>
    <row r="1" spans="1:11" x14ac:dyDescent="0.15">
      <c r="A1" s="1"/>
      <c r="B1" s="1"/>
      <c r="C1" s="1"/>
      <c r="D1" s="12" t="s">
        <v>38</v>
      </c>
      <c r="E1" s="12" t="s">
        <v>27</v>
      </c>
      <c r="G1" s="12" t="s">
        <v>39</v>
      </c>
      <c r="H1" s="53" t="s">
        <v>39</v>
      </c>
    </row>
    <row r="2" spans="1:11" ht="14" thickBot="1" x14ac:dyDescent="0.2">
      <c r="A2" s="2" t="s">
        <v>1</v>
      </c>
      <c r="B2" s="2" t="s">
        <v>40</v>
      </c>
      <c r="C2" s="2" t="s">
        <v>30</v>
      </c>
      <c r="D2" s="2" t="s">
        <v>41</v>
      </c>
      <c r="E2" s="2" t="s">
        <v>24</v>
      </c>
      <c r="F2" s="2" t="s">
        <v>25</v>
      </c>
      <c r="G2" s="2" t="s">
        <v>42</v>
      </c>
      <c r="H2" s="54" t="s">
        <v>36</v>
      </c>
      <c r="I2" s="7"/>
      <c r="J2" s="21" t="s">
        <v>18</v>
      </c>
      <c r="K2" s="39">
        <v>0.222837901753109</v>
      </c>
    </row>
    <row r="3" spans="1:11" x14ac:dyDescent="0.15">
      <c r="A3" s="4">
        <v>2014</v>
      </c>
      <c r="B3" s="4">
        <v>1</v>
      </c>
      <c r="C3" s="4">
        <v>1</v>
      </c>
      <c r="D3" s="55">
        <v>23</v>
      </c>
      <c r="E3" s="56" t="s">
        <v>15</v>
      </c>
      <c r="F3" s="56" t="s">
        <v>15</v>
      </c>
      <c r="G3" s="57">
        <f>D3-AVERAGE($D$3:$D$6)</f>
        <v>-5.75</v>
      </c>
      <c r="H3" s="56" t="s">
        <v>15</v>
      </c>
      <c r="I3" s="7"/>
      <c r="J3" s="21" t="s">
        <v>28</v>
      </c>
      <c r="K3" s="39">
        <v>1</v>
      </c>
    </row>
    <row r="4" spans="1:11" x14ac:dyDescent="0.15">
      <c r="A4" s="4"/>
      <c r="B4" s="4">
        <v>2</v>
      </c>
      <c r="C4" s="4">
        <v>2</v>
      </c>
      <c r="D4" s="55">
        <v>25</v>
      </c>
      <c r="E4" s="56" t="s">
        <v>15</v>
      </c>
      <c r="F4" s="56" t="s">
        <v>15</v>
      </c>
      <c r="G4" s="57">
        <f t="shared" ref="G4:G6" si="0">D4-AVERAGE($D$3:$D$6)</f>
        <v>-3.75</v>
      </c>
      <c r="H4" s="56" t="s">
        <v>15</v>
      </c>
      <c r="I4" s="7"/>
      <c r="J4" s="21" t="s">
        <v>43</v>
      </c>
      <c r="K4" s="39">
        <v>0.67545194620924232</v>
      </c>
    </row>
    <row r="5" spans="1:11" ht="14" thickBot="1" x14ac:dyDescent="0.2">
      <c r="A5" s="4"/>
      <c r="B5" s="4">
        <v>3</v>
      </c>
      <c r="C5" s="4">
        <v>3</v>
      </c>
      <c r="D5" s="55">
        <v>36</v>
      </c>
      <c r="E5" s="56" t="s">
        <v>15</v>
      </c>
      <c r="F5" s="56" t="s">
        <v>15</v>
      </c>
      <c r="G5" s="57">
        <f t="shared" si="0"/>
        <v>7.25</v>
      </c>
      <c r="H5" s="56" t="s">
        <v>15</v>
      </c>
      <c r="I5" s="7"/>
    </row>
    <row r="6" spans="1:11" ht="15" thickTop="1" thickBot="1" x14ac:dyDescent="0.2">
      <c r="A6" s="4"/>
      <c r="B6" s="4">
        <v>4</v>
      </c>
      <c r="C6" s="4">
        <v>4</v>
      </c>
      <c r="D6" s="55">
        <v>31</v>
      </c>
      <c r="E6" s="58">
        <f>D6-G6</f>
        <v>28.75</v>
      </c>
      <c r="F6" s="23">
        <v>0</v>
      </c>
      <c r="G6" s="57">
        <f t="shared" si="0"/>
        <v>2.25</v>
      </c>
      <c r="H6" s="56" t="s">
        <v>15</v>
      </c>
      <c r="J6" s="21" t="s">
        <v>26</v>
      </c>
      <c r="K6" s="36">
        <f>SUMXMY2(D7:D14,H7:H14)/COUNT(H7:H14)</f>
        <v>20.327486175177697</v>
      </c>
    </row>
    <row r="7" spans="1:11" ht="14" thickTop="1" x14ac:dyDescent="0.15">
      <c r="A7" s="4">
        <v>2015</v>
      </c>
      <c r="B7" s="4">
        <v>1</v>
      </c>
      <c r="C7" s="4">
        <v>5</v>
      </c>
      <c r="D7" s="55">
        <v>26</v>
      </c>
      <c r="E7" s="59">
        <f>$K$2*(D7-G3)+(1-$K$2)*(E6+F6)</f>
        <v>29.418513705259326</v>
      </c>
      <c r="F7" s="60">
        <f>$K$3*(E7-E6)+(1-$K$3)*F6</f>
        <v>0.66851370525932552</v>
      </c>
      <c r="G7" s="87">
        <f>$K$4*(D7-E7)+ (1-$K$4)*G3</f>
        <v>-4.1751930446572363</v>
      </c>
      <c r="H7" s="62">
        <f>E6+F6+G3</f>
        <v>23</v>
      </c>
    </row>
    <row r="8" spans="1:11" x14ac:dyDescent="0.15">
      <c r="A8" s="4"/>
      <c r="B8" s="4">
        <v>2</v>
      </c>
      <c r="C8" s="4">
        <v>6</v>
      </c>
      <c r="D8" s="55">
        <v>28</v>
      </c>
      <c r="E8" s="59">
        <f t="shared" ref="E8:E14" si="1">$K$2*(D8-G4)+(1-$K$2)*(E7+F7)</f>
        <v>30.457600733031608</v>
      </c>
      <c r="F8" s="60">
        <f t="shared" ref="F8:F14" si="2">$K$3*(E8-E7)+(1-$K$3)*F7</f>
        <v>1.0390870277722826</v>
      </c>
      <c r="G8" s="87">
        <f t="shared" ref="G8:G14" si="3">$K$4*(D8-E8)+ (1-$K$4)*G4</f>
        <v>-2.8770463998468014</v>
      </c>
      <c r="H8" s="62">
        <f t="shared" ref="H8:H14" si="4">E7+F7+G4</f>
        <v>26.337027410518651</v>
      </c>
    </row>
    <row r="9" spans="1:11" x14ac:dyDescent="0.15">
      <c r="A9" s="1"/>
      <c r="B9" s="1">
        <v>3</v>
      </c>
      <c r="C9" s="1">
        <v>7</v>
      </c>
      <c r="D9" s="55">
        <v>48</v>
      </c>
      <c r="E9" s="59">
        <f t="shared" si="1"/>
        <v>33.558676444452715</v>
      </c>
      <c r="F9" s="60">
        <f t="shared" si="2"/>
        <v>3.1010757114211067</v>
      </c>
      <c r="G9" s="87">
        <f t="shared" si="3"/>
        <v>12.107393491414783</v>
      </c>
      <c r="H9" s="62">
        <f t="shared" si="4"/>
        <v>38.746687760803894</v>
      </c>
    </row>
    <row r="10" spans="1:11" x14ac:dyDescent="0.15">
      <c r="A10" s="1"/>
      <c r="B10" s="1">
        <v>4</v>
      </c>
      <c r="C10" s="1">
        <v>8</v>
      </c>
      <c r="D10" s="55">
        <v>36</v>
      </c>
      <c r="E10" s="59">
        <f t="shared" si="1"/>
        <v>36.011349090837314</v>
      </c>
      <c r="F10" s="60">
        <f t="shared" si="2"/>
        <v>2.4526726463845989</v>
      </c>
      <c r="G10" s="87">
        <f t="shared" si="3"/>
        <v>0.72256735553543572</v>
      </c>
      <c r="H10" s="62">
        <f t="shared" si="4"/>
        <v>38.909752155873818</v>
      </c>
      <c r="I10" s="50"/>
      <c r="J10" s="20"/>
    </row>
    <row r="11" spans="1:11" x14ac:dyDescent="0.15">
      <c r="A11" s="4">
        <v>2016</v>
      </c>
      <c r="B11" s="1">
        <v>1</v>
      </c>
      <c r="C11" s="1">
        <v>9</v>
      </c>
      <c r="D11" s="55">
        <v>31</v>
      </c>
      <c r="E11" s="59">
        <f t="shared" si="1"/>
        <v>37.731146052145377</v>
      </c>
      <c r="F11" s="60">
        <f t="shared" si="2"/>
        <v>1.719796961308063</v>
      </c>
      <c r="G11" s="87">
        <f t="shared" si="3"/>
        <v>-5.9016164779844669</v>
      </c>
      <c r="H11" s="62">
        <f t="shared" si="4"/>
        <v>34.288828692564678</v>
      </c>
      <c r="I11" s="1"/>
      <c r="J11" s="51"/>
    </row>
    <row r="12" spans="1:11" x14ac:dyDescent="0.15">
      <c r="A12" s="1"/>
      <c r="B12" s="1">
        <v>2</v>
      </c>
      <c r="C12" s="1">
        <v>10</v>
      </c>
      <c r="D12" s="55">
        <v>42</v>
      </c>
      <c r="E12" s="59">
        <f t="shared" si="1"/>
        <v>40.660084506772776</v>
      </c>
      <c r="F12" s="60">
        <f t="shared" si="2"/>
        <v>2.9289384546273993</v>
      </c>
      <c r="G12" s="87">
        <f t="shared" si="3"/>
        <v>-2.8691282079740255E-2</v>
      </c>
      <c r="H12" s="62">
        <f t="shared" si="4"/>
        <v>36.573896613606635</v>
      </c>
      <c r="I12" s="1"/>
      <c r="J12" s="51"/>
    </row>
    <row r="13" spans="1:11" x14ac:dyDescent="0.15">
      <c r="A13" s="1"/>
      <c r="B13" s="1">
        <v>3</v>
      </c>
      <c r="C13" s="1">
        <v>11</v>
      </c>
      <c r="D13" s="55">
        <v>53</v>
      </c>
      <c r="E13" s="59">
        <f t="shared" si="1"/>
        <v>42.988159176802327</v>
      </c>
      <c r="F13" s="60">
        <f t="shared" si="2"/>
        <v>2.3280746700295509</v>
      </c>
      <c r="G13" s="87">
        <f t="shared" si="3"/>
        <v>10.691948363283565</v>
      </c>
      <c r="H13" s="62">
        <f t="shared" si="4"/>
        <v>55.696416452814958</v>
      </c>
      <c r="I13" s="1"/>
      <c r="J13" s="51"/>
    </row>
    <row r="14" spans="1:11" ht="14" thickBot="1" x14ac:dyDescent="0.2">
      <c r="A14" s="34"/>
      <c r="B14" s="34">
        <v>4</v>
      </c>
      <c r="C14" s="34">
        <v>12</v>
      </c>
      <c r="D14" s="63">
        <v>43</v>
      </c>
      <c r="E14" s="59">
        <f t="shared" si="1"/>
        <v>44.63907376305152</v>
      </c>
      <c r="F14" s="60">
        <f t="shared" si="2"/>
        <v>1.6509145862491934</v>
      </c>
      <c r="G14" s="87">
        <f t="shared" si="3"/>
        <v>-0.87260773426189586</v>
      </c>
      <c r="H14" s="88">
        <f t="shared" si="4"/>
        <v>46.038801202367317</v>
      </c>
      <c r="I14" s="1"/>
      <c r="J14" s="51"/>
    </row>
    <row r="15" spans="1:11" x14ac:dyDescent="0.15">
      <c r="A15" s="4">
        <v>2017</v>
      </c>
      <c r="B15" s="1">
        <v>1</v>
      </c>
      <c r="C15" s="64">
        <v>13</v>
      </c>
      <c r="D15" s="56" t="s">
        <v>15</v>
      </c>
      <c r="E15" s="56" t="s">
        <v>15</v>
      </c>
      <c r="F15" s="56" t="s">
        <v>15</v>
      </c>
      <c r="G15" s="56" t="s">
        <v>15</v>
      </c>
      <c r="H15" s="62">
        <f>$E$14+(B15*$F$14)+G11</f>
        <v>40.388371871316245</v>
      </c>
    </row>
    <row r="16" spans="1:11" x14ac:dyDescent="0.15">
      <c r="A16" s="1"/>
      <c r="B16" s="1">
        <v>2</v>
      </c>
      <c r="C16" s="1">
        <v>14</v>
      </c>
      <c r="D16" s="56" t="s">
        <v>15</v>
      </c>
      <c r="E16" s="56" t="s">
        <v>15</v>
      </c>
      <c r="F16" s="56" t="s">
        <v>15</v>
      </c>
      <c r="G16" s="56" t="s">
        <v>15</v>
      </c>
      <c r="H16" s="62">
        <f t="shared" ref="H16:H18" si="5">$E$14+(B16*$F$14)+G12</f>
        <v>47.912211653470166</v>
      </c>
    </row>
    <row r="17" spans="1:8" x14ac:dyDescent="0.15">
      <c r="A17" s="1"/>
      <c r="B17" s="1">
        <v>3</v>
      </c>
      <c r="C17" s="1">
        <v>15</v>
      </c>
      <c r="D17" s="56" t="s">
        <v>15</v>
      </c>
      <c r="E17" s="56" t="s">
        <v>15</v>
      </c>
      <c r="F17" s="56" t="s">
        <v>15</v>
      </c>
      <c r="G17" s="56" t="s">
        <v>15</v>
      </c>
      <c r="H17" s="62">
        <f t="shared" si="5"/>
        <v>60.283765885082666</v>
      </c>
    </row>
    <row r="18" spans="1:8" x14ac:dyDescent="0.15">
      <c r="A18" s="1"/>
      <c r="B18" s="1">
        <v>4</v>
      </c>
      <c r="C18" s="1">
        <v>16</v>
      </c>
      <c r="D18" s="56" t="s">
        <v>15</v>
      </c>
      <c r="E18" s="56" t="s">
        <v>15</v>
      </c>
      <c r="F18" s="56" t="s">
        <v>15</v>
      </c>
      <c r="G18" s="56" t="s">
        <v>15</v>
      </c>
      <c r="H18" s="62">
        <f t="shared" si="5"/>
        <v>50.370124373786396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802E-9233-4061-B543-8A4624C23865}">
  <dimension ref="A1:K19"/>
  <sheetViews>
    <sheetView zoomScale="114" workbookViewId="0">
      <selection activeCell="U16" sqref="U16"/>
    </sheetView>
  </sheetViews>
  <sheetFormatPr baseColWidth="10" defaultColWidth="8.83203125" defaultRowHeight="13" x14ac:dyDescent="0.15"/>
  <sheetData>
    <row r="1" spans="1:11" x14ac:dyDescent="0.15">
      <c r="A1" s="1"/>
      <c r="B1" s="1"/>
      <c r="C1" s="1"/>
      <c r="D1" s="12" t="s">
        <v>38</v>
      </c>
      <c r="E1" s="12" t="s">
        <v>27</v>
      </c>
      <c r="G1" s="12" t="s">
        <v>39</v>
      </c>
      <c r="H1" s="53" t="s">
        <v>39</v>
      </c>
    </row>
    <row r="2" spans="1:11" ht="14" thickBot="1" x14ac:dyDescent="0.2">
      <c r="A2" s="2" t="s">
        <v>1</v>
      </c>
      <c r="B2" s="2" t="s">
        <v>40</v>
      </c>
      <c r="C2" s="2" t="s">
        <v>30</v>
      </c>
      <c r="D2" s="2" t="s">
        <v>41</v>
      </c>
      <c r="E2" s="2" t="s">
        <v>24</v>
      </c>
      <c r="F2" s="2" t="s">
        <v>25</v>
      </c>
      <c r="G2" s="2" t="s">
        <v>42</v>
      </c>
      <c r="H2" s="54" t="s">
        <v>36</v>
      </c>
      <c r="I2" s="7"/>
    </row>
    <row r="3" spans="1:11" x14ac:dyDescent="0.15">
      <c r="A3" s="4">
        <v>2014</v>
      </c>
      <c r="B3" s="4">
        <v>1</v>
      </c>
      <c r="C3" s="4">
        <v>1</v>
      </c>
      <c r="D3" s="55">
        <v>23</v>
      </c>
      <c r="E3" s="71"/>
      <c r="F3" s="71"/>
      <c r="G3" s="72">
        <f>D3/(AVERAGE($D$3:$D$6))</f>
        <v>0.8</v>
      </c>
      <c r="H3" s="56"/>
      <c r="I3" s="7"/>
      <c r="J3" s="21" t="s">
        <v>18</v>
      </c>
      <c r="K3" s="39">
        <v>0.32989133195469761</v>
      </c>
    </row>
    <row r="4" spans="1:11" x14ac:dyDescent="0.15">
      <c r="A4" s="4"/>
      <c r="B4" s="4">
        <v>2</v>
      </c>
      <c r="C4" s="4">
        <v>2</v>
      </c>
      <c r="D4" s="55">
        <v>25</v>
      </c>
      <c r="E4" s="71"/>
      <c r="F4" s="71"/>
      <c r="G4" s="72">
        <f t="shared" ref="G4:G6" si="0">D4/(AVERAGE($D$3:$D$6))</f>
        <v>0.86956521739130432</v>
      </c>
      <c r="H4" s="56"/>
      <c r="I4" s="7"/>
      <c r="J4" s="21" t="s">
        <v>28</v>
      </c>
      <c r="K4" s="39">
        <v>0.2798886172433</v>
      </c>
    </row>
    <row r="5" spans="1:11" x14ac:dyDescent="0.15">
      <c r="A5" s="4"/>
      <c r="B5" s="4">
        <v>3</v>
      </c>
      <c r="C5" s="4">
        <v>3</v>
      </c>
      <c r="D5" s="55">
        <v>36</v>
      </c>
      <c r="E5" s="71"/>
      <c r="F5" s="71"/>
      <c r="G5" s="72">
        <f t="shared" si="0"/>
        <v>1.2521739130434784</v>
      </c>
      <c r="H5" s="56"/>
      <c r="I5" s="7"/>
      <c r="J5" s="21" t="s">
        <v>43</v>
      </c>
      <c r="K5" s="39">
        <v>0.53270035147319272</v>
      </c>
    </row>
    <row r="6" spans="1:11" ht="14" thickBot="1" x14ac:dyDescent="0.2">
      <c r="A6" s="4"/>
      <c r="B6" s="4">
        <v>4</v>
      </c>
      <c r="C6" s="4">
        <v>4</v>
      </c>
      <c r="D6" s="55">
        <v>31</v>
      </c>
      <c r="E6" s="73">
        <f>D6/G6</f>
        <v>28.75</v>
      </c>
      <c r="F6" s="74">
        <v>0</v>
      </c>
      <c r="G6" s="72">
        <f t="shared" si="0"/>
        <v>1.0782608695652174</v>
      </c>
      <c r="H6" s="56"/>
    </row>
    <row r="7" spans="1:11" ht="15" thickTop="1" thickBot="1" x14ac:dyDescent="0.2">
      <c r="A7" s="4">
        <v>2015</v>
      </c>
      <c r="B7" s="4">
        <v>1</v>
      </c>
      <c r="C7" s="4">
        <v>5</v>
      </c>
      <c r="D7" s="55">
        <v>26</v>
      </c>
      <c r="E7" s="59">
        <f>$K$3*(D7/G3)+(1-$K$3)*(E6+F6)</f>
        <v>29.987092494830115</v>
      </c>
      <c r="F7" s="60">
        <f>$K$4*(E7-E6)+(1-$K$4)*F6</f>
        <v>0.34624810778006521</v>
      </c>
      <c r="G7" s="61">
        <f>$K$5*(D7/E7)+ (1-$K$5)*G3</f>
        <v>0.83571207742676368</v>
      </c>
      <c r="H7" s="89">
        <f>(E6+F6)*G3</f>
        <v>23</v>
      </c>
      <c r="J7" s="21" t="s">
        <v>26</v>
      </c>
      <c r="K7" s="36">
        <f>SUMXMY2(D6:D14,H6:H14)/COUNT(H6:H14)</f>
        <v>24.79184289658205</v>
      </c>
    </row>
    <row r="8" spans="1:11" ht="14" thickTop="1" x14ac:dyDescent="0.15">
      <c r="A8" s="4"/>
      <c r="B8" s="4">
        <v>2</v>
      </c>
      <c r="C8" s="4">
        <v>6</v>
      </c>
      <c r="D8" s="55">
        <v>28</v>
      </c>
      <c r="E8" s="59">
        <f t="shared" ref="E8:E14" si="1">$K$3*(D8/G4)+(1-$K$3)*(E7+F7)</f>
        <v>30.949135357520863</v>
      </c>
      <c r="F8" s="60">
        <f t="shared" ref="F8:F14" si="2">$K$4*(E8-E7)+(1-$K$4)*F7</f>
        <v>0.5186020502376929</v>
      </c>
      <c r="G8" s="61">
        <f t="shared" ref="G8:G14" si="3">$K$5*(D8/E8)+ (1-$K$5)*G4</f>
        <v>0.8882869888453675</v>
      </c>
      <c r="H8" s="89">
        <f t="shared" ref="H8:H14" si="4">(E7+F7)*G4</f>
        <v>26.3768179153132</v>
      </c>
    </row>
    <row r="9" spans="1:11" x14ac:dyDescent="0.15">
      <c r="A9" s="1"/>
      <c r="B9" s="1">
        <v>3</v>
      </c>
      <c r="C9" s="1">
        <v>7</v>
      </c>
      <c r="D9" s="55">
        <v>48</v>
      </c>
      <c r="E9" s="59">
        <f t="shared" si="1"/>
        <v>33.732637992309165</v>
      </c>
      <c r="F9" s="60">
        <f t="shared" si="2"/>
        <v>1.1525219430411049</v>
      </c>
      <c r="G9" s="61">
        <f t="shared" si="3"/>
        <v>1.343148649170872</v>
      </c>
      <c r="H9" s="89">
        <f t="shared" si="4"/>
        <v>39.403079884497672</v>
      </c>
    </row>
    <row r="10" spans="1:11" x14ac:dyDescent="0.15">
      <c r="A10" s="1"/>
      <c r="B10" s="1">
        <v>4</v>
      </c>
      <c r="C10" s="1">
        <v>8</v>
      </c>
      <c r="D10" s="55">
        <v>36</v>
      </c>
      <c r="E10" s="59">
        <f t="shared" si="1"/>
        <v>34.390961883764014</v>
      </c>
      <c r="F10" s="60">
        <f t="shared" si="2"/>
        <v>1.0142015337382946</v>
      </c>
      <c r="G10" s="61">
        <f t="shared" si="3"/>
        <v>1.0614945451391509</v>
      </c>
      <c r="H10" s="89">
        <f t="shared" si="4"/>
        <v>37.615302886812465</v>
      </c>
      <c r="I10" s="50"/>
      <c r="J10" s="20"/>
    </row>
    <row r="11" spans="1:11" x14ac:dyDescent="0.15">
      <c r="A11" s="4">
        <v>2016</v>
      </c>
      <c r="B11" s="1">
        <v>1</v>
      </c>
      <c r="C11" s="1">
        <v>9</v>
      </c>
      <c r="D11" s="55">
        <v>31</v>
      </c>
      <c r="E11" s="59">
        <f t="shared" si="1"/>
        <v>35.962333941387413</v>
      </c>
      <c r="F11" s="60">
        <f t="shared" si="2"/>
        <v>1.1701472212372217</v>
      </c>
      <c r="G11" s="61">
        <f t="shared" si="3"/>
        <v>0.84972259748994938</v>
      </c>
      <c r="H11" s="89">
        <f t="shared" si="4"/>
        <v>29.588522671274909</v>
      </c>
      <c r="I11" s="1"/>
      <c r="J11" s="51"/>
    </row>
    <row r="12" spans="1:11" x14ac:dyDescent="0.15">
      <c r="A12" s="1"/>
      <c r="B12" s="1">
        <v>2</v>
      </c>
      <c r="C12" s="1">
        <v>10</v>
      </c>
      <c r="D12" s="55">
        <v>42</v>
      </c>
      <c r="E12" s="59">
        <f t="shared" si="1"/>
        <v>40.480724870276191</v>
      </c>
      <c r="F12" s="60">
        <f t="shared" si="2"/>
        <v>2.107282522765396</v>
      </c>
      <c r="G12" s="61">
        <f t="shared" si="3"/>
        <v>0.9677892345143404</v>
      </c>
      <c r="H12" s="89">
        <f t="shared" si="4"/>
        <v>32.984299880305166</v>
      </c>
      <c r="I12" s="1"/>
      <c r="J12" s="51"/>
    </row>
    <row r="13" spans="1:11" x14ac:dyDescent="0.15">
      <c r="A13" s="1"/>
      <c r="B13" s="1">
        <v>3</v>
      </c>
      <c r="C13" s="1">
        <v>11</v>
      </c>
      <c r="D13" s="55">
        <v>53</v>
      </c>
      <c r="E13" s="59">
        <f t="shared" si="1"/>
        <v>41.555946278038277</v>
      </c>
      <c r="F13" s="60">
        <f t="shared" si="2"/>
        <v>1.8184203643765415</v>
      </c>
      <c r="G13" s="61">
        <f t="shared" si="3"/>
        <v>1.3070531016775573</v>
      </c>
      <c r="H13" s="89">
        <f t="shared" si="4"/>
        <v>57.202024600842911</v>
      </c>
      <c r="I13" s="1"/>
      <c r="J13" s="51"/>
    </row>
    <row r="14" spans="1:11" ht="14" thickBot="1" x14ac:dyDescent="0.2">
      <c r="A14" s="34"/>
      <c r="B14" s="34">
        <v>4</v>
      </c>
      <c r="C14" s="34">
        <v>12</v>
      </c>
      <c r="D14" s="63">
        <v>43</v>
      </c>
      <c r="E14" s="59">
        <f t="shared" si="1"/>
        <v>42.429081375829952</v>
      </c>
      <c r="F14" s="60">
        <f t="shared" si="2"/>
        <v>1.5538457782116391</v>
      </c>
      <c r="G14" s="61">
        <f t="shared" si="3"/>
        <v>1.0359043061832192</v>
      </c>
      <c r="H14" s="90">
        <f t="shared" si="4"/>
        <v>46.041653589788879</v>
      </c>
      <c r="I14" s="1"/>
      <c r="J14" s="51"/>
    </row>
    <row r="15" spans="1:11" x14ac:dyDescent="0.15">
      <c r="A15" s="4">
        <v>2017</v>
      </c>
      <c r="B15" s="1">
        <v>1</v>
      </c>
      <c r="C15" s="64">
        <v>13</v>
      </c>
      <c r="D15" s="56" t="s">
        <v>15</v>
      </c>
      <c r="E15" s="56"/>
      <c r="F15" s="56"/>
      <c r="G15" s="56"/>
      <c r="H15" s="89">
        <f>$E$14+(B15*$F$14)*G11</f>
        <v>43.74941924659074</v>
      </c>
    </row>
    <row r="16" spans="1:11" x14ac:dyDescent="0.15">
      <c r="A16" s="1"/>
      <c r="B16" s="1">
        <v>2</v>
      </c>
      <c r="C16" s="1">
        <v>14</v>
      </c>
      <c r="D16" s="56" t="s">
        <v>15</v>
      </c>
      <c r="E16" s="56"/>
      <c r="F16" s="56"/>
      <c r="G16" s="56"/>
      <c r="H16" s="89">
        <f t="shared" ref="H16:H18" si="5">$E$14+(B16*$F$14)*G12</f>
        <v>45.436671808327517</v>
      </c>
    </row>
    <row r="17" spans="1:8" x14ac:dyDescent="0.15">
      <c r="A17" s="1"/>
      <c r="B17" s="1">
        <v>3</v>
      </c>
      <c r="C17" s="1">
        <v>15</v>
      </c>
      <c r="D17" s="56" t="s">
        <v>15</v>
      </c>
      <c r="E17" s="56"/>
      <c r="F17" s="56"/>
      <c r="G17" s="56"/>
      <c r="H17" s="89">
        <f t="shared" si="5"/>
        <v>48.521958207650258</v>
      </c>
    </row>
    <row r="18" spans="1:8" x14ac:dyDescent="0.15">
      <c r="A18" s="1"/>
      <c r="B18" s="1">
        <v>4</v>
      </c>
      <c r="C18" s="1">
        <v>16</v>
      </c>
      <c r="D18" s="56" t="s">
        <v>15</v>
      </c>
      <c r="E18" s="56"/>
      <c r="F18" s="56"/>
      <c r="G18" s="56"/>
      <c r="H18" s="89">
        <f t="shared" si="5"/>
        <v>48.867623507006158</v>
      </c>
    </row>
    <row r="19" spans="1:8" x14ac:dyDescent="0.15">
      <c r="H19" s="6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11A3-8FDF-49BC-96B8-F81FF0B30BD8}">
  <dimension ref="A1:H18"/>
  <sheetViews>
    <sheetView tabSelected="1" workbookViewId="0">
      <selection activeCell="H43" sqref="H43"/>
    </sheetView>
  </sheetViews>
  <sheetFormatPr baseColWidth="10" defaultColWidth="8.83203125" defaultRowHeight="13" x14ac:dyDescent="0.15"/>
  <sheetData>
    <row r="1" spans="1:8" x14ac:dyDescent="0.15">
      <c r="A1" s="12"/>
      <c r="B1" s="12"/>
      <c r="C1" s="12" t="s">
        <v>30</v>
      </c>
      <c r="D1" s="20" t="s">
        <v>44</v>
      </c>
      <c r="E1" s="20"/>
      <c r="F1" s="20"/>
      <c r="G1" s="12" t="s">
        <v>38</v>
      </c>
      <c r="H1" s="4"/>
    </row>
    <row r="2" spans="1:8" ht="14" thickBot="1" x14ac:dyDescent="0.2">
      <c r="A2" s="2" t="s">
        <v>1</v>
      </c>
      <c r="B2" s="2" t="s">
        <v>40</v>
      </c>
      <c r="C2" s="2" t="s">
        <v>45</v>
      </c>
      <c r="D2" s="2">
        <v>1</v>
      </c>
      <c r="E2" s="2">
        <v>2</v>
      </c>
      <c r="F2" s="2">
        <v>3</v>
      </c>
      <c r="G2" s="2" t="s">
        <v>41</v>
      </c>
      <c r="H2" s="2" t="s">
        <v>46</v>
      </c>
    </row>
    <row r="3" spans="1:8" x14ac:dyDescent="0.15">
      <c r="A3" s="4">
        <v>2014</v>
      </c>
      <c r="B3" s="4">
        <v>1</v>
      </c>
      <c r="C3" s="4">
        <v>1</v>
      </c>
      <c r="D3" s="4">
        <f>IF($B3=D$2,1,0)</f>
        <v>1</v>
      </c>
      <c r="E3" s="4">
        <f t="shared" ref="E3:F3" si="0">IF($B3=E$2,1,0)</f>
        <v>0</v>
      </c>
      <c r="F3" s="4">
        <f t="shared" si="0"/>
        <v>0</v>
      </c>
      <c r="G3" s="55">
        <v>23</v>
      </c>
      <c r="H3" s="65">
        <f>TREND($G$3:$G$14,$C$3:$F$14,C3:F3)</f>
        <v>19.916666666666668</v>
      </c>
    </row>
    <row r="4" spans="1:8" x14ac:dyDescent="0.15">
      <c r="A4" s="4"/>
      <c r="B4" s="4">
        <v>2</v>
      </c>
      <c r="C4" s="4">
        <f t="shared" ref="C4:C14" si="1">C3+1</f>
        <v>2</v>
      </c>
      <c r="D4" s="4">
        <f t="shared" ref="D4:F18" si="2">IF($B4=D$2,1,0)</f>
        <v>0</v>
      </c>
      <c r="E4" s="4">
        <f t="shared" si="2"/>
        <v>1</v>
      </c>
      <c r="F4" s="4">
        <f t="shared" si="2"/>
        <v>0</v>
      </c>
      <c r="G4" s="55">
        <v>25</v>
      </c>
      <c r="H4" s="65">
        <f t="shared" ref="H4:H18" si="3">TREND($G$3:$G$14,$C$3:$F$14,C4:F4)</f>
        <v>24.916666666666668</v>
      </c>
    </row>
    <row r="5" spans="1:8" x14ac:dyDescent="0.15">
      <c r="A5" s="4"/>
      <c r="B5" s="4">
        <v>3</v>
      </c>
      <c r="C5" s="4">
        <f t="shared" si="1"/>
        <v>3</v>
      </c>
      <c r="D5" s="4">
        <f t="shared" si="2"/>
        <v>0</v>
      </c>
      <c r="E5" s="4">
        <f t="shared" si="2"/>
        <v>0</v>
      </c>
      <c r="F5" s="4">
        <f t="shared" si="2"/>
        <v>1</v>
      </c>
      <c r="G5" s="55">
        <v>36</v>
      </c>
      <c r="H5" s="65">
        <f t="shared" si="3"/>
        <v>38.916666666666664</v>
      </c>
    </row>
    <row r="6" spans="1:8" x14ac:dyDescent="0.15">
      <c r="A6" s="4"/>
      <c r="B6" s="4">
        <v>4</v>
      </c>
      <c r="C6" s="4">
        <f t="shared" si="1"/>
        <v>4</v>
      </c>
      <c r="D6" s="4">
        <f t="shared" si="2"/>
        <v>0</v>
      </c>
      <c r="E6" s="4">
        <f t="shared" si="2"/>
        <v>0</v>
      </c>
      <c r="F6" s="4">
        <f t="shared" si="2"/>
        <v>0</v>
      </c>
      <c r="G6" s="55">
        <v>31</v>
      </c>
      <c r="H6" s="65">
        <f t="shared" si="3"/>
        <v>29.916666666666664</v>
      </c>
    </row>
    <row r="7" spans="1:8" x14ac:dyDescent="0.15">
      <c r="A7" s="4">
        <v>2015</v>
      </c>
      <c r="B7" s="4">
        <v>1</v>
      </c>
      <c r="C7" s="4">
        <f t="shared" si="1"/>
        <v>5</v>
      </c>
      <c r="D7" s="4">
        <f t="shared" si="2"/>
        <v>1</v>
      </c>
      <c r="E7" s="4">
        <f t="shared" si="2"/>
        <v>0</v>
      </c>
      <c r="F7" s="4">
        <f t="shared" si="2"/>
        <v>0</v>
      </c>
      <c r="G7" s="55">
        <v>26</v>
      </c>
      <c r="H7" s="65">
        <f t="shared" si="3"/>
        <v>26.666666666666664</v>
      </c>
    </row>
    <row r="8" spans="1:8" x14ac:dyDescent="0.15">
      <c r="A8" s="4"/>
      <c r="B8" s="4">
        <v>2</v>
      </c>
      <c r="C8" s="4">
        <f t="shared" si="1"/>
        <v>6</v>
      </c>
      <c r="D8" s="4">
        <f t="shared" si="2"/>
        <v>0</v>
      </c>
      <c r="E8" s="4">
        <f t="shared" si="2"/>
        <v>1</v>
      </c>
      <c r="F8" s="4">
        <f t="shared" si="2"/>
        <v>0</v>
      </c>
      <c r="G8" s="55">
        <v>28</v>
      </c>
      <c r="H8" s="65">
        <f t="shared" si="3"/>
        <v>31.666666666666664</v>
      </c>
    </row>
    <row r="9" spans="1:8" x14ac:dyDescent="0.15">
      <c r="A9" s="4"/>
      <c r="B9" s="4">
        <v>3</v>
      </c>
      <c r="C9" s="4">
        <f t="shared" si="1"/>
        <v>7</v>
      </c>
      <c r="D9" s="4">
        <f t="shared" si="2"/>
        <v>0</v>
      </c>
      <c r="E9" s="4">
        <f t="shared" si="2"/>
        <v>0</v>
      </c>
      <c r="F9" s="4">
        <f t="shared" si="2"/>
        <v>1</v>
      </c>
      <c r="G9" s="55">
        <v>48</v>
      </c>
      <c r="H9" s="65">
        <f t="shared" si="3"/>
        <v>45.666666666666664</v>
      </c>
    </row>
    <row r="10" spans="1:8" x14ac:dyDescent="0.15">
      <c r="A10" s="4"/>
      <c r="B10" s="4">
        <v>4</v>
      </c>
      <c r="C10" s="4">
        <f t="shared" si="1"/>
        <v>8</v>
      </c>
      <c r="D10" s="4">
        <f t="shared" si="2"/>
        <v>0</v>
      </c>
      <c r="E10" s="4">
        <f t="shared" si="2"/>
        <v>0</v>
      </c>
      <c r="F10" s="4">
        <f t="shared" si="2"/>
        <v>0</v>
      </c>
      <c r="G10" s="55">
        <v>36</v>
      </c>
      <c r="H10" s="65">
        <f t="shared" si="3"/>
        <v>36.666666666666664</v>
      </c>
    </row>
    <row r="11" spans="1:8" x14ac:dyDescent="0.15">
      <c r="A11" s="4">
        <v>2016</v>
      </c>
      <c r="B11" s="4">
        <v>1</v>
      </c>
      <c r="C11" s="4">
        <f t="shared" si="1"/>
        <v>9</v>
      </c>
      <c r="D11" s="4">
        <f t="shared" si="2"/>
        <v>1</v>
      </c>
      <c r="E11" s="4">
        <f t="shared" si="2"/>
        <v>0</v>
      </c>
      <c r="F11" s="4">
        <f t="shared" si="2"/>
        <v>0</v>
      </c>
      <c r="G11" s="55">
        <v>31</v>
      </c>
      <c r="H11" s="65">
        <f t="shared" si="3"/>
        <v>33.416666666666664</v>
      </c>
    </row>
    <row r="12" spans="1:8" x14ac:dyDescent="0.15">
      <c r="A12" s="4"/>
      <c r="B12" s="4">
        <v>2</v>
      </c>
      <c r="C12" s="4">
        <f t="shared" si="1"/>
        <v>10</v>
      </c>
      <c r="D12" s="4">
        <f t="shared" si="2"/>
        <v>0</v>
      </c>
      <c r="E12" s="4">
        <f t="shared" si="2"/>
        <v>1</v>
      </c>
      <c r="F12" s="4">
        <f t="shared" si="2"/>
        <v>0</v>
      </c>
      <c r="G12" s="55">
        <v>42</v>
      </c>
      <c r="H12" s="65">
        <f t="shared" si="3"/>
        <v>38.416666666666664</v>
      </c>
    </row>
    <row r="13" spans="1:8" x14ac:dyDescent="0.15">
      <c r="A13" s="4"/>
      <c r="B13" s="4">
        <v>3</v>
      </c>
      <c r="C13" s="4">
        <f t="shared" si="1"/>
        <v>11</v>
      </c>
      <c r="D13" s="4">
        <f t="shared" si="2"/>
        <v>0</v>
      </c>
      <c r="E13" s="4">
        <f t="shared" si="2"/>
        <v>0</v>
      </c>
      <c r="F13" s="4">
        <f t="shared" si="2"/>
        <v>1</v>
      </c>
      <c r="G13" s="55">
        <v>53</v>
      </c>
      <c r="H13" s="65">
        <f t="shared" si="3"/>
        <v>52.416666666666657</v>
      </c>
    </row>
    <row r="14" spans="1:8" ht="14" thickBot="1" x14ac:dyDescent="0.2">
      <c r="A14" s="9"/>
      <c r="B14" s="9">
        <v>4</v>
      </c>
      <c r="C14" s="9">
        <f t="shared" si="1"/>
        <v>12</v>
      </c>
      <c r="D14" s="4">
        <f t="shared" si="2"/>
        <v>0</v>
      </c>
      <c r="E14" s="4">
        <f t="shared" si="2"/>
        <v>0</v>
      </c>
      <c r="F14" s="4">
        <f t="shared" si="2"/>
        <v>0</v>
      </c>
      <c r="G14" s="63">
        <v>43</v>
      </c>
      <c r="H14" s="86">
        <f t="shared" si="3"/>
        <v>43.416666666666657</v>
      </c>
    </row>
    <row r="15" spans="1:8" x14ac:dyDescent="0.15">
      <c r="A15" s="4">
        <v>2017</v>
      </c>
      <c r="B15" s="4">
        <v>1</v>
      </c>
      <c r="C15" s="4">
        <v>13</v>
      </c>
      <c r="D15" s="4">
        <f>IF($B15=D$2,1,0)</f>
        <v>1</v>
      </c>
      <c r="E15" s="4">
        <f t="shared" si="2"/>
        <v>0</v>
      </c>
      <c r="F15" s="4">
        <f t="shared" si="2"/>
        <v>0</v>
      </c>
      <c r="G15" s="66" t="s">
        <v>15</v>
      </c>
      <c r="H15" s="65">
        <f t="shared" si="3"/>
        <v>40.166666666666664</v>
      </c>
    </row>
    <row r="16" spans="1:8" x14ac:dyDescent="0.15">
      <c r="A16" s="7"/>
      <c r="B16" s="4">
        <v>2</v>
      </c>
      <c r="C16" s="4">
        <v>14</v>
      </c>
      <c r="D16" s="4">
        <f t="shared" si="2"/>
        <v>0</v>
      </c>
      <c r="E16" s="4">
        <f t="shared" si="2"/>
        <v>1</v>
      </c>
      <c r="F16" s="4">
        <f t="shared" si="2"/>
        <v>0</v>
      </c>
      <c r="G16" s="66" t="s">
        <v>15</v>
      </c>
      <c r="H16" s="65">
        <f t="shared" si="3"/>
        <v>45.166666666666664</v>
      </c>
    </row>
    <row r="17" spans="1:8" x14ac:dyDescent="0.15">
      <c r="A17" s="7"/>
      <c r="B17" s="4">
        <v>3</v>
      </c>
      <c r="C17" s="4">
        <v>15</v>
      </c>
      <c r="D17" s="4">
        <f t="shared" si="2"/>
        <v>0</v>
      </c>
      <c r="E17" s="4">
        <f t="shared" si="2"/>
        <v>0</v>
      </c>
      <c r="F17" s="4">
        <f t="shared" si="2"/>
        <v>1</v>
      </c>
      <c r="G17" s="66" t="s">
        <v>15</v>
      </c>
      <c r="H17" s="65">
        <f t="shared" si="3"/>
        <v>59.166666666666664</v>
      </c>
    </row>
    <row r="18" spans="1:8" x14ac:dyDescent="0.15">
      <c r="A18" s="7"/>
      <c r="B18" s="4">
        <v>4</v>
      </c>
      <c r="C18" s="4">
        <v>16</v>
      </c>
      <c r="D18" s="4">
        <f t="shared" si="2"/>
        <v>0</v>
      </c>
      <c r="E18" s="4">
        <f t="shared" si="2"/>
        <v>0</v>
      </c>
      <c r="F18" s="4">
        <f t="shared" si="2"/>
        <v>0</v>
      </c>
      <c r="G18" s="66" t="s">
        <v>15</v>
      </c>
      <c r="H18" s="65">
        <f t="shared" si="3"/>
        <v>50.166666666666657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51a18ccd-3fe6-4488-a67d-551f36a12f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E6F2CA674454EAFA0B7635D79F6FD" ma:contentTypeVersion="20" ma:contentTypeDescription="Create a new document." ma:contentTypeScope="" ma:versionID="b23462efc85ba28225a15a3f0397c800">
  <xsd:schema xmlns:xsd="http://www.w3.org/2001/XMLSchema" xmlns:xs="http://www.w3.org/2001/XMLSchema" xmlns:p="http://schemas.microsoft.com/office/2006/metadata/properties" xmlns:ns1="http://schemas.microsoft.com/sharepoint/v3" xmlns:ns3="51a18ccd-3fe6-4488-a67d-551f36a12f22" xmlns:ns4="32f346d3-90e6-434f-8fc9-1fd9c3fd4e30" targetNamespace="http://schemas.microsoft.com/office/2006/metadata/properties" ma:root="true" ma:fieldsID="59b0049c06b4b45339d220d58432011a" ns1:_="" ns3:_="" ns4:_="">
    <xsd:import namespace="http://schemas.microsoft.com/sharepoint/v3"/>
    <xsd:import namespace="51a18ccd-3fe6-4488-a67d-551f36a12f22"/>
    <xsd:import namespace="32f346d3-90e6-434f-8fc9-1fd9c3fd4e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1:_ip_UnifiedCompliancePolicyProperties" minOccurs="0"/>
                <xsd:element ref="ns1:_ip_UnifiedCompliancePolicyUIAction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18ccd-3fe6-4488-a67d-551f36a12f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46d3-90e6-434f-8fc9-1fd9c3fd4e3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F3DEC-55A7-4B07-8707-EEFF87DC91C6}">
  <ds:schemaRefs>
    <ds:schemaRef ds:uri="http://schemas.microsoft.com/office/2006/documentManagement/types"/>
    <ds:schemaRef ds:uri="51a18ccd-3fe6-4488-a67d-551f36a12f22"/>
    <ds:schemaRef ds:uri="http://schemas.openxmlformats.org/package/2006/metadata/core-properties"/>
    <ds:schemaRef ds:uri="http://www.w3.org/XML/1998/namespace"/>
    <ds:schemaRef ds:uri="http://purl.org/dc/terms/"/>
    <ds:schemaRef ds:uri="32f346d3-90e6-434f-8fc9-1fd9c3fd4e30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8F591AA-59F2-4326-B9A7-FE23C3EADE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3C8C47-389F-450A-868C-CE228C069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a18ccd-3fe6-4488-a67d-551f36a12f22"/>
    <ds:schemaRef ds:uri="32f346d3-90e6-434f-8fc9-1fd9c3fd4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MA</vt:lpstr>
      <vt:lpstr>2. WMA</vt:lpstr>
      <vt:lpstr>3. SES </vt:lpstr>
      <vt:lpstr>4. DMA</vt:lpstr>
      <vt:lpstr>5. Holts</vt:lpstr>
      <vt:lpstr>6. Linear</vt:lpstr>
      <vt:lpstr>7. Quad</vt:lpstr>
      <vt:lpstr>8.  HW -Add. </vt:lpstr>
      <vt:lpstr>9.  HW -Mult.</vt:lpstr>
      <vt:lpstr>10. Reg.</vt:lpstr>
    </vt:vector>
  </TitlesOfParts>
  <Company>Virginia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Ragsdale</dc:creator>
  <cp:lastModifiedBy>Khanna, Dhruva Navin</cp:lastModifiedBy>
  <dcterms:created xsi:type="dcterms:W3CDTF">2002-12-01T21:55:35Z</dcterms:created>
  <dcterms:modified xsi:type="dcterms:W3CDTF">2025-12-01T19:29:08Z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0x010100AA3E6F2CA674454EAFA0B7635D79F6FD</vt:lpwstr>
  </property>
</Properties>
</file>