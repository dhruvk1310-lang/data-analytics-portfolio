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defaultThemeVersion="202300"/>
  <mc:AlternateContent xmlns:mc="http://schemas.openxmlformats.org/markup-compatibility/2006">
    <mc:Choice Requires="x15">
      <x15ac:absPath xmlns:x15ac="http://schemas.microsoft.com/office/spreadsheetml/2010/11/ac" url="/Users/dhruv/Downloads/"/>
    </mc:Choice>
  </mc:AlternateContent>
  <xr:revisionPtr revIDLastSave="0" documentId="13_ncr:1_{BFE32ADB-93F0-BA48-B933-85F74FF2F4C4}" xr6:coauthVersionLast="47" xr6:coauthVersionMax="47" xr10:uidLastSave="{00000000-0000-0000-0000-000000000000}"/>
  <bookViews>
    <workbookView xWindow="0" yWindow="760" windowWidth="29400" windowHeight="16980" activeTab="5" xr2:uid="{43A4F5DA-1794-4275-9EFA-B9086436C483}"/>
  </bookViews>
  <sheets>
    <sheet name="#0" sheetId="8" r:id="rId1"/>
    <sheet name="#0 b)" sheetId="9" r:id="rId2"/>
    <sheet name="#1" sheetId="1" r:id="rId3"/>
    <sheet name="#2" sheetId="2" r:id="rId4"/>
    <sheet name="3" sheetId="3" r:id="rId5"/>
    <sheet name="4" sheetId="4" r:id="rId6"/>
    <sheet name="Miles" sheetId="6" r:id="rId7"/>
    <sheet name="#5" sheetId="7" r:id="rId8"/>
    <sheet name="6" sheetId="5" r:id="rId9"/>
  </sheets>
  <externalReferences>
    <externalReference r:id="rId10"/>
  </externalReferences>
  <definedNames>
    <definedName name="solver_adj" localSheetId="0" hidden="1">'#0'!$L$2:$R$2</definedName>
    <definedName name="solver_adj" localSheetId="1" hidden="1">'#0 b)'!$L$2:$R$2</definedName>
    <definedName name="solver_adj" localSheetId="2" hidden="1">'#1'!$B$15:$E$15</definedName>
    <definedName name="solver_adj" localSheetId="3" hidden="1">'#2'!$D$6:$J$6</definedName>
    <definedName name="solver_adj" localSheetId="7" hidden="1">'#5'!$B$6:$D$7,'#5'!$B$13:$D$14</definedName>
    <definedName name="solver_adj" localSheetId="4" hidden="1">'3'!$C$5:$C$11</definedName>
    <definedName name="solver_adj" localSheetId="5" hidden="1">'4'!$B$4:$U$4</definedName>
    <definedName name="solver_adj" localSheetId="8" hidden="1">'6'!$B$13:$B$14</definedName>
    <definedName name="solver_cvg" localSheetId="0" hidden="1">0.0001</definedName>
    <definedName name="solver_cvg" localSheetId="1" hidden="1">0.0001</definedName>
    <definedName name="solver_cvg" localSheetId="2" hidden="1">0.0001</definedName>
    <definedName name="solver_cvg" localSheetId="3" hidden="1">0.0001</definedName>
    <definedName name="solver_cvg" localSheetId="7" hidden="1">0.000001</definedName>
    <definedName name="solver_cvg" localSheetId="4" hidden="1">0.0001</definedName>
    <definedName name="solver_cvg" localSheetId="5" hidden="1">0.0001</definedName>
    <definedName name="solver_cvg" localSheetId="8" hidden="1">0.0001</definedName>
    <definedName name="solver_drv" localSheetId="0" hidden="1">1</definedName>
    <definedName name="solver_drv" localSheetId="1" hidden="1">1</definedName>
    <definedName name="solver_drv" localSheetId="2" hidden="1">1</definedName>
    <definedName name="solver_drv" localSheetId="3" hidden="1">1</definedName>
    <definedName name="solver_drv" localSheetId="7" hidden="1">1</definedName>
    <definedName name="solver_drv" localSheetId="4" hidden="1">1</definedName>
    <definedName name="solver_drv" localSheetId="5" hidden="1">1</definedName>
    <definedName name="solver_drv" localSheetId="8" hidden="1">1</definedName>
    <definedName name="solver_eng" localSheetId="0" hidden="1">2</definedName>
    <definedName name="solver_eng" localSheetId="1" hidden="1">2</definedName>
    <definedName name="solver_eng" localSheetId="2" hidden="1">2</definedName>
    <definedName name="solver_eng" localSheetId="3" hidden="1">2</definedName>
    <definedName name="solver_eng" localSheetId="7" hidden="1">2</definedName>
    <definedName name="solver_eng" localSheetId="4" hidden="1">2</definedName>
    <definedName name="solver_eng" localSheetId="5" hidden="1">2</definedName>
    <definedName name="solver_eng" localSheetId="8" hidden="1">2</definedName>
    <definedName name="solver_itr" localSheetId="0" hidden="1">2147483647</definedName>
    <definedName name="solver_itr" localSheetId="1" hidden="1">2147483647</definedName>
    <definedName name="solver_itr" localSheetId="2" hidden="1">2147483647</definedName>
    <definedName name="solver_itr" localSheetId="3" hidden="1">2147483647</definedName>
    <definedName name="solver_itr" localSheetId="7" hidden="1">2147483647</definedName>
    <definedName name="solver_itr" localSheetId="4" hidden="1">2147483647</definedName>
    <definedName name="solver_itr" localSheetId="5" hidden="1">2147483647</definedName>
    <definedName name="solver_itr" localSheetId="8" hidden="1">2147483647</definedName>
    <definedName name="solver_lhs1" localSheetId="0" hidden="1">'#0'!$L$2:$R$2</definedName>
    <definedName name="solver_lhs1" localSheetId="1" hidden="1">'#0 b)'!$L$2:$R$2</definedName>
    <definedName name="solver_lhs1" localSheetId="2" hidden="1">'#1'!$F$20</definedName>
    <definedName name="solver_lhs1" localSheetId="3" hidden="1">'#2'!$D$6:$J$6</definedName>
    <definedName name="solver_lhs1" localSheetId="7" hidden="1">'#5'!$B$13:$D$14</definedName>
    <definedName name="solver_lhs1" localSheetId="4" hidden="1">'3'!$C$5:$C$11</definedName>
    <definedName name="solver_lhs1" localSheetId="5" hidden="1">'4'!$B$4:$U$4</definedName>
    <definedName name="solver_lhs1" localSheetId="8" hidden="1">'6'!$B$14</definedName>
    <definedName name="solver_lhs2" localSheetId="0" hidden="1">'#0'!$L$2:$R$2</definedName>
    <definedName name="solver_lhs2" localSheetId="1" hidden="1">'#0 b)'!$L$2:$R$2</definedName>
    <definedName name="solver_lhs2" localSheetId="2" hidden="1">'#1'!$F$21</definedName>
    <definedName name="solver_lhs2" localSheetId="3" hidden="1">'#2'!$K$10:$K$19</definedName>
    <definedName name="solver_lhs2" localSheetId="7" hidden="1">'#5'!$B$23:$D$24</definedName>
    <definedName name="solver_lhs2" localSheetId="4" hidden="1">'3'!$D$13</definedName>
    <definedName name="solver_lhs2" localSheetId="5" hidden="1">'4'!$V$6:$V$25</definedName>
    <definedName name="solver_lhs2" localSheetId="8" hidden="1">'6'!$D$15:$E$15</definedName>
    <definedName name="solver_lhs3" localSheetId="0" hidden="1">'#0'!$S$7:$S$13</definedName>
    <definedName name="solver_lhs3" localSheetId="1" hidden="1">'#0 b)'!$S$2</definedName>
    <definedName name="solver_lhs3" localSheetId="2" hidden="1">'#1'!$F$22</definedName>
    <definedName name="solver_lhs3" localSheetId="7" hidden="1">'#5'!$B$8:$D$8</definedName>
    <definedName name="solver_lhs3" localSheetId="4" hidden="1">'3'!$E$14</definedName>
    <definedName name="solver_lhs3" localSheetId="8" hidden="1">'6'!$E$20</definedName>
    <definedName name="solver_lhs4" localSheetId="1" hidden="1">'#0 b)'!$S$7:$S$13</definedName>
    <definedName name="solver_lhs4" localSheetId="2" hidden="1">'#1'!$F$23</definedName>
    <definedName name="solver_lhs4" localSheetId="7" hidden="1">'#5'!$E$18:$E$19</definedName>
    <definedName name="solver_lhs4" localSheetId="4" hidden="1">'3'!$E$15</definedName>
    <definedName name="solver_lhs4" localSheetId="8" hidden="1">'6'!$E$23</definedName>
    <definedName name="solver_lin" localSheetId="0" hidden="1">1</definedName>
    <definedName name="solver_lin" localSheetId="1" hidden="1">1</definedName>
    <definedName name="solver_lin" localSheetId="2" hidden="1">1</definedName>
    <definedName name="solver_lin" localSheetId="3" hidden="1">1</definedName>
    <definedName name="solver_lin" localSheetId="7" hidden="1">1</definedName>
    <definedName name="solver_lin" localSheetId="4" hidden="1">1</definedName>
    <definedName name="solver_lin" localSheetId="5" hidden="1">1</definedName>
    <definedName name="solver_lin" localSheetId="8" hidden="1">1</definedName>
    <definedName name="solver_mip" localSheetId="0" hidden="1">2147483647</definedName>
    <definedName name="solver_mip" localSheetId="1" hidden="1">2147483647</definedName>
    <definedName name="solver_mip" localSheetId="2" hidden="1">2147483647</definedName>
    <definedName name="solver_mip" localSheetId="3" hidden="1">2147483647</definedName>
    <definedName name="solver_mip" localSheetId="7" hidden="1">2147483647</definedName>
    <definedName name="solver_mip" localSheetId="4" hidden="1">2147483647</definedName>
    <definedName name="solver_mip" localSheetId="5" hidden="1">2147483647</definedName>
    <definedName name="solver_mip" localSheetId="8" hidden="1">2147483647</definedName>
    <definedName name="solver_mni" localSheetId="0" hidden="1">30</definedName>
    <definedName name="solver_mni" localSheetId="1" hidden="1">30</definedName>
    <definedName name="solver_mni" localSheetId="2" hidden="1">30</definedName>
    <definedName name="solver_mni" localSheetId="3" hidden="1">30</definedName>
    <definedName name="solver_mni" localSheetId="7" hidden="1">30</definedName>
    <definedName name="solver_mni" localSheetId="4" hidden="1">30</definedName>
    <definedName name="solver_mni" localSheetId="5" hidden="1">30</definedName>
    <definedName name="solver_mni" localSheetId="8" hidden="1">30</definedName>
    <definedName name="solver_mrt" localSheetId="0" hidden="1">0.075</definedName>
    <definedName name="solver_mrt" localSheetId="1" hidden="1">0.075</definedName>
    <definedName name="solver_mrt" localSheetId="2" hidden="1">0.075</definedName>
    <definedName name="solver_mrt" localSheetId="3" hidden="1">0.075</definedName>
    <definedName name="solver_mrt" localSheetId="7" hidden="1">0.075</definedName>
    <definedName name="solver_mrt" localSheetId="4" hidden="1">0.075</definedName>
    <definedName name="solver_mrt" localSheetId="5" hidden="1">0.075</definedName>
    <definedName name="solver_mrt" localSheetId="8" hidden="1">0.075</definedName>
    <definedName name="solver_msl" localSheetId="0" hidden="1">2</definedName>
    <definedName name="solver_msl" localSheetId="1" hidden="1">2</definedName>
    <definedName name="solver_msl" localSheetId="2" hidden="1">2</definedName>
    <definedName name="solver_msl" localSheetId="3" hidden="1">2</definedName>
    <definedName name="solver_msl" localSheetId="7" hidden="1">2</definedName>
    <definedName name="solver_msl" localSheetId="4" hidden="1">2</definedName>
    <definedName name="solver_msl" localSheetId="5" hidden="1">2</definedName>
    <definedName name="solver_msl" localSheetId="8" hidden="1">2</definedName>
    <definedName name="solver_neg" localSheetId="0" hidden="1">1</definedName>
    <definedName name="solver_neg" localSheetId="1" hidden="1">1</definedName>
    <definedName name="solver_neg" localSheetId="2" hidden="1">1</definedName>
    <definedName name="solver_neg" localSheetId="3" hidden="1">1</definedName>
    <definedName name="solver_neg" localSheetId="7" hidden="1">1</definedName>
    <definedName name="solver_neg" localSheetId="4" hidden="1">1</definedName>
    <definedName name="solver_neg" localSheetId="5" hidden="1">1</definedName>
    <definedName name="solver_neg" localSheetId="8" hidden="1">1</definedName>
    <definedName name="solver_nod" localSheetId="0" hidden="1">2147483647</definedName>
    <definedName name="solver_nod" localSheetId="1" hidden="1">2147483647</definedName>
    <definedName name="solver_nod" localSheetId="2" hidden="1">2147483647</definedName>
    <definedName name="solver_nod" localSheetId="3" hidden="1">2147483647</definedName>
    <definedName name="solver_nod" localSheetId="7" hidden="1">2147483647</definedName>
    <definedName name="solver_nod" localSheetId="4" hidden="1">2147483647</definedName>
    <definedName name="solver_nod" localSheetId="5" hidden="1">2147483647</definedName>
    <definedName name="solver_nod" localSheetId="8" hidden="1">2147483647</definedName>
    <definedName name="solver_ntri" hidden="1">1000</definedName>
    <definedName name="solver_num" localSheetId="0" hidden="1">3</definedName>
    <definedName name="solver_num" localSheetId="1" hidden="1">4</definedName>
    <definedName name="solver_num" localSheetId="2" hidden="1">4</definedName>
    <definedName name="solver_num" localSheetId="3" hidden="1">2</definedName>
    <definedName name="solver_num" localSheetId="7" hidden="1">4</definedName>
    <definedName name="solver_num" localSheetId="4" hidden="1">4</definedName>
    <definedName name="solver_num" localSheetId="5" hidden="1">2</definedName>
    <definedName name="solver_num" localSheetId="8" hidden="1">2</definedName>
    <definedName name="solver_opt" localSheetId="0" hidden="1">'#0'!$T$2</definedName>
    <definedName name="solver_opt" localSheetId="1" hidden="1">'#0 b)'!$S$4</definedName>
    <definedName name="solver_opt" localSheetId="2" hidden="1">'#1'!$B$17</definedName>
    <definedName name="solver_opt" localSheetId="3" hidden="1">'#2'!$K$6</definedName>
    <definedName name="solver_opt" localSheetId="7" hidden="1">'#5'!$G$25</definedName>
    <definedName name="solver_opt" localSheetId="4" hidden="1">'3'!$F$12</definedName>
    <definedName name="solver_opt" localSheetId="5" hidden="1">'4'!$V$28</definedName>
    <definedName name="solver_opt" localSheetId="8" hidden="1">'6'!$B$15</definedName>
    <definedName name="solver_pre" localSheetId="0" hidden="1">0.000001</definedName>
    <definedName name="solver_pre" localSheetId="1" hidden="1">0.000001</definedName>
    <definedName name="solver_pre" localSheetId="2" hidden="1">0.000001</definedName>
    <definedName name="solver_pre" localSheetId="3" hidden="1">0.000001</definedName>
    <definedName name="solver_pre" localSheetId="7" hidden="1">0.0000001</definedName>
    <definedName name="solver_pre" localSheetId="4" hidden="1">0.000001</definedName>
    <definedName name="solver_pre" localSheetId="5" hidden="1">0.000001</definedName>
    <definedName name="solver_pre" localSheetId="8" hidden="1">0.000001</definedName>
    <definedName name="solver_rbv" localSheetId="0" hidden="1">1</definedName>
    <definedName name="solver_rbv" localSheetId="1" hidden="1">1</definedName>
    <definedName name="solver_rbv" localSheetId="2" hidden="1">1</definedName>
    <definedName name="solver_rbv" localSheetId="3" hidden="1">1</definedName>
    <definedName name="solver_rbv" localSheetId="7" hidden="1">2</definedName>
    <definedName name="solver_rbv" localSheetId="4" hidden="1">1</definedName>
    <definedName name="solver_rbv" localSheetId="5" hidden="1">1</definedName>
    <definedName name="solver_rbv" localSheetId="8" hidden="1">1</definedName>
    <definedName name="solver_rel1" localSheetId="0" hidden="1">4</definedName>
    <definedName name="solver_rel1" localSheetId="1" hidden="1">4</definedName>
    <definedName name="solver_rel1" localSheetId="2" hidden="1">1</definedName>
    <definedName name="solver_rel1" localSheetId="3" hidden="1">5</definedName>
    <definedName name="solver_rel1" localSheetId="7" hidden="1">5</definedName>
    <definedName name="solver_rel1" localSheetId="4" hidden="1">5</definedName>
    <definedName name="solver_rel1" localSheetId="5" hidden="1">5</definedName>
    <definedName name="solver_rel1" localSheetId="8" hidden="1">3</definedName>
    <definedName name="solver_rel2" localSheetId="0" hidden="1">3</definedName>
    <definedName name="solver_rel2" localSheetId="1" hidden="1">3</definedName>
    <definedName name="solver_rel2" localSheetId="2" hidden="1">3</definedName>
    <definedName name="solver_rel2" localSheetId="3" hidden="1">3</definedName>
    <definedName name="solver_rel2" localSheetId="7" hidden="1">1</definedName>
    <definedName name="solver_rel2" localSheetId="4" hidden="1">1</definedName>
    <definedName name="solver_rel2" localSheetId="5" hidden="1">3</definedName>
    <definedName name="solver_rel2" localSheetId="8" hidden="1">1</definedName>
    <definedName name="solver_rel3" localSheetId="0" hidden="1">3</definedName>
    <definedName name="solver_rel3" localSheetId="1" hidden="1">2</definedName>
    <definedName name="solver_rel3" localSheetId="2" hidden="1">2</definedName>
    <definedName name="solver_rel3" localSheetId="7" hidden="1">3</definedName>
    <definedName name="solver_rel3" localSheetId="4" hidden="1">1</definedName>
    <definedName name="solver_rel3" localSheetId="8" hidden="1">1</definedName>
    <definedName name="solver_rel4" localSheetId="1" hidden="1">3</definedName>
    <definedName name="solver_rel4" localSheetId="2" hidden="1">1</definedName>
    <definedName name="solver_rel4" localSheetId="7" hidden="1">1</definedName>
    <definedName name="solver_rel4" localSheetId="4" hidden="1">1</definedName>
    <definedName name="solver_rel4" localSheetId="8" hidden="1">1</definedName>
    <definedName name="solver_rhs1" localSheetId="0" hidden="1">"integer"</definedName>
    <definedName name="solver_rhs1" localSheetId="1" hidden="1">"integer"</definedName>
    <definedName name="solver_rhs1" localSheetId="2" hidden="1">'#1'!$G$20</definedName>
    <definedName name="solver_rhs1" localSheetId="3" hidden="1">"binary"</definedName>
    <definedName name="solver_rhs1" localSheetId="7" hidden="1">"binary"</definedName>
    <definedName name="solver_rhs1" localSheetId="4" hidden="1">"binary"</definedName>
    <definedName name="solver_rhs1" localSheetId="5" hidden="1">"binary"</definedName>
    <definedName name="solver_rhs1" localSheetId="8" hidden="1">3</definedName>
    <definedName name="solver_rhs2" localSheetId="0" hidden="1">0</definedName>
    <definedName name="solver_rhs2" localSheetId="1" hidden="1">0</definedName>
    <definedName name="solver_rhs2" localSheetId="2" hidden="1">'#1'!$G$21</definedName>
    <definedName name="solver_rhs2" localSheetId="3" hidden="1">1</definedName>
    <definedName name="solver_rhs2" localSheetId="7" hidden="1">0</definedName>
    <definedName name="solver_rhs2" localSheetId="4" hidden="1">1</definedName>
    <definedName name="solver_rhs2" localSheetId="5" hidden="1">1</definedName>
    <definedName name="solver_rhs2" localSheetId="8" hidden="1">'6'!$D$16:$E$16</definedName>
    <definedName name="solver_rhs3" localSheetId="0" hidden="1">'#0'!$U$7:$U$13</definedName>
    <definedName name="solver_rhs3" localSheetId="1" hidden="1">24</definedName>
    <definedName name="solver_rhs3" localSheetId="2" hidden="1">'#1'!$G$22</definedName>
    <definedName name="solver_rhs3" localSheetId="7" hidden="1">'#5'!$B$9:$D$9</definedName>
    <definedName name="solver_rhs3" localSheetId="4" hidden="1">950</definedName>
    <definedName name="solver_rhs3" localSheetId="8" hidden="1">'6'!$G$20</definedName>
    <definedName name="solver_rhs4" localSheetId="1" hidden="1">'#0 b)'!$U$7:$U$13</definedName>
    <definedName name="solver_rhs4" localSheetId="2" hidden="1">'#1'!$G$23</definedName>
    <definedName name="solver_rhs4" localSheetId="7" hidden="1">'#5'!$F$18:$F$19</definedName>
    <definedName name="solver_rhs4" localSheetId="4" hidden="1">20</definedName>
    <definedName name="solver_rhs4" localSheetId="8" hidden="1">'6'!$G$23</definedName>
    <definedName name="solver_rlx" localSheetId="0" hidden="1">2</definedName>
    <definedName name="solver_rlx" localSheetId="1" hidden="1">2</definedName>
    <definedName name="solver_rlx" localSheetId="2" hidden="1">1</definedName>
    <definedName name="solver_rlx" localSheetId="3" hidden="1">2</definedName>
    <definedName name="solver_rlx" localSheetId="7" hidden="1">2</definedName>
    <definedName name="solver_rlx" localSheetId="4" hidden="1">2</definedName>
    <definedName name="solver_rlx" localSheetId="5" hidden="1">2</definedName>
    <definedName name="solver_rlx" localSheetId="8" hidden="1">2</definedName>
    <definedName name="solver_rsd" localSheetId="0" hidden="1">0</definedName>
    <definedName name="solver_rsd" localSheetId="1" hidden="1">0</definedName>
    <definedName name="solver_rsd" localSheetId="2" hidden="1">0</definedName>
    <definedName name="solver_rsd" localSheetId="3" hidden="1">0</definedName>
    <definedName name="solver_rsd" localSheetId="7" hidden="1">0</definedName>
    <definedName name="solver_rsd" localSheetId="4" hidden="1">0</definedName>
    <definedName name="solver_rsd" localSheetId="5" hidden="1">0</definedName>
    <definedName name="solver_rsd" localSheetId="8" hidden="1">0</definedName>
    <definedName name="solver_rsmp" hidden="1">2</definedName>
    <definedName name="solver_scl" localSheetId="0" hidden="1">1</definedName>
    <definedName name="solver_scl" localSheetId="1" hidden="1">1</definedName>
    <definedName name="solver_scl" localSheetId="2" hidden="1">2</definedName>
    <definedName name="solver_scl" localSheetId="3" hidden="1">1</definedName>
    <definedName name="solver_scl" localSheetId="7" hidden="1">1</definedName>
    <definedName name="solver_scl" localSheetId="4" hidden="1">1</definedName>
    <definedName name="solver_scl" localSheetId="5" hidden="1">1</definedName>
    <definedName name="solver_scl" localSheetId="8" hidden="1">1</definedName>
    <definedName name="solver_seed" hidden="1">0</definedName>
    <definedName name="solver_sho" localSheetId="0" hidden="1">2</definedName>
    <definedName name="solver_sho" localSheetId="1" hidden="1">2</definedName>
    <definedName name="solver_sho" localSheetId="2" hidden="1">2</definedName>
    <definedName name="solver_sho" localSheetId="3" hidden="1">2</definedName>
    <definedName name="solver_sho" localSheetId="7" hidden="1">2</definedName>
    <definedName name="solver_sho" localSheetId="4" hidden="1">2</definedName>
    <definedName name="solver_sho" localSheetId="5" hidden="1">2</definedName>
    <definedName name="solver_sho" localSheetId="8" hidden="1">2</definedName>
    <definedName name="solver_ssz" localSheetId="0" hidden="1">100</definedName>
    <definedName name="solver_ssz" localSheetId="1" hidden="1">100</definedName>
    <definedName name="solver_ssz" localSheetId="2" hidden="1">100</definedName>
    <definedName name="solver_ssz" localSheetId="3" hidden="1">100</definedName>
    <definedName name="solver_ssz" localSheetId="7" hidden="1">100</definedName>
    <definedName name="solver_ssz" localSheetId="4" hidden="1">100</definedName>
    <definedName name="solver_ssz" localSheetId="5" hidden="1">100</definedName>
    <definedName name="solver_ssz" localSheetId="8" hidden="1">100</definedName>
    <definedName name="solver_tim" localSheetId="0" hidden="1">2147483647</definedName>
    <definedName name="solver_tim" localSheetId="1" hidden="1">2147483647</definedName>
    <definedName name="solver_tim" localSheetId="2" hidden="1">2147483647</definedName>
    <definedName name="solver_tim" localSheetId="3" hidden="1">2147483647</definedName>
    <definedName name="solver_tim" localSheetId="7" hidden="1">2147483647</definedName>
    <definedName name="solver_tim" localSheetId="4" hidden="1">2147483647</definedName>
    <definedName name="solver_tim" localSheetId="5" hidden="1">2147483647</definedName>
    <definedName name="solver_tim" localSheetId="8" hidden="1">2147483647</definedName>
    <definedName name="solver_tol" localSheetId="0" hidden="1">0.01</definedName>
    <definedName name="solver_tol" localSheetId="1" hidden="1">0.01</definedName>
    <definedName name="solver_tol" localSheetId="2" hidden="1">0.01</definedName>
    <definedName name="solver_tol" localSheetId="3" hidden="1">0.01</definedName>
    <definedName name="solver_tol" localSheetId="7" hidden="1">0.01</definedName>
    <definedName name="solver_tol" localSheetId="4" hidden="1">0.01</definedName>
    <definedName name="solver_tol" localSheetId="5" hidden="1">0.01</definedName>
    <definedName name="solver_tol" localSheetId="8" hidden="1">0.01</definedName>
    <definedName name="solver_typ" localSheetId="0" hidden="1">2</definedName>
    <definedName name="solver_typ" localSheetId="1" hidden="1">1</definedName>
    <definedName name="solver_typ" localSheetId="2" hidden="1">1</definedName>
    <definedName name="solver_typ" localSheetId="3" hidden="1">2</definedName>
    <definedName name="solver_typ" localSheetId="7" hidden="1">2</definedName>
    <definedName name="solver_typ" localSheetId="4" hidden="1">1</definedName>
    <definedName name="solver_typ" localSheetId="5" hidden="1">2</definedName>
    <definedName name="solver_typ" localSheetId="8" hidden="1">1</definedName>
    <definedName name="solver_val" localSheetId="0" hidden="1">0</definedName>
    <definedName name="solver_val" localSheetId="1" hidden="1">0</definedName>
    <definedName name="solver_val" localSheetId="2" hidden="1">0</definedName>
    <definedName name="solver_val" localSheetId="3" hidden="1">0</definedName>
    <definedName name="solver_val" localSheetId="7" hidden="1">0</definedName>
    <definedName name="solver_val" localSheetId="4" hidden="1">0</definedName>
    <definedName name="solver_val" localSheetId="5" hidden="1">0</definedName>
    <definedName name="solver_val" localSheetId="8" hidden="1">0</definedName>
    <definedName name="solver_ver" localSheetId="0" hidden="1">2</definedName>
    <definedName name="solver_ver" localSheetId="1" hidden="1">2</definedName>
    <definedName name="solver_ver" localSheetId="2" hidden="1">2</definedName>
    <definedName name="solver_ver" localSheetId="3" hidden="1">2</definedName>
    <definedName name="solver_ver" localSheetId="7" hidden="1">2</definedName>
    <definedName name="solver_ver" localSheetId="4" hidden="1">2</definedName>
    <definedName name="solver_ver" localSheetId="5" hidden="1">2</definedName>
    <definedName name="solver_ver" localSheetId="8"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5" l="1"/>
  <c r="E15" i="5"/>
  <c r="B15" i="5"/>
  <c r="V23" i="5" l="1"/>
  <c r="V21" i="5"/>
  <c r="V20" i="5"/>
  <c r="V16" i="5"/>
  <c r="D24" i="7"/>
  <c r="C24" i="7"/>
  <c r="B24" i="7"/>
  <c r="D23" i="7"/>
  <c r="C23" i="7"/>
  <c r="B23" i="7"/>
  <c r="E19" i="7"/>
  <c r="E18" i="7"/>
  <c r="H14" i="7"/>
  <c r="H13" i="7"/>
  <c r="B8" i="7"/>
  <c r="H6" i="7"/>
  <c r="C8" i="7"/>
  <c r="D8" i="7"/>
  <c r="H7" i="7"/>
  <c r="V7" i="1"/>
  <c r="V8" i="1"/>
  <c r="V9" i="1"/>
  <c r="V10" i="1"/>
  <c r="V11" i="1"/>
  <c r="V12" i="1"/>
  <c r="V13" i="1"/>
  <c r="V14" i="1"/>
  <c r="V15" i="1"/>
  <c r="V16" i="1"/>
  <c r="V17" i="1"/>
  <c r="V18" i="1"/>
  <c r="V19" i="1"/>
  <c r="V20" i="1"/>
  <c r="V21" i="1"/>
  <c r="V22" i="1"/>
  <c r="V23" i="1"/>
  <c r="V24" i="1"/>
  <c r="V25" i="1"/>
  <c r="V7" i="2"/>
  <c r="V8" i="2"/>
  <c r="V9" i="2"/>
  <c r="V7" i="3"/>
  <c r="V8" i="3"/>
  <c r="V9" i="3"/>
  <c r="V10" i="3"/>
  <c r="V11" i="3"/>
  <c r="V12" i="3"/>
  <c r="V13" i="3"/>
  <c r="V14" i="3"/>
  <c r="V15" i="3"/>
  <c r="V16" i="3"/>
  <c r="V17" i="3"/>
  <c r="V18" i="3"/>
  <c r="V19" i="3"/>
  <c r="V20" i="3"/>
  <c r="V21" i="3"/>
  <c r="V22" i="3"/>
  <c r="V23" i="3"/>
  <c r="V24" i="3"/>
  <c r="V25" i="3"/>
  <c r="V3" i="6"/>
  <c r="V4" i="6"/>
  <c r="V5" i="6"/>
  <c r="V6" i="6"/>
  <c r="V7" i="6"/>
  <c r="V8" i="6"/>
  <c r="V9" i="6"/>
  <c r="V10" i="6"/>
  <c r="V11" i="6"/>
  <c r="V12" i="6"/>
  <c r="V13" i="6"/>
  <c r="V14" i="6"/>
  <c r="V15" i="6"/>
  <c r="V16" i="6"/>
  <c r="V17" i="6"/>
  <c r="V18" i="6"/>
  <c r="V19" i="6"/>
  <c r="V20" i="6"/>
  <c r="V21" i="6"/>
  <c r="V7" i="5"/>
  <c r="V8" i="5"/>
  <c r="V9" i="5"/>
  <c r="V10" i="5"/>
  <c r="V11" i="5"/>
  <c r="V12" i="5"/>
  <c r="V13" i="5"/>
  <c r="V14" i="5"/>
  <c r="V15" i="5"/>
  <c r="V18" i="5"/>
  <c r="V19" i="5"/>
  <c r="V22" i="5"/>
  <c r="V24" i="5"/>
  <c r="V25" i="5"/>
  <c r="V26" i="5"/>
  <c r="V6" i="1"/>
  <c r="V6" i="2"/>
  <c r="V6" i="3"/>
  <c r="V2" i="6"/>
  <c r="V6" i="5"/>
  <c r="V28" i="1"/>
  <c r="V28" i="3"/>
  <c r="V28" i="6"/>
  <c r="V29" i="5"/>
  <c r="V28" i="4"/>
  <c r="D13" i="3"/>
  <c r="E14" i="3"/>
  <c r="E15" i="3"/>
  <c r="F12" i="3"/>
  <c r="D12" i="3"/>
  <c r="E12" i="3"/>
  <c r="K10" i="2"/>
  <c r="K6" i="2"/>
  <c r="K7" i="2"/>
  <c r="K11" i="2"/>
  <c r="K12" i="2"/>
  <c r="K13" i="2"/>
  <c r="K14" i="2"/>
  <c r="K15" i="2"/>
  <c r="K16" i="2"/>
  <c r="K17" i="2"/>
  <c r="K18" i="2"/>
  <c r="K19" i="2"/>
  <c r="F22" i="1"/>
  <c r="F23" i="1"/>
  <c r="F21" i="1"/>
  <c r="F20" i="1"/>
  <c r="B17" i="1"/>
  <c r="S13" i="9"/>
  <c r="S12" i="9"/>
  <c r="S11" i="9"/>
  <c r="S10" i="9"/>
  <c r="S9" i="9"/>
  <c r="S8" i="9"/>
  <c r="S7" i="9"/>
  <c r="S4" i="9"/>
  <c r="S2" i="9"/>
  <c r="T2" i="9" s="1"/>
  <c r="S12" i="8"/>
  <c r="S2" i="8"/>
  <c r="T2" i="8" s="1"/>
  <c r="S7" i="8"/>
  <c r="S8" i="8"/>
  <c r="S9" i="8"/>
  <c r="S10" i="8"/>
  <c r="S11" i="8"/>
  <c r="S13" i="8"/>
  <c r="G25" i="7" l="1"/>
  <c r="U25" i="4"/>
  <c r="T25" i="4"/>
  <c r="S25" i="4"/>
  <c r="R25" i="4"/>
  <c r="Q25" i="4"/>
  <c r="P25" i="4"/>
  <c r="O25" i="4"/>
  <c r="N25" i="4"/>
  <c r="M25" i="4"/>
  <c r="L25" i="4"/>
  <c r="K25" i="4"/>
  <c r="J25" i="4"/>
  <c r="I25" i="4"/>
  <c r="H25" i="4"/>
  <c r="G25" i="4"/>
  <c r="F25" i="4"/>
  <c r="E25" i="4"/>
  <c r="D25" i="4"/>
  <c r="C25" i="4"/>
  <c r="B25" i="4"/>
  <c r="U24" i="4"/>
  <c r="T24" i="4"/>
  <c r="S24" i="4"/>
  <c r="R24" i="4"/>
  <c r="Q24" i="4"/>
  <c r="P24" i="4"/>
  <c r="O24" i="4"/>
  <c r="N24" i="4"/>
  <c r="M24" i="4"/>
  <c r="L24" i="4"/>
  <c r="K24" i="4"/>
  <c r="J24" i="4"/>
  <c r="I24" i="4"/>
  <c r="H24" i="4"/>
  <c r="G24" i="4"/>
  <c r="F24" i="4"/>
  <c r="E24" i="4"/>
  <c r="D24" i="4"/>
  <c r="C24" i="4"/>
  <c r="B24" i="4"/>
  <c r="U23" i="4"/>
  <c r="T23" i="4"/>
  <c r="S23" i="4"/>
  <c r="R23" i="4"/>
  <c r="Q23" i="4"/>
  <c r="P23" i="4"/>
  <c r="O23" i="4"/>
  <c r="N23" i="4"/>
  <c r="M23" i="4"/>
  <c r="L23" i="4"/>
  <c r="K23" i="4"/>
  <c r="J23" i="4"/>
  <c r="I23" i="4"/>
  <c r="H23" i="4"/>
  <c r="G23" i="4"/>
  <c r="F23" i="4"/>
  <c r="E23" i="4"/>
  <c r="D23" i="4"/>
  <c r="C23" i="4"/>
  <c r="B23" i="4"/>
  <c r="U22" i="4"/>
  <c r="T22" i="4"/>
  <c r="S22" i="4"/>
  <c r="R22" i="4"/>
  <c r="Q22" i="4"/>
  <c r="P22" i="4"/>
  <c r="O22" i="4"/>
  <c r="N22" i="4"/>
  <c r="M22" i="4"/>
  <c r="L22" i="4"/>
  <c r="K22" i="4"/>
  <c r="J22" i="4"/>
  <c r="I22" i="4"/>
  <c r="H22" i="4"/>
  <c r="G22" i="4"/>
  <c r="F22" i="4"/>
  <c r="E22" i="4"/>
  <c r="D22" i="4"/>
  <c r="C22" i="4"/>
  <c r="B22" i="4"/>
  <c r="U21" i="4"/>
  <c r="T21" i="4"/>
  <c r="S21" i="4"/>
  <c r="R21" i="4"/>
  <c r="Q21" i="4"/>
  <c r="P21" i="4"/>
  <c r="O21" i="4"/>
  <c r="N21" i="4"/>
  <c r="M21" i="4"/>
  <c r="L21" i="4"/>
  <c r="K21" i="4"/>
  <c r="J21" i="4"/>
  <c r="I21" i="4"/>
  <c r="H21" i="4"/>
  <c r="G21" i="4"/>
  <c r="F21" i="4"/>
  <c r="E21" i="4"/>
  <c r="D21" i="4"/>
  <c r="C21" i="4"/>
  <c r="B21" i="4"/>
  <c r="U20" i="4"/>
  <c r="T20" i="4"/>
  <c r="S20" i="4"/>
  <c r="R20" i="4"/>
  <c r="Q20" i="4"/>
  <c r="P20" i="4"/>
  <c r="O20" i="4"/>
  <c r="N20" i="4"/>
  <c r="M20" i="4"/>
  <c r="L20" i="4"/>
  <c r="K20" i="4"/>
  <c r="J20" i="4"/>
  <c r="I20" i="4"/>
  <c r="H20" i="4"/>
  <c r="G20" i="4"/>
  <c r="F20" i="4"/>
  <c r="E20" i="4"/>
  <c r="D20" i="4"/>
  <c r="C20" i="4"/>
  <c r="B20" i="4"/>
  <c r="U19" i="4"/>
  <c r="T19" i="4"/>
  <c r="S19" i="4"/>
  <c r="R19" i="4"/>
  <c r="Q19" i="4"/>
  <c r="P19" i="4"/>
  <c r="O19" i="4"/>
  <c r="N19" i="4"/>
  <c r="M19" i="4"/>
  <c r="L19" i="4"/>
  <c r="K19" i="4"/>
  <c r="J19" i="4"/>
  <c r="I19" i="4"/>
  <c r="H19" i="4"/>
  <c r="G19" i="4"/>
  <c r="F19" i="4"/>
  <c r="E19" i="4"/>
  <c r="D19" i="4"/>
  <c r="C19" i="4"/>
  <c r="B19" i="4"/>
  <c r="U18" i="4"/>
  <c r="T18" i="4"/>
  <c r="S18" i="4"/>
  <c r="R18" i="4"/>
  <c r="Q18" i="4"/>
  <c r="P18" i="4"/>
  <c r="O18" i="4"/>
  <c r="N18" i="4"/>
  <c r="M18" i="4"/>
  <c r="L18" i="4"/>
  <c r="K18" i="4"/>
  <c r="J18" i="4"/>
  <c r="I18" i="4"/>
  <c r="H18" i="4"/>
  <c r="G18" i="4"/>
  <c r="F18" i="4"/>
  <c r="E18" i="4"/>
  <c r="D18" i="4"/>
  <c r="C18" i="4"/>
  <c r="B18" i="4"/>
  <c r="U17" i="4"/>
  <c r="T17" i="4"/>
  <c r="S17" i="4"/>
  <c r="R17" i="4"/>
  <c r="Q17" i="4"/>
  <c r="P17" i="4"/>
  <c r="O17" i="4"/>
  <c r="N17" i="4"/>
  <c r="M17" i="4"/>
  <c r="L17" i="4"/>
  <c r="K17" i="4"/>
  <c r="J17" i="4"/>
  <c r="I17" i="4"/>
  <c r="H17" i="4"/>
  <c r="G17" i="4"/>
  <c r="F17" i="4"/>
  <c r="E17" i="4"/>
  <c r="D17" i="4"/>
  <c r="C17" i="4"/>
  <c r="B17" i="4"/>
  <c r="U16" i="4"/>
  <c r="T16" i="4"/>
  <c r="S16" i="4"/>
  <c r="R16" i="4"/>
  <c r="Q16" i="4"/>
  <c r="P16" i="4"/>
  <c r="O16" i="4"/>
  <c r="N16" i="4"/>
  <c r="M16" i="4"/>
  <c r="L16" i="4"/>
  <c r="K16" i="4"/>
  <c r="J16" i="4"/>
  <c r="I16" i="4"/>
  <c r="H16" i="4"/>
  <c r="G16" i="4"/>
  <c r="F16" i="4"/>
  <c r="E16" i="4"/>
  <c r="D16" i="4"/>
  <c r="C16" i="4"/>
  <c r="B16" i="4"/>
  <c r="U15" i="4"/>
  <c r="T15" i="4"/>
  <c r="S15" i="4"/>
  <c r="R15" i="4"/>
  <c r="Q15" i="4"/>
  <c r="P15" i="4"/>
  <c r="O15" i="4"/>
  <c r="N15" i="4"/>
  <c r="M15" i="4"/>
  <c r="L15" i="4"/>
  <c r="K15" i="4"/>
  <c r="J15" i="4"/>
  <c r="I15" i="4"/>
  <c r="H15" i="4"/>
  <c r="G15" i="4"/>
  <c r="F15" i="4"/>
  <c r="E15" i="4"/>
  <c r="D15" i="4"/>
  <c r="C15" i="4"/>
  <c r="B15" i="4"/>
  <c r="U14" i="4"/>
  <c r="T14" i="4"/>
  <c r="S14" i="4"/>
  <c r="R14" i="4"/>
  <c r="Q14" i="4"/>
  <c r="P14" i="4"/>
  <c r="O14" i="4"/>
  <c r="N14" i="4"/>
  <c r="M14" i="4"/>
  <c r="L14" i="4"/>
  <c r="K14" i="4"/>
  <c r="J14" i="4"/>
  <c r="I14" i="4"/>
  <c r="H14" i="4"/>
  <c r="G14" i="4"/>
  <c r="F14" i="4"/>
  <c r="E14" i="4"/>
  <c r="D14" i="4"/>
  <c r="C14" i="4"/>
  <c r="B14" i="4"/>
  <c r="U13" i="4"/>
  <c r="T13" i="4"/>
  <c r="S13" i="4"/>
  <c r="R13" i="4"/>
  <c r="Q13" i="4"/>
  <c r="P13" i="4"/>
  <c r="O13" i="4"/>
  <c r="N13" i="4"/>
  <c r="M13" i="4"/>
  <c r="L13" i="4"/>
  <c r="K13" i="4"/>
  <c r="J13" i="4"/>
  <c r="I13" i="4"/>
  <c r="H13" i="4"/>
  <c r="G13" i="4"/>
  <c r="F13" i="4"/>
  <c r="E13" i="4"/>
  <c r="D13" i="4"/>
  <c r="C13" i="4"/>
  <c r="B13" i="4"/>
  <c r="U12" i="4"/>
  <c r="T12" i="4"/>
  <c r="S12" i="4"/>
  <c r="R12" i="4"/>
  <c r="Q12" i="4"/>
  <c r="P12" i="4"/>
  <c r="O12" i="4"/>
  <c r="N12" i="4"/>
  <c r="M12" i="4"/>
  <c r="L12" i="4"/>
  <c r="K12" i="4"/>
  <c r="J12" i="4"/>
  <c r="I12" i="4"/>
  <c r="H12" i="4"/>
  <c r="G12" i="4"/>
  <c r="F12" i="4"/>
  <c r="E12" i="4"/>
  <c r="D12" i="4"/>
  <c r="C12" i="4"/>
  <c r="B12" i="4"/>
  <c r="U11" i="4"/>
  <c r="T11" i="4"/>
  <c r="S11" i="4"/>
  <c r="R11" i="4"/>
  <c r="Q11" i="4"/>
  <c r="P11" i="4"/>
  <c r="O11" i="4"/>
  <c r="N11" i="4"/>
  <c r="M11" i="4"/>
  <c r="L11" i="4"/>
  <c r="K11" i="4"/>
  <c r="J11" i="4"/>
  <c r="I11" i="4"/>
  <c r="H11" i="4"/>
  <c r="G11" i="4"/>
  <c r="F11" i="4"/>
  <c r="E11" i="4"/>
  <c r="D11" i="4"/>
  <c r="C11" i="4"/>
  <c r="B11" i="4"/>
  <c r="U10" i="4"/>
  <c r="T10" i="4"/>
  <c r="S10" i="4"/>
  <c r="R10" i="4"/>
  <c r="Q10" i="4"/>
  <c r="P10" i="4"/>
  <c r="O10" i="4"/>
  <c r="N10" i="4"/>
  <c r="M10" i="4"/>
  <c r="L10" i="4"/>
  <c r="K10" i="4"/>
  <c r="J10" i="4"/>
  <c r="I10" i="4"/>
  <c r="H10" i="4"/>
  <c r="G10" i="4"/>
  <c r="F10" i="4"/>
  <c r="E10" i="4"/>
  <c r="D10" i="4"/>
  <c r="C10" i="4"/>
  <c r="B10" i="4"/>
  <c r="U9" i="4"/>
  <c r="T9" i="4"/>
  <c r="S9" i="4"/>
  <c r="R9" i="4"/>
  <c r="Q9" i="4"/>
  <c r="P9" i="4"/>
  <c r="O9" i="4"/>
  <c r="N9" i="4"/>
  <c r="M9" i="4"/>
  <c r="L9" i="4"/>
  <c r="K9" i="4"/>
  <c r="J9" i="4"/>
  <c r="I9" i="4"/>
  <c r="H9" i="4"/>
  <c r="G9" i="4"/>
  <c r="F9" i="4"/>
  <c r="E9" i="4"/>
  <c r="D9" i="4"/>
  <c r="C9" i="4"/>
  <c r="B9" i="4"/>
  <c r="U8" i="4"/>
  <c r="T8" i="4"/>
  <c r="S8" i="4"/>
  <c r="R8" i="4"/>
  <c r="Q8" i="4"/>
  <c r="P8" i="4"/>
  <c r="O8" i="4"/>
  <c r="N8" i="4"/>
  <c r="M8" i="4"/>
  <c r="L8" i="4"/>
  <c r="K8" i="4"/>
  <c r="J8" i="4"/>
  <c r="I8" i="4"/>
  <c r="H8" i="4"/>
  <c r="G8" i="4"/>
  <c r="F8" i="4"/>
  <c r="E8" i="4"/>
  <c r="D8" i="4"/>
  <c r="C8" i="4"/>
  <c r="B8" i="4"/>
  <c r="U7" i="4"/>
  <c r="T7" i="4"/>
  <c r="S7" i="4"/>
  <c r="R7" i="4"/>
  <c r="Q7" i="4"/>
  <c r="P7" i="4"/>
  <c r="O7" i="4"/>
  <c r="N7" i="4"/>
  <c r="M7" i="4"/>
  <c r="L7" i="4"/>
  <c r="K7" i="4"/>
  <c r="J7" i="4"/>
  <c r="I7" i="4"/>
  <c r="H7" i="4"/>
  <c r="G7" i="4"/>
  <c r="F7" i="4"/>
  <c r="E7" i="4"/>
  <c r="D7" i="4"/>
  <c r="C7" i="4"/>
  <c r="B7" i="4"/>
  <c r="U6" i="4"/>
  <c r="T6" i="4"/>
  <c r="S6" i="4"/>
  <c r="R6" i="4"/>
  <c r="Q6" i="4"/>
  <c r="P6" i="4"/>
  <c r="O6" i="4"/>
  <c r="N6" i="4"/>
  <c r="M6" i="4"/>
  <c r="L6" i="4"/>
  <c r="K6" i="4"/>
  <c r="J6" i="4"/>
  <c r="I6" i="4"/>
  <c r="H6" i="4"/>
  <c r="G6" i="4"/>
  <c r="F6" i="4"/>
  <c r="E6" i="4"/>
  <c r="D6" i="4"/>
  <c r="C6" i="4"/>
  <c r="B6" i="4"/>
  <c r="V8" i="4" l="1"/>
  <c r="V18" i="4"/>
  <c r="V22" i="4"/>
  <c r="V7" i="4"/>
  <c r="V9" i="4"/>
  <c r="V11" i="4"/>
  <c r="V13" i="4"/>
  <c r="V15" i="4"/>
  <c r="V17" i="4"/>
  <c r="V19" i="4"/>
  <c r="V21" i="4"/>
  <c r="V23" i="4"/>
  <c r="V25" i="4"/>
  <c r="V10" i="4"/>
  <c r="V6" i="4"/>
  <c r="V12" i="4"/>
  <c r="V14" i="4"/>
  <c r="V20" i="4"/>
  <c r="V24" i="4"/>
  <c r="V16" i="4"/>
</calcChain>
</file>

<file path=xl/sharedStrings.xml><?xml version="1.0" encoding="utf-8"?>
<sst xmlns="http://schemas.openxmlformats.org/spreadsheetml/2006/main" count="307" uniqueCount="107">
  <si>
    <t>Item</t>
  </si>
  <si>
    <t>Jeans</t>
  </si>
  <si>
    <t>t-shirts</t>
  </si>
  <si>
    <t>CDs</t>
  </si>
  <si>
    <t>Cd Player</t>
  </si>
  <si>
    <t>Weight(grams)</t>
  </si>
  <si>
    <t>Profit</t>
  </si>
  <si>
    <t>Project</t>
  </si>
  <si>
    <t>N o d e s</t>
  </si>
  <si>
    <t>Select?</t>
  </si>
  <si>
    <t>Total</t>
  </si>
  <si>
    <t>Cost</t>
  </si>
  <si>
    <t>R e g i o n s  C o v e r e d</t>
  </si>
  <si>
    <t>Regions</t>
  </si>
  <si>
    <t>Programmers</t>
  </si>
  <si>
    <t>Capital</t>
  </si>
  <si>
    <t>Estimated</t>
  </si>
  <si>
    <t>Req'd</t>
  </si>
  <si>
    <t>NPV</t>
  </si>
  <si>
    <t>CITY</t>
  </si>
  <si>
    <t>Atlanta</t>
  </si>
  <si>
    <t>Baltimore</t>
  </si>
  <si>
    <t>Boston</t>
  </si>
  <si>
    <t>Charlotte</t>
  </si>
  <si>
    <t>Chicago</t>
  </si>
  <si>
    <t>Dallas</t>
  </si>
  <si>
    <t>Denver</t>
  </si>
  <si>
    <t>Detroit</t>
  </si>
  <si>
    <t>Seattle</t>
  </si>
  <si>
    <t>Houston</t>
  </si>
  <si>
    <t>Las Vegas</t>
  </si>
  <si>
    <t>Los Angeles</t>
  </si>
  <si>
    <t>Miami</t>
  </si>
  <si>
    <t>Minneapolis</t>
  </si>
  <si>
    <t>New York</t>
  </si>
  <si>
    <t>Washington DC</t>
  </si>
  <si>
    <t>Orlando</t>
  </si>
  <si>
    <t>Philidelphia</t>
  </si>
  <si>
    <t>Phoenix</t>
  </si>
  <si>
    <t>Portland</t>
  </si>
  <si>
    <t>Hub Cost ($000s)</t>
  </si>
  <si>
    <t>Units Run of Each Machine</t>
  </si>
  <si>
    <t>Unit Production Costs</t>
  </si>
  <si>
    <t xml:space="preserve">Machine </t>
  </si>
  <si>
    <t>A</t>
  </si>
  <si>
    <t>B</t>
  </si>
  <si>
    <t>C</t>
  </si>
  <si>
    <t>Produced</t>
  </si>
  <si>
    <t>Needed</t>
  </si>
  <si>
    <t>Setups on Each Machine</t>
  </si>
  <si>
    <t>Setup Costs</t>
  </si>
  <si>
    <t>Run Time per Unit</t>
  </si>
  <si>
    <t>Used</t>
  </si>
  <si>
    <t>Available</t>
  </si>
  <si>
    <t>Linking Constraints</t>
  </si>
  <si>
    <t>Required:</t>
  </si>
  <si>
    <t>Shift</t>
  </si>
  <si>
    <t>Sun</t>
  </si>
  <si>
    <t>Mon</t>
  </si>
  <si>
    <t>Tues</t>
  </si>
  <si>
    <t>Wed</t>
  </si>
  <si>
    <t>Thur</t>
  </si>
  <si>
    <t>Fri</t>
  </si>
  <si>
    <t>Sat</t>
  </si>
  <si>
    <t>Tue</t>
  </si>
  <si>
    <t>Thu</t>
  </si>
  <si>
    <t>Total Hired</t>
  </si>
  <si>
    <t>Work Day</t>
  </si>
  <si>
    <t xml:space="preserve">Actual Working </t>
  </si>
  <si>
    <t>&gt;=</t>
  </si>
  <si>
    <t>Decision Variable</t>
  </si>
  <si>
    <t xml:space="preserve">Start Day </t>
  </si>
  <si>
    <t>Required</t>
  </si>
  <si>
    <t xml:space="preserve">Objective </t>
  </si>
  <si>
    <t>Max on weekends:</t>
  </si>
  <si>
    <t>X1</t>
  </si>
  <si>
    <t>X2</t>
  </si>
  <si>
    <t>X3</t>
  </si>
  <si>
    <t>X4</t>
  </si>
  <si>
    <t>Profit/Unit</t>
  </si>
  <si>
    <t>Weight (g/unit</t>
  </si>
  <si>
    <t>Decision variable</t>
  </si>
  <si>
    <t>Total profit</t>
  </si>
  <si>
    <t>Weight</t>
  </si>
  <si>
    <t>tshirt/jeans</t>
  </si>
  <si>
    <t>CD/CD Player</t>
  </si>
  <si>
    <t>CD Player</t>
  </si>
  <si>
    <t>Constraints:</t>
  </si>
  <si>
    <t>Limit:</t>
  </si>
  <si>
    <t>regions cov</t>
  </si>
  <si>
    <t>Actual coverage</t>
  </si>
  <si>
    <t>Total NPV</t>
  </si>
  <si>
    <t>capital used</t>
  </si>
  <si>
    <t>programmers</t>
  </si>
  <si>
    <t>Total cost:</t>
  </si>
  <si>
    <t>Coverage</t>
  </si>
  <si>
    <t>Number</t>
  </si>
  <si>
    <t>C1</t>
  </si>
  <si>
    <t>C2</t>
  </si>
  <si>
    <t>Node 1 (X2≤1)</t>
  </si>
  <si>
    <t>Node 5 (X2≤2)</t>
  </si>
  <si>
    <t>Node 0</t>
  </si>
  <si>
    <t>Node 3 (X1≤1)</t>
  </si>
  <si>
    <t>Node 2 (X2≥2)</t>
  </si>
  <si>
    <t>Node 6 (X2≥3)</t>
  </si>
  <si>
    <t>Node 4 (X1≥2)</t>
  </si>
  <si>
    <t>projetcs 2 &amp;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</si>
</sst>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_);\(&quot;$&quot;#,##0\)"/>
    <numFmt numFmtId="44" formatCode="_(&quot;$&quot;* #,##0.00_);_(&quot;$&quot;* \(#,##0.00\);_(&quot;$&quot;* &quot;-&quot;??_);_(@_)"/>
    <numFmt numFmtId="164" formatCode="&quot;$&quot;#,##0"/>
    <numFmt numFmtId="165" formatCode="#,##0.0"/>
    <numFmt numFmtId="166" formatCode="&quot;$&quot;#,##0.00"/>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rial"/>
      <family val="2"/>
    </font>
    <font>
      <b/>
      <sz val="11"/>
      <color theme="1"/>
      <name val="Arial"/>
      <family val="2"/>
    </font>
    <font>
      <b/>
      <sz val="11"/>
      <color rgb="FF00B050"/>
      <name val="Arial"/>
      <family val="2"/>
    </font>
    <font>
      <sz val="10"/>
      <name val="Arial"/>
      <family val="2"/>
    </font>
    <font>
      <b/>
      <sz val="10"/>
      <name val="Arial"/>
      <family val="2"/>
    </font>
    <font>
      <b/>
      <sz val="10"/>
      <color indexed="10"/>
      <name val="Arial"/>
      <family val="2"/>
    </font>
    <font>
      <sz val="11"/>
      <color rgb="FF1B1C1D"/>
      <name val="Arial"/>
      <family val="2"/>
    </font>
    <font>
      <b/>
      <sz val="11"/>
      <color rgb="FF1B1C1D"/>
      <name val="Arial"/>
      <family val="2"/>
    </font>
    <font>
      <b/>
      <sz val="11"/>
      <name val="Arial"/>
      <family val="2"/>
    </font>
    <font>
      <b/>
      <sz val="11"/>
      <color theme="1"/>
      <name val="Aptos Narrow"/>
      <scheme val="minor"/>
    </font>
    <font>
      <b/>
      <sz val="10"/>
      <color theme="1"/>
      <name val="Aptos Narrow (Body)"/>
    </font>
    <font>
      <sz val="9"/>
      <color theme="1"/>
      <name val="Arial"/>
      <family val="2"/>
    </font>
    <font>
      <b/>
      <sz val="9"/>
      <color theme="1"/>
      <name val="Aptos Narrow"/>
      <scheme val="minor"/>
    </font>
    <font>
      <b/>
      <sz val="11"/>
      <color indexed="8"/>
      <name val="Aptos Narrow"/>
      <scheme val="minor"/>
    </font>
  </fonts>
  <fills count="10">
    <fill>
      <patternFill patternType="none"/>
    </fill>
    <fill>
      <patternFill patternType="gray125"/>
    </fill>
    <fill>
      <patternFill patternType="solid">
        <fgColor theme="4" tint="0.59999389629810485"/>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C00000"/>
        <bgColor indexed="64"/>
      </patternFill>
    </fill>
    <fill>
      <patternFill patternType="solid">
        <fgColor theme="9" tint="0.79998168889431442"/>
        <bgColor indexed="64"/>
      </patternFill>
    </fill>
  </fills>
  <borders count="10">
    <border>
      <left/>
      <right/>
      <top/>
      <bottom/>
      <diagonal/>
    </border>
    <border>
      <left style="dotted">
        <color auto="1"/>
      </left>
      <right style="dotted">
        <color auto="1"/>
      </right>
      <top style="dotted">
        <color auto="1"/>
      </top>
      <bottom style="dotted">
        <color auto="1"/>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thin">
        <color indexed="64"/>
      </bottom>
      <diagonal/>
    </border>
    <border>
      <left/>
      <right style="thin">
        <color auto="1"/>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3" fillId="0" borderId="0"/>
    <xf numFmtId="0" fontId="6" fillId="0" borderId="0"/>
    <xf numFmtId="44" fontId="1" fillId="0" borderId="0" applyFont="0" applyFill="0" applyBorder="0" applyAlignment="0" applyProtection="0"/>
    <xf numFmtId="44" fontId="1" fillId="0" borderId="0" applyFont="0" applyFill="0" applyBorder="0" applyAlignment="0" applyProtection="0"/>
  </cellStyleXfs>
  <cellXfs count="79">
    <xf numFmtId="0" fontId="0" fillId="0" borderId="0" xfId="0"/>
    <xf numFmtId="0" fontId="3" fillId="0" borderId="0" xfId="1"/>
    <xf numFmtId="0" fontId="4" fillId="0" borderId="0" xfId="1" applyFont="1" applyAlignment="1">
      <alignment horizontal="center"/>
    </xf>
    <xf numFmtId="0" fontId="3" fillId="0" borderId="0" xfId="1" applyAlignment="1">
      <alignment horizontal="center"/>
    </xf>
    <xf numFmtId="164" fontId="3" fillId="0" borderId="0" xfId="1" applyNumberFormat="1" applyAlignment="1">
      <alignment horizontal="center"/>
    </xf>
    <xf numFmtId="0" fontId="5" fillId="3" borderId="1" xfId="1" applyFont="1" applyFill="1" applyBorder="1" applyAlignment="1">
      <alignment horizontal="center"/>
    </xf>
    <xf numFmtId="0" fontId="7" fillId="0" borderId="0" xfId="2" applyFont="1" applyAlignment="1">
      <alignment horizontal="center"/>
    </xf>
    <xf numFmtId="0" fontId="7" fillId="0" borderId="3" xfId="2" applyFont="1" applyBorder="1" applyAlignment="1">
      <alignment horizontal="center"/>
    </xf>
    <xf numFmtId="5" fontId="7" fillId="0" borderId="0" xfId="2" applyNumberFormat="1" applyFont="1" applyAlignment="1">
      <alignment horizontal="center"/>
    </xf>
    <xf numFmtId="5" fontId="7" fillId="0" borderId="3" xfId="2" applyNumberFormat="1" applyFont="1" applyBorder="1" applyAlignment="1">
      <alignment horizontal="center"/>
    </xf>
    <xf numFmtId="0" fontId="2" fillId="0" borderId="0" xfId="0" applyFont="1"/>
    <xf numFmtId="0" fontId="2" fillId="0" borderId="4" xfId="0" applyFont="1" applyBorder="1"/>
    <xf numFmtId="0" fontId="2" fillId="0" borderId="4" xfId="0" applyFont="1" applyBorder="1" applyAlignment="1">
      <alignment horizontal="center"/>
    </xf>
    <xf numFmtId="0" fontId="0" fillId="0" borderId="0" xfId="0" applyAlignment="1">
      <alignment horizontal="center"/>
    </xf>
    <xf numFmtId="0" fontId="0" fillId="0" borderId="4" xfId="0" applyBorder="1" applyAlignment="1">
      <alignment horizontal="center"/>
    </xf>
    <xf numFmtId="0" fontId="0" fillId="0" borderId="5" xfId="0" applyBorder="1" applyAlignment="1">
      <alignment horizontal="center"/>
    </xf>
    <xf numFmtId="0" fontId="2" fillId="0" borderId="6" xfId="0" applyFont="1" applyBorder="1"/>
    <xf numFmtId="164" fontId="1" fillId="0" borderId="6" xfId="3" applyNumberFormat="1" applyFont="1" applyFill="1" applyBorder="1" applyAlignment="1">
      <alignment horizontal="center"/>
    </xf>
    <xf numFmtId="0" fontId="0" fillId="3" borderId="0" xfId="0" applyFill="1"/>
    <xf numFmtId="3" fontId="7" fillId="0" borderId="0" xfId="2" applyNumberFormat="1" applyFont="1" applyAlignment="1">
      <alignment horizontal="center"/>
    </xf>
    <xf numFmtId="3" fontId="6" fillId="0" borderId="0" xfId="2" applyNumberFormat="1" applyAlignment="1">
      <alignment horizontal="center"/>
    </xf>
    <xf numFmtId="165" fontId="7" fillId="0" borderId="0" xfId="2" applyNumberFormat="1" applyFont="1" applyAlignment="1">
      <alignment horizontal="center"/>
    </xf>
    <xf numFmtId="165" fontId="7" fillId="0" borderId="3" xfId="2" applyNumberFormat="1" applyFont="1" applyBorder="1" applyAlignment="1">
      <alignment horizontal="center"/>
    </xf>
    <xf numFmtId="165" fontId="8" fillId="0" borderId="2" xfId="2" applyNumberFormat="1" applyFont="1" applyBorder="1" applyAlignment="1">
      <alignment horizontal="center"/>
    </xf>
    <xf numFmtId="165" fontId="8" fillId="0" borderId="7" xfId="2" applyNumberFormat="1" applyFont="1" applyBorder="1" applyAlignment="1">
      <alignment horizontal="center"/>
    </xf>
    <xf numFmtId="0" fontId="7" fillId="0" borderId="0" xfId="0" applyFont="1" applyAlignment="1">
      <alignment horizontal="left"/>
    </xf>
    <xf numFmtId="0" fontId="7" fillId="0" borderId="0" xfId="0" applyFont="1" applyAlignment="1">
      <alignment horizontal="center"/>
    </xf>
    <xf numFmtId="0" fontId="7" fillId="0" borderId="3" xfId="0" applyFont="1" applyBorder="1" applyAlignment="1">
      <alignment horizontal="center"/>
    </xf>
    <xf numFmtId="0" fontId="10" fillId="0" borderId="0" xfId="0" applyFont="1"/>
    <xf numFmtId="0" fontId="9" fillId="0" borderId="0" xfId="0" applyFont="1"/>
    <xf numFmtId="0" fontId="9" fillId="0" borderId="0" xfId="0" applyFont="1" applyAlignment="1">
      <alignment horizontal="center"/>
    </xf>
    <xf numFmtId="0" fontId="12" fillId="0" borderId="0" xfId="0" applyFont="1"/>
    <xf numFmtId="0" fontId="0" fillId="0" borderId="2" xfId="0" applyBorder="1"/>
    <xf numFmtId="0" fontId="14" fillId="0" borderId="0" xfId="1" applyFont="1"/>
    <xf numFmtId="0" fontId="16" fillId="0" borderId="0" xfId="0" applyFont="1"/>
    <xf numFmtId="0" fontId="4" fillId="0" borderId="0" xfId="0" applyFont="1"/>
    <xf numFmtId="0" fontId="3" fillId="0" borderId="0" xfId="0" applyFont="1"/>
    <xf numFmtId="0" fontId="4" fillId="0" borderId="0" xfId="1" applyFont="1" applyAlignment="1">
      <alignment horizontal="center"/>
    </xf>
    <xf numFmtId="0" fontId="4" fillId="0" borderId="0" xfId="1" applyFont="1" applyAlignment="1">
      <alignment horizontal="center" vertical="center" textRotation="255"/>
    </xf>
    <xf numFmtId="0" fontId="0" fillId="4" borderId="0" xfId="0" applyFill="1"/>
    <xf numFmtId="0" fontId="0" fillId="5" borderId="0" xfId="0" applyFill="1"/>
    <xf numFmtId="0" fontId="0" fillId="6" borderId="2" xfId="0" applyFill="1" applyBorder="1" applyAlignment="1">
      <alignment horizontal="center"/>
    </xf>
    <xf numFmtId="0" fontId="0" fillId="6" borderId="2" xfId="0" applyFill="1" applyBorder="1"/>
    <xf numFmtId="0" fontId="0" fillId="0" borderId="2" xfId="0" applyBorder="1" applyAlignment="1">
      <alignment horizontal="center"/>
    </xf>
    <xf numFmtId="0" fontId="0" fillId="6" borderId="8" xfId="0" applyFill="1" applyBorder="1" applyAlignment="1">
      <alignment horizontal="center"/>
    </xf>
    <xf numFmtId="0" fontId="0" fillId="6" borderId="9" xfId="0" applyFill="1" applyBorder="1" applyAlignment="1">
      <alignment horizontal="center"/>
    </xf>
    <xf numFmtId="0" fontId="0" fillId="7" borderId="2" xfId="0" applyFill="1" applyBorder="1" applyAlignment="1">
      <alignment horizontal="center"/>
    </xf>
    <xf numFmtId="0" fontId="0" fillId="7" borderId="2" xfId="0" applyFill="1" applyBorder="1"/>
    <xf numFmtId="0" fontId="0" fillId="8" borderId="8" xfId="0" applyFill="1" applyBorder="1" applyAlignment="1">
      <alignment horizontal="center"/>
    </xf>
    <xf numFmtId="0" fontId="0" fillId="8" borderId="9" xfId="0" applyFill="1" applyBorder="1" applyAlignment="1">
      <alignment horizontal="center"/>
    </xf>
    <xf numFmtId="0" fontId="0" fillId="8" borderId="2" xfId="0" applyFill="1" applyBorder="1"/>
    <xf numFmtId="0" fontId="0" fillId="0" borderId="0" xfId="0" applyFill="1" applyBorder="1"/>
    <xf numFmtId="166" fontId="12" fillId="5" borderId="0" xfId="0" applyNumberFormat="1" applyFont="1" applyFill="1"/>
    <xf numFmtId="0" fontId="6" fillId="0" borderId="0" xfId="2" applyAlignment="1">
      <alignment horizontal="center"/>
    </xf>
    <xf numFmtId="0" fontId="16" fillId="0" borderId="0" xfId="0" applyFont="1" applyAlignment="1">
      <alignment horizontal="center"/>
    </xf>
    <xf numFmtId="44" fontId="0" fillId="5" borderId="0" xfId="4" applyFont="1" applyFill="1" applyAlignment="1">
      <alignment horizontal="center"/>
    </xf>
    <xf numFmtId="0" fontId="7" fillId="0" borderId="0" xfId="2" applyFont="1" applyAlignment="1">
      <alignment horizontal="center" wrapText="1"/>
    </xf>
    <xf numFmtId="0" fontId="0" fillId="0" borderId="0" xfId="0" applyAlignment="1">
      <alignment horizontal="center" wrapText="1"/>
    </xf>
    <xf numFmtId="0" fontId="6" fillId="0" borderId="0" xfId="2" applyAlignment="1">
      <alignment horizontal="center" wrapText="1"/>
    </xf>
    <xf numFmtId="0" fontId="7" fillId="0" borderId="3" xfId="2" applyFont="1" applyBorder="1" applyAlignment="1">
      <alignment horizontal="center" wrapText="1"/>
    </xf>
    <xf numFmtId="5" fontId="7" fillId="0" borderId="0" xfId="2" applyNumberFormat="1" applyFont="1" applyAlignment="1">
      <alignment horizontal="center" wrapText="1"/>
    </xf>
    <xf numFmtId="0" fontId="16" fillId="0" borderId="0" xfId="0" applyFont="1" applyAlignment="1">
      <alignment horizontal="center" wrapText="1"/>
    </xf>
    <xf numFmtId="5" fontId="7" fillId="0" borderId="3" xfId="2" applyNumberFormat="1" applyFont="1" applyBorder="1" applyAlignment="1">
      <alignment horizontal="center" wrapText="1"/>
    </xf>
    <xf numFmtId="5" fontId="0" fillId="0" borderId="0" xfId="0" applyNumberFormat="1" applyAlignment="1">
      <alignment horizontal="center" wrapText="1"/>
    </xf>
    <xf numFmtId="5" fontId="0" fillId="5" borderId="0" xfId="0" applyNumberFormat="1" applyFill="1" applyAlignment="1">
      <alignment horizontal="center" wrapText="1"/>
    </xf>
    <xf numFmtId="0" fontId="15" fillId="0" borderId="0" xfId="0" applyFont="1" applyAlignment="1">
      <alignment horizontal="center" wrapText="1"/>
    </xf>
    <xf numFmtId="0" fontId="12" fillId="0" borderId="2" xfId="0" applyFont="1" applyBorder="1"/>
    <xf numFmtId="0" fontId="2" fillId="0" borderId="2" xfId="0" applyFont="1" applyBorder="1"/>
    <xf numFmtId="0" fontId="13" fillId="0" borderId="2" xfId="0" applyFont="1" applyBorder="1"/>
    <xf numFmtId="0" fontId="0" fillId="4" borderId="2" xfId="0" applyFill="1" applyBorder="1"/>
    <xf numFmtId="0" fontId="0" fillId="5" borderId="2" xfId="0" applyFill="1" applyBorder="1"/>
    <xf numFmtId="0" fontId="0" fillId="2" borderId="2" xfId="0" applyFill="1" applyBorder="1"/>
    <xf numFmtId="0" fontId="10" fillId="0" borderId="2" xfId="0" applyFont="1" applyBorder="1"/>
    <xf numFmtId="0" fontId="9" fillId="0" borderId="2" xfId="0" applyFont="1" applyBorder="1"/>
    <xf numFmtId="0" fontId="9" fillId="0" borderId="2" xfId="0" applyFont="1" applyBorder="1" applyAlignment="1">
      <alignment horizontal="center"/>
    </xf>
    <xf numFmtId="0" fontId="10" fillId="4" borderId="2" xfId="0" applyFont="1" applyFill="1" applyBorder="1"/>
    <xf numFmtId="0" fontId="11" fillId="6" borderId="2" xfId="0" applyFont="1" applyFill="1" applyBorder="1"/>
    <xf numFmtId="0" fontId="10" fillId="9" borderId="2" xfId="0" applyFont="1" applyFill="1" applyBorder="1"/>
    <xf numFmtId="0" fontId="11" fillId="5" borderId="2" xfId="0" applyFont="1" applyFill="1" applyBorder="1"/>
  </cellXfs>
  <cellStyles count="5">
    <cellStyle name="Currency" xfId="4" builtinId="4"/>
    <cellStyle name="Currency 2" xfId="3" xr:uid="{90F979CA-8C2C-4306-8283-6A54E50A9FB6}"/>
    <cellStyle name="Normal" xfId="0" builtinId="0"/>
    <cellStyle name="Normal 2" xfId="1" xr:uid="{A477F1FC-CDCC-4C39-84C9-C3205DB14FB6}"/>
    <cellStyle name="Normal 3" xfId="2" xr:uid="{3443E72B-BC34-4732-9FFD-A91F956737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161924</xdr:rowOff>
    </xdr:from>
    <xdr:to>
      <xdr:col>6</xdr:col>
      <xdr:colOff>581025</xdr:colOff>
      <xdr:row>23</xdr:row>
      <xdr:rowOff>19049</xdr:rowOff>
    </xdr:to>
    <xdr:sp macro="" textlink="">
      <xdr:nvSpPr>
        <xdr:cNvPr id="2" name="TextBox 1">
          <a:extLst>
            <a:ext uri="{FF2B5EF4-FFF2-40B4-BE49-F238E27FC236}">
              <a16:creationId xmlns:a16="http://schemas.microsoft.com/office/drawing/2014/main" id="{F1D92B6F-7209-D33D-1906-F2A04A64B425}"/>
            </a:ext>
          </a:extLst>
        </xdr:cNvPr>
        <xdr:cNvSpPr txBox="1"/>
      </xdr:nvSpPr>
      <xdr:spPr>
        <a:xfrm>
          <a:off x="0" y="552449"/>
          <a:ext cx="4238625" cy="3857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Garden City Beach is a popular summer vacation destination for thousands of people. Each summer, the city hires temporary lifeguards to ensure the safety of the vacationing public. Garden City’s lifeguards are assigned to work five consecutive days each week and then have two days off. However, the city’s insurance company requires them to have at least the following number of lifeguards on duty each day of the week:</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 city manager would like to determine the minimum number of lifeguards that will have to be hired.</a:t>
          </a:r>
        </a:p>
        <a:p>
          <a:r>
            <a:rPr lang="en-US" sz="1100" b="0" i="0">
              <a:solidFill>
                <a:schemeClr val="dk1"/>
              </a:solidFill>
              <a:effectLst/>
              <a:latin typeface="+mn-lt"/>
              <a:ea typeface="+mn-ea"/>
              <a:cs typeface="+mn-cs"/>
            </a:rPr>
            <a:t>Formulate an ILP for this problem.</a:t>
          </a:r>
        </a:p>
        <a:p>
          <a:r>
            <a:rPr lang="en-US" sz="1100" b="0" i="0">
              <a:solidFill>
                <a:schemeClr val="dk1"/>
              </a:solidFill>
              <a:effectLst/>
              <a:latin typeface="+mn-lt"/>
              <a:ea typeface="+mn-ea"/>
              <a:cs typeface="+mn-cs"/>
            </a:rPr>
            <a:t>Implement your model in a spreadsheet and solve it.</a:t>
          </a:r>
        </a:p>
        <a:p>
          <a:r>
            <a:rPr lang="en-US" sz="1100" b="0" i="0">
              <a:solidFill>
                <a:schemeClr val="dk1"/>
              </a:solidFill>
              <a:effectLst/>
              <a:latin typeface="+mn-lt"/>
              <a:ea typeface="+mn-ea"/>
              <a:cs typeface="+mn-cs"/>
            </a:rPr>
            <a:t>What is the optimal solution?</a:t>
          </a:r>
        </a:p>
        <a:p>
          <a:r>
            <a:rPr lang="en-US" sz="1100" b="0" i="0">
              <a:solidFill>
                <a:schemeClr val="dk1"/>
              </a:solidFill>
              <a:effectLst/>
              <a:latin typeface="+mn-lt"/>
              <a:ea typeface="+mn-ea"/>
              <a:cs typeface="+mn-cs"/>
            </a:rPr>
            <a:t>Several lifeguards have expressed a preference to be off on Saturdays and Sundays. What is the maximum number of lifeguards that can be off on the weekend without increasing the total number of life guards required?</a:t>
          </a:r>
        </a:p>
        <a:p>
          <a:pPr marL="0" marR="0" lvl="0" indent="0" defTabSz="914400" eaLnBrk="1" fontAlgn="auto" latinLnBrk="0" hangingPunct="1">
            <a:lnSpc>
              <a:spcPct val="100000"/>
            </a:lnSpc>
            <a:spcBef>
              <a:spcPts val="0"/>
            </a:spcBef>
            <a:spcAft>
              <a:spcPts val="0"/>
            </a:spcAft>
            <a:buClrTx/>
            <a:buSzTx/>
            <a:buFontTx/>
            <a:buNone/>
            <a:tabLst/>
            <a:defRPr/>
          </a:pPr>
          <a:br>
            <a:rPr lang="en-US" sz="1100"/>
          </a:br>
          <a:r>
            <a:rPr lang="en-US" sz="1100"/>
            <a:t> MIN X1+X2+X3+X4+X5+X6+X7</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161924</xdr:rowOff>
    </xdr:from>
    <xdr:to>
      <xdr:col>6</xdr:col>
      <xdr:colOff>581025</xdr:colOff>
      <xdr:row>23</xdr:row>
      <xdr:rowOff>19049</xdr:rowOff>
    </xdr:to>
    <xdr:sp macro="" textlink="">
      <xdr:nvSpPr>
        <xdr:cNvPr id="2" name="TextBox 1">
          <a:extLst>
            <a:ext uri="{FF2B5EF4-FFF2-40B4-BE49-F238E27FC236}">
              <a16:creationId xmlns:a16="http://schemas.microsoft.com/office/drawing/2014/main" id="{4C6D076B-8F20-2147-9EAD-37512DAA6384}"/>
            </a:ext>
          </a:extLst>
        </xdr:cNvPr>
        <xdr:cNvSpPr txBox="1"/>
      </xdr:nvSpPr>
      <xdr:spPr>
        <a:xfrm>
          <a:off x="0" y="555624"/>
          <a:ext cx="4619625" cy="3857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Garden City Beach is a popular summer vacation destination for thousands of people. Each summer, the city hires temporary lifeguards to ensure the safety of the vacationing public. Garden City’s lifeguards are assigned to work five consecutive days each week and then have two days off. However, the city’s insurance company requires them to have at least the following number of lifeguards on duty each day of the week:</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 city manager would like to determine the minimum number of lifeguards that will have to be hired.</a:t>
          </a:r>
        </a:p>
        <a:p>
          <a:r>
            <a:rPr lang="en-US" sz="1100" b="0" i="0">
              <a:solidFill>
                <a:schemeClr val="dk1"/>
              </a:solidFill>
              <a:effectLst/>
              <a:latin typeface="+mn-lt"/>
              <a:ea typeface="+mn-ea"/>
              <a:cs typeface="+mn-cs"/>
            </a:rPr>
            <a:t>Formulate an ILP for this problem.</a:t>
          </a:r>
        </a:p>
        <a:p>
          <a:r>
            <a:rPr lang="en-US" sz="1100" b="0" i="0">
              <a:solidFill>
                <a:schemeClr val="dk1"/>
              </a:solidFill>
              <a:effectLst/>
              <a:latin typeface="+mn-lt"/>
              <a:ea typeface="+mn-ea"/>
              <a:cs typeface="+mn-cs"/>
            </a:rPr>
            <a:t>Implement your model in a spreadsheet and solve it.</a:t>
          </a:r>
        </a:p>
        <a:p>
          <a:r>
            <a:rPr lang="en-US" sz="1100" b="0" i="0">
              <a:solidFill>
                <a:schemeClr val="dk1"/>
              </a:solidFill>
              <a:effectLst/>
              <a:latin typeface="+mn-lt"/>
              <a:ea typeface="+mn-ea"/>
              <a:cs typeface="+mn-cs"/>
            </a:rPr>
            <a:t>What is the optimal solution?</a:t>
          </a:r>
        </a:p>
        <a:p>
          <a:r>
            <a:rPr lang="en-US" sz="1100" b="0" i="0">
              <a:solidFill>
                <a:schemeClr val="dk1"/>
              </a:solidFill>
              <a:effectLst/>
              <a:latin typeface="+mn-lt"/>
              <a:ea typeface="+mn-ea"/>
              <a:cs typeface="+mn-cs"/>
            </a:rPr>
            <a:t>Several lifeguards have expressed a preference to be off on Saturdays and Sundays. What is the maximum number of lifeguards that can be off on the weekend without increasing the total number of life guards required?</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t>MIN X1+X2+X3+X4+X5+X6+X7</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519642</xdr:colOff>
      <xdr:row>0</xdr:row>
      <xdr:rowOff>162983</xdr:rowOff>
    </xdr:from>
    <xdr:to>
      <xdr:col>15</xdr:col>
      <xdr:colOff>672041</xdr:colOff>
      <xdr:row>17</xdr:row>
      <xdr:rowOff>186266</xdr:rowOff>
    </xdr:to>
    <xdr:sp macro="" textlink="">
      <xdr:nvSpPr>
        <xdr:cNvPr id="2" name="TextBox 1">
          <a:extLst>
            <a:ext uri="{FF2B5EF4-FFF2-40B4-BE49-F238E27FC236}">
              <a16:creationId xmlns:a16="http://schemas.microsoft.com/office/drawing/2014/main" id="{EC1E06DB-3498-5CAD-F3DE-76F8F04585A9}"/>
            </a:ext>
          </a:extLst>
        </xdr:cNvPr>
        <xdr:cNvSpPr txBox="1"/>
      </xdr:nvSpPr>
      <xdr:spPr>
        <a:xfrm>
          <a:off x="6056842" y="162983"/>
          <a:ext cx="5571066" cy="3333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Sue, a young</a:t>
          </a:r>
          <a:r>
            <a:rPr lang="en-US" sz="1100" baseline="0"/>
            <a:t> entrepreneur realized that she can buy certain items at a close out sale and then sell them online at a higher price.  Since they  only allow you to  carry a knapsack to the close out sale, the purchases cannot exceed a weight of 5,000 grams.  Once  home she can sell the items online.  The most popular items are jeans, t-shirts, classic CDs and CD players (no one has them anymore).  </a:t>
          </a:r>
          <a:br>
            <a:rPr lang="en-US" sz="1100" baseline="0"/>
          </a:br>
          <a:r>
            <a:rPr lang="en-US" sz="1100" baseline="0"/>
            <a:t>If  Sue buys any CD players ,she need to purchase twice as many CDs as CD players.</a:t>
          </a:r>
        </a:p>
        <a:p>
          <a:r>
            <a:rPr lang="en-US" sz="1100" baseline="0"/>
            <a:t>About half of her customers want t-shirts with their jeans so she needs to satisfy this demand. I (tshirts &gt;= .5 Jeans)  Sue limits the number of CD players she carries to 3.  The weight and profit of these items are given.  </a:t>
          </a:r>
          <a:br>
            <a:rPr lang="en-US" sz="1100" baseline="0"/>
          </a:br>
          <a:r>
            <a:rPr lang="en-US" sz="1100" baseline="0"/>
            <a:t>Formulate and solve the LP.  (FYI - this is a version of the classic "knapsack problem".)</a:t>
          </a:r>
          <a:br>
            <a:rPr lang="en-US" sz="1100" baseline="0"/>
          </a:br>
          <a:br>
            <a:rPr lang="en-US" sz="1100" baseline="0"/>
          </a:br>
          <a:r>
            <a:rPr lang="en-US" sz="1100"/>
            <a:t>MAX</a:t>
          </a:r>
          <a:r>
            <a:rPr lang="en-US" sz="1100" baseline="0"/>
            <a:t> 20X1+ 12.5X2 + 15X3 + 7.5X4</a:t>
          </a:r>
        </a:p>
        <a:p>
          <a:r>
            <a:rPr lang="en-US" sz="1100" baseline="0"/>
            <a:t>ST</a:t>
          </a:r>
        </a:p>
        <a:p>
          <a:r>
            <a:rPr lang="en-US" sz="1100" baseline="0"/>
            <a:t>1500X1 + 500X2 + 900X3 + 250X4 &lt;= 5000 (weight)</a:t>
          </a:r>
        </a:p>
        <a:p>
          <a:r>
            <a:rPr lang="en-US" sz="1100" baseline="0"/>
            <a:t> 2X3 - 2X4 = 0 (Twice CDs to CD Players) </a:t>
          </a:r>
        </a:p>
        <a:p>
          <a:r>
            <a:rPr lang="en-US" sz="1100" baseline="0"/>
            <a:t>-0.5X1 + X2 &gt;= 0 (Jeans/tshirt demand)</a:t>
          </a:r>
        </a:p>
        <a:p>
          <a:r>
            <a:rPr lang="en-US" sz="1100"/>
            <a:t>X4 &lt;=</a:t>
          </a:r>
          <a:r>
            <a:rPr lang="en-US" sz="1100" baseline="0"/>
            <a:t> 3 (3 CD Players)</a:t>
          </a:r>
        </a:p>
        <a:p>
          <a:r>
            <a:rPr lang="en-US" sz="1100" baseline="0"/>
            <a:t> </a:t>
          </a:r>
        </a:p>
        <a:p>
          <a:r>
            <a:rPr lang="en-US" sz="1100" baseline="0"/>
            <a:t>non-negativity: X1, X2, X3, X4 &gt;= 0</a:t>
          </a:r>
          <a:endParaRPr lang="en-US" sz="1100"/>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102412</xdr:colOff>
      <xdr:row>1</xdr:row>
      <xdr:rowOff>111641</xdr:rowOff>
    </xdr:from>
    <xdr:to>
      <xdr:col>23</xdr:col>
      <xdr:colOff>499583</xdr:colOff>
      <xdr:row>26</xdr:row>
      <xdr:rowOff>102972</xdr:rowOff>
    </xdr:to>
    <xdr:sp macro="" textlink="">
      <xdr:nvSpPr>
        <xdr:cNvPr id="2" name="TextBox 1">
          <a:extLst>
            <a:ext uri="{FF2B5EF4-FFF2-40B4-BE49-F238E27FC236}">
              <a16:creationId xmlns:a16="http://schemas.microsoft.com/office/drawing/2014/main" id="{99DFB2E2-7900-2380-CE3F-58ED79D1C48C}"/>
            </a:ext>
          </a:extLst>
        </xdr:cNvPr>
        <xdr:cNvSpPr txBox="1"/>
      </xdr:nvSpPr>
      <xdr:spPr>
        <a:xfrm>
          <a:off x="8877998" y="306146"/>
          <a:ext cx="7147621" cy="48539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Enrique Brava is responsible for upgrading the wireless network for his employer. He has identified seven possible locations to install new nodes for the network. Each node can provide service to different regions within his employer’s corporate campus. The cost of installing each node and the regions that can be served by each node are summarized below.</a:t>
          </a:r>
        </a:p>
        <a:p>
          <a:r>
            <a:rPr lang="en-US" sz="1100" b="0" i="0">
              <a:solidFill>
                <a:schemeClr val="dk1"/>
              </a:solidFill>
              <a:effectLst/>
              <a:latin typeface="+mn-lt"/>
              <a:ea typeface="+mn-ea"/>
              <a:cs typeface="+mn-cs"/>
            </a:rPr>
            <a:t>Node 1: Regions 1, 2, 5; Cost $700</a:t>
          </a:r>
        </a:p>
        <a:p>
          <a:r>
            <a:rPr lang="en-US" sz="1100" b="0" i="0">
              <a:solidFill>
                <a:schemeClr val="dk1"/>
              </a:solidFill>
              <a:effectLst/>
              <a:latin typeface="+mn-lt"/>
              <a:ea typeface="+mn-ea"/>
              <a:cs typeface="+mn-cs"/>
            </a:rPr>
            <a:t>Node 2: Regions 3, 6, 7; Cost $600</a:t>
          </a:r>
        </a:p>
        <a:p>
          <a:r>
            <a:rPr lang="en-US" sz="1100" b="0" i="0">
              <a:solidFill>
                <a:schemeClr val="dk1"/>
              </a:solidFill>
              <a:effectLst/>
              <a:latin typeface="+mn-lt"/>
              <a:ea typeface="+mn-ea"/>
              <a:cs typeface="+mn-cs"/>
            </a:rPr>
            <a:t>Node 3: Regions 2, 3, 7, 9; Cost $900</a:t>
          </a:r>
        </a:p>
        <a:p>
          <a:r>
            <a:rPr lang="en-US" sz="1100" b="0" i="0">
              <a:solidFill>
                <a:schemeClr val="dk1"/>
              </a:solidFill>
              <a:effectLst/>
              <a:latin typeface="+mn-lt"/>
              <a:ea typeface="+mn-ea"/>
              <a:cs typeface="+mn-cs"/>
            </a:rPr>
            <a:t>Node 4: Regions 1, 3, 6, 10; Cost $1,250</a:t>
          </a:r>
        </a:p>
        <a:p>
          <a:r>
            <a:rPr lang="en-US" sz="1100" b="0" i="0">
              <a:solidFill>
                <a:schemeClr val="dk1"/>
              </a:solidFill>
              <a:effectLst/>
              <a:latin typeface="+mn-lt"/>
              <a:ea typeface="+mn-ea"/>
              <a:cs typeface="+mn-cs"/>
            </a:rPr>
            <a:t>Node 5: Regions 2, 4, 6, 8; Cost $850</a:t>
          </a:r>
        </a:p>
        <a:p>
          <a:r>
            <a:rPr lang="en-US" sz="1100" b="0" i="0">
              <a:solidFill>
                <a:schemeClr val="dk1"/>
              </a:solidFill>
              <a:effectLst/>
              <a:latin typeface="+mn-lt"/>
              <a:ea typeface="+mn-ea"/>
              <a:cs typeface="+mn-cs"/>
            </a:rPr>
            <a:t>Node 6: Regions 4, 5, 8, 10; Cost $1,000</a:t>
          </a:r>
        </a:p>
        <a:p>
          <a:r>
            <a:rPr lang="en-US" sz="1100" b="0" i="0">
              <a:solidFill>
                <a:schemeClr val="dk1"/>
              </a:solidFill>
              <a:effectLst/>
              <a:latin typeface="+mn-lt"/>
              <a:ea typeface="+mn-ea"/>
              <a:cs typeface="+mn-cs"/>
            </a:rPr>
            <a:t>Node 7: Regions 1, 5, 7, 8, 9; Cost $100</a:t>
          </a:r>
        </a:p>
        <a:p>
          <a:r>
            <a:rPr lang="en-US" sz="1100" b="0" i="0">
              <a:solidFill>
                <a:schemeClr val="dk1"/>
              </a:solidFill>
              <a:effectLst/>
              <a:latin typeface="+mn-lt"/>
              <a:ea typeface="+mn-ea"/>
              <a:cs typeface="+mn-cs"/>
            </a:rPr>
            <a:t>Formulate an ILP for this problem.  Determine what nodes should be selected such that all regions are covered.</a:t>
          </a:r>
        </a:p>
        <a:p>
          <a:r>
            <a:rPr lang="en-US" sz="1100" b="0" i="0">
              <a:solidFill>
                <a:schemeClr val="dk1"/>
              </a:solidFill>
              <a:effectLst/>
              <a:latin typeface="+mn-lt"/>
              <a:ea typeface="+mn-ea"/>
              <a:cs typeface="+mn-cs"/>
            </a:rPr>
            <a:t>Implement your model in a spreadsheet and solve it.</a:t>
          </a:r>
        </a:p>
        <a:p>
          <a:r>
            <a:rPr lang="en-US" sz="1100" b="0" i="0">
              <a:solidFill>
                <a:schemeClr val="dk1"/>
              </a:solidFill>
              <a:effectLst/>
              <a:latin typeface="+mn-lt"/>
              <a:ea typeface="+mn-ea"/>
              <a:cs typeface="+mn-cs"/>
            </a:rPr>
            <a:t>What is the optimal solution?</a:t>
          </a:r>
        </a:p>
        <a:p>
          <a:br>
            <a:rPr lang="en-US" sz="1100"/>
          </a:br>
          <a:br>
            <a:rPr lang="en-US" sz="1100"/>
          </a:br>
          <a:r>
            <a:rPr lang="en-US" sz="1100"/>
            <a:t>LP</a:t>
          </a:r>
        </a:p>
        <a:p>
          <a:r>
            <a:rPr lang="en-US" sz="1100"/>
            <a:t>MIN: 700X1 + 600X2 + 900X3 + 1250X4 + 850X5 + 1000X6 + 100X7</a:t>
          </a:r>
        </a:p>
        <a:p>
          <a:endParaRPr lang="en-US" sz="1100"/>
        </a:p>
        <a:p>
          <a:r>
            <a:rPr lang="en-US" sz="1100"/>
            <a:t>ST </a:t>
          </a:r>
        </a:p>
        <a:p>
          <a:r>
            <a:rPr lang="en-US" sz="1100"/>
            <a:t>Region 1: covered by nodes:</a:t>
          </a:r>
          <a:r>
            <a:rPr lang="en-US" sz="1100" baseline="0"/>
            <a:t> 1,4,7 -&gt; x1+x4+x7 &gt;=1</a:t>
          </a:r>
        </a:p>
        <a:p>
          <a:r>
            <a:rPr lang="en-US" sz="1100" baseline="0"/>
            <a:t>Region 2: 1, 3, 5 -&gt; x1 + x3+x5 &gt;=1</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Region 3:  2,3,4 -&gt; x2 + x3+ x4 &gt;=1</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Region 4: 5,6 -&gt; x5 + x6 &gt;= 1</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Region 5: 1, 6,7 -&gt; x1+x6+x7 &gt;= 1</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Region 6: 2, 4, 5 -&gt; x2 + x4 + x5 &gt;=1</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Region 7: 2,3,7 -&gt; x2+x3+x7 &gt;=1</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Region 8: 5,6,7 -&gt; x5+x6+x7 &gt;=1</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Region 9: 3,7 -&gt; x3+x7 &gt;= 1</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Region 10: 4, 6 -&gt; x4+x6 &gt;=1</a:t>
          </a:r>
        </a:p>
        <a:p>
          <a:endParaRPr lang="en-US" sz="1100"/>
        </a:p>
      </xdr:txBody>
    </xdr:sp>
    <xdr:clientData/>
  </xdr:twoCellAnchor>
  <xdr:twoCellAnchor>
    <xdr:from>
      <xdr:col>4</xdr:col>
      <xdr:colOff>533400</xdr:colOff>
      <xdr:row>0</xdr:row>
      <xdr:rowOff>76199</xdr:rowOff>
    </xdr:from>
    <xdr:to>
      <xdr:col>8</xdr:col>
      <xdr:colOff>95250</xdr:colOff>
      <xdr:row>2</xdr:row>
      <xdr:rowOff>85724</xdr:rowOff>
    </xdr:to>
    <xdr:sp macro="" textlink="">
      <xdr:nvSpPr>
        <xdr:cNvPr id="3" name="Text 1">
          <a:extLst>
            <a:ext uri="{FF2B5EF4-FFF2-40B4-BE49-F238E27FC236}">
              <a16:creationId xmlns:a16="http://schemas.microsoft.com/office/drawing/2014/main" id="{F677F05F-114C-4F4D-B491-0035850BAC73}"/>
            </a:ext>
          </a:extLst>
        </xdr:cNvPr>
        <xdr:cNvSpPr>
          <a:spLocks noChangeArrowheads="1"/>
        </xdr:cNvSpPr>
      </xdr:nvSpPr>
      <xdr:spPr bwMode="auto">
        <a:xfrm>
          <a:off x="2638425" y="76199"/>
          <a:ext cx="2000250" cy="371475"/>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9525">
          <a:solidFill>
            <a:srgbClr xmlns:mc="http://schemas.openxmlformats.org/markup-compatibility/2006" xmlns:a14="http://schemas.microsoft.com/office/drawing/2010/main" val="000000" mc:Ignorable="a14" a14:legacySpreadsheetColorIndex="64"/>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Wireless Network</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212120</xdr:colOff>
      <xdr:row>1</xdr:row>
      <xdr:rowOff>36285</xdr:rowOff>
    </xdr:from>
    <xdr:to>
      <xdr:col>15</xdr:col>
      <xdr:colOff>374045</xdr:colOff>
      <xdr:row>21</xdr:row>
      <xdr:rowOff>42334</xdr:rowOff>
    </xdr:to>
    <xdr:sp macro="" textlink="">
      <xdr:nvSpPr>
        <xdr:cNvPr id="2" name="TextBox 1">
          <a:extLst>
            <a:ext uri="{FF2B5EF4-FFF2-40B4-BE49-F238E27FC236}">
              <a16:creationId xmlns:a16="http://schemas.microsoft.com/office/drawing/2014/main" id="{246AD3AA-70E3-6A92-5AC4-BEE02EA53CFD}"/>
            </a:ext>
          </a:extLst>
        </xdr:cNvPr>
        <xdr:cNvSpPr txBox="1"/>
      </xdr:nvSpPr>
      <xdr:spPr>
        <a:xfrm>
          <a:off x="6587520" y="231018"/>
          <a:ext cx="4225925" cy="39176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 developer of video game software has seven proposals for new games. Unfortunately, the company cannot develop all the proposals because its budget for new projects is limited to $950,000 and it has only 20 programmers to assign to new projects. The financial requirements, returns, and the number of programmers required by each project are summarized in the following table. Projects 2 and 6 require specialized programming knowledge that only one of the programmers has. Both of these projects cannot be selected because the programmer with the necessary skills can be assigned to only one of the projects. (Note: All dollar amounts represent thousands.)</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a:t>MAX: 650X1 + 550X2 + 600X3+</a:t>
          </a:r>
          <a:r>
            <a:rPr lang="en-US" sz="1100" baseline="0"/>
            <a:t> 450X4 + 375X5 + 525X6 + 750X7</a:t>
          </a:r>
        </a:p>
        <a:p>
          <a:r>
            <a:rPr lang="en-US" sz="1100" baseline="0"/>
            <a:t>ST</a:t>
          </a:r>
        </a:p>
        <a:p>
          <a:r>
            <a:rPr lang="en-US" sz="1100" baseline="0"/>
            <a:t>250X1 + 175X2 + 300X3 + 150X4 + 145X5 + 160X6 + 325X7 &lt;= 950 </a:t>
          </a:r>
        </a:p>
        <a:p>
          <a:r>
            <a:rPr lang="en-US" sz="1100" baseline="0"/>
            <a:t>Budget.</a:t>
          </a:r>
        </a:p>
        <a:p>
          <a:r>
            <a:rPr lang="en-US" sz="1100" baseline="0"/>
            <a:t> </a:t>
          </a:r>
        </a:p>
        <a:p>
          <a:r>
            <a:rPr lang="en-US" sz="1100" baseline="0"/>
            <a:t>7X1 + 6X2 + 9X3 + 5X4 + 6X5 + 4X6 + 8X7 &lt;= 20 (Programmers)</a:t>
          </a:r>
        </a:p>
        <a:p>
          <a:endParaRPr lang="en-US" sz="1100" baseline="0"/>
        </a:p>
        <a:p>
          <a:r>
            <a:rPr lang="en-US" sz="1100" baseline="0"/>
            <a:t>X2 + X6 &lt;= 1 -&gt; Binary.</a:t>
          </a:r>
        </a:p>
        <a:p>
          <a:endParaRPr lang="en-US" sz="1100"/>
        </a:p>
      </xdr:txBody>
    </xdr:sp>
    <xdr:clientData/>
  </xdr:twoCellAnchor>
  <xdr:twoCellAnchor>
    <xdr:from>
      <xdr:col>2</xdr:col>
      <xdr:colOff>352425</xdr:colOff>
      <xdr:row>0</xdr:row>
      <xdr:rowOff>47625</xdr:rowOff>
    </xdr:from>
    <xdr:to>
      <xdr:col>5</xdr:col>
      <xdr:colOff>228600</xdr:colOff>
      <xdr:row>1</xdr:row>
      <xdr:rowOff>152400</xdr:rowOff>
    </xdr:to>
    <xdr:sp macro="" textlink="">
      <xdr:nvSpPr>
        <xdr:cNvPr id="3" name="Text 3">
          <a:extLst>
            <a:ext uri="{FF2B5EF4-FFF2-40B4-BE49-F238E27FC236}">
              <a16:creationId xmlns:a16="http://schemas.microsoft.com/office/drawing/2014/main" id="{194C615B-9D07-4963-B59A-3AAC95EF9EB4}"/>
            </a:ext>
          </a:extLst>
        </xdr:cNvPr>
        <xdr:cNvSpPr>
          <a:spLocks noChangeArrowheads="1"/>
        </xdr:cNvSpPr>
      </xdr:nvSpPr>
      <xdr:spPr bwMode="auto">
        <a:xfrm>
          <a:off x="1571625" y="47625"/>
          <a:ext cx="2047875" cy="266700"/>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1">
          <a:solidFill>
            <a:srgbClr xmlns:mc="http://schemas.openxmlformats.org/markup-compatibility/2006" xmlns:a14="http://schemas.microsoft.com/office/drawing/2010/main" val="000000" mc:Ignorable="a14" a14:legacySpreadsheetColorIndex="8"/>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Video Game Development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66674</xdr:colOff>
      <xdr:row>26</xdr:row>
      <xdr:rowOff>161926</xdr:rowOff>
    </xdr:from>
    <xdr:to>
      <xdr:col>13</xdr:col>
      <xdr:colOff>190499</xdr:colOff>
      <xdr:row>36</xdr:row>
      <xdr:rowOff>54623</xdr:rowOff>
    </xdr:to>
    <xdr:sp macro="" textlink="">
      <xdr:nvSpPr>
        <xdr:cNvPr id="2" name="TextBox 1">
          <a:extLst>
            <a:ext uri="{FF2B5EF4-FFF2-40B4-BE49-F238E27FC236}">
              <a16:creationId xmlns:a16="http://schemas.microsoft.com/office/drawing/2014/main" id="{ABCF10F5-E638-1072-DC8A-6A95B60CD0CB}"/>
            </a:ext>
          </a:extLst>
        </xdr:cNvPr>
        <xdr:cNvSpPr txBox="1"/>
      </xdr:nvSpPr>
      <xdr:spPr>
        <a:xfrm>
          <a:off x="66674" y="5132679"/>
          <a:ext cx="8167158" cy="1804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GLMH Shipping is a start-up company that plans to offer same-day shipping services between 20 major cities in the United States. In order to provide this service, GLMH needs to build hubs at airports in several of these cities. GLMH wants to select hub locations in a way that ensures each of the 20 cities is within 500 miles of at least one of the hub locations. The</a:t>
          </a:r>
          <a:r>
            <a:rPr lang="en-US" sz="1100" b="0" i="0" baseline="0">
              <a:solidFill>
                <a:schemeClr val="dk1"/>
              </a:solidFill>
              <a:effectLst/>
              <a:latin typeface="+mn-lt"/>
              <a:ea typeface="+mn-ea"/>
              <a:cs typeface="+mn-cs"/>
            </a:rPr>
            <a:t> miles sheet</a:t>
          </a:r>
          <a:r>
            <a:rPr lang="en-US" sz="1100" b="0" i="0">
              <a:solidFill>
                <a:schemeClr val="dk1"/>
              </a:solidFill>
              <a:effectLst/>
              <a:latin typeface="+mn-lt"/>
              <a:ea typeface="+mn-ea"/>
              <a:cs typeface="+mn-cs"/>
            </a:rPr>
            <a:t> has a matrix summarizing the distances in miles between each of the cities. The data above the estimated cost of establishing a hub in each city.  Create a spreadsheet model to determine where hubs should be located in order to achieve GLMH’s objectives in the most cost-effective manner.</a:t>
          </a:r>
        </a:p>
        <a:p>
          <a:r>
            <a:rPr lang="en-US" sz="1100" b="0" i="0">
              <a:solidFill>
                <a:schemeClr val="dk1"/>
              </a:solidFill>
              <a:effectLst/>
              <a:latin typeface="+mn-lt"/>
              <a:ea typeface="+mn-ea"/>
              <a:cs typeface="+mn-cs"/>
            </a:rPr>
            <a:t>In what cities should GLMH create hubs and what is the total cost of this plan?</a:t>
          </a:r>
        </a:p>
        <a:p>
          <a:r>
            <a:rPr lang="en-US" sz="1100" b="0" i="0">
              <a:solidFill>
                <a:schemeClr val="dk1"/>
              </a:solidFill>
              <a:effectLst/>
              <a:latin typeface="+mn-lt"/>
              <a:ea typeface="+mn-ea"/>
              <a:cs typeface="+mn-cs"/>
            </a:rPr>
            <a:t>HInt:  Look at the each hub and determine which airports</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are within</a:t>
          </a:r>
          <a:r>
            <a:rPr lang="en-US" sz="1100" b="0" i="0" baseline="0">
              <a:solidFill>
                <a:schemeClr val="dk1"/>
              </a:solidFill>
              <a:effectLst/>
              <a:latin typeface="+mn-lt"/>
              <a:ea typeface="+mn-ea"/>
              <a:cs typeface="+mn-cs"/>
            </a:rPr>
            <a:t> 500 miles.  This is similar to a scheduling problem.   (I decided to give these values to you)</a:t>
          </a:r>
          <a:endParaRPr lang="en-US" sz="1100" b="0" i="0">
            <a:solidFill>
              <a:schemeClr val="dk1"/>
            </a:solidFill>
            <a:effectLst/>
            <a:latin typeface="+mn-lt"/>
            <a:ea typeface="+mn-ea"/>
            <a:cs typeface="+mn-cs"/>
          </a:endParaRPr>
        </a:p>
        <a:p>
          <a:endParaRPr lang="en-US" sz="1100"/>
        </a:p>
      </xdr:txBody>
    </xdr:sp>
    <xdr:clientData/>
  </xdr:twoCellAnchor>
  <xdr:twoCellAnchor>
    <xdr:from>
      <xdr:col>3</xdr:col>
      <xdr:colOff>645584</xdr:colOff>
      <xdr:row>7</xdr:row>
      <xdr:rowOff>127000</xdr:rowOff>
    </xdr:from>
    <xdr:to>
      <xdr:col>7</xdr:col>
      <xdr:colOff>285751</xdr:colOff>
      <xdr:row>11</xdr:row>
      <xdr:rowOff>148167</xdr:rowOff>
    </xdr:to>
    <xdr:sp macro="" textlink="">
      <xdr:nvSpPr>
        <xdr:cNvPr id="3" name="Note" hidden="1">
          <a:extLst>
            <a:ext uri="{FF2B5EF4-FFF2-40B4-BE49-F238E27FC236}">
              <a16:creationId xmlns:a16="http://schemas.microsoft.com/office/drawing/2014/main" id="{B185030D-009F-41B6-96A2-E06D763C2980}"/>
            </a:ext>
          </a:extLst>
        </xdr:cNvPr>
        <xdr:cNvSpPr txBox="1"/>
      </xdr:nvSpPr>
      <xdr:spPr>
        <a:xfrm>
          <a:off x="3026834" y="1460500"/>
          <a:ext cx="2126192" cy="783167"/>
        </a:xfrm>
        <a:prstGeom prst="rect">
          <a:avLst/>
        </a:prstGeom>
        <a:solidFill>
          <a:srgbClr val="FFFF00"/>
        </a:solidFill>
        <a:ln w="9525" cmpd="sng">
          <a:solidFill>
            <a:sysClr val="windowText" lastClr="00000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rial" panose="020B0604020202020204" pitchFamily="34" charset="0"/>
              <a:cs typeface="Arial" panose="020B0604020202020204" pitchFamily="34" charset="0"/>
            </a:rPr>
            <a:t>Minimize	B28</a:t>
          </a:r>
        </a:p>
        <a:p>
          <a:r>
            <a:rPr lang="en-US" sz="1100" b="1">
              <a:latin typeface="Arial" panose="020B0604020202020204" pitchFamily="34" charset="0"/>
              <a:cs typeface="Arial" panose="020B0604020202020204" pitchFamily="34" charset="0"/>
            </a:rPr>
            <a:t>By Changing	B4:U4</a:t>
          </a:r>
        </a:p>
        <a:p>
          <a:r>
            <a:rPr lang="en-US" sz="1100" b="1">
              <a:latin typeface="Arial" panose="020B0604020202020204" pitchFamily="34" charset="0"/>
              <a:cs typeface="Arial" panose="020B0604020202020204" pitchFamily="34" charset="0"/>
            </a:rPr>
            <a:t>Subject To	V6:V25&gt;=1</a:t>
          </a:r>
        </a:p>
        <a:p>
          <a:r>
            <a:rPr lang="en-US" sz="1100" b="1">
              <a:latin typeface="Arial" panose="020B0604020202020204" pitchFamily="34" charset="0"/>
              <a:cs typeface="Arial" panose="020B0604020202020204" pitchFamily="34" charset="0"/>
            </a:rPr>
            <a:t>	</a:t>
          </a:r>
          <a:r>
            <a:rPr lang="en-US" sz="1100" b="1">
              <a:solidFill>
                <a:schemeClr val="dk1"/>
              </a:solidFill>
              <a:effectLst/>
              <a:latin typeface="Arial" panose="020B0604020202020204" pitchFamily="34" charset="0"/>
              <a:ea typeface="+mn-ea"/>
              <a:cs typeface="Arial" panose="020B0604020202020204" pitchFamily="34" charset="0"/>
            </a:rPr>
            <a:t>B4:U4 binary</a:t>
          </a:r>
          <a:r>
            <a:rPr lang="en-US" sz="1100" b="1">
              <a:latin typeface="Arial" panose="020B0604020202020204" pitchFamily="34" charset="0"/>
              <a:cs typeface="Arial" panose="020B0604020202020204" pitchFamily="34" charset="0"/>
            </a:rPr>
            <a:t>	</a:t>
          </a:r>
        </a:p>
      </xdr:txBody>
    </xdr:sp>
    <xdr:clientData/>
  </xdr:twoCellAnchor>
  <xdr:twoCellAnchor>
    <xdr:from>
      <xdr:col>2</xdr:col>
      <xdr:colOff>84667</xdr:colOff>
      <xdr:row>0</xdr:row>
      <xdr:rowOff>116417</xdr:rowOff>
    </xdr:from>
    <xdr:to>
      <xdr:col>6</xdr:col>
      <xdr:colOff>168275</xdr:colOff>
      <xdr:row>2</xdr:row>
      <xdr:rowOff>68792</xdr:rowOff>
    </xdr:to>
    <xdr:sp macro="" textlink="">
      <xdr:nvSpPr>
        <xdr:cNvPr id="4" name="Text 1">
          <a:extLst>
            <a:ext uri="{FF2B5EF4-FFF2-40B4-BE49-F238E27FC236}">
              <a16:creationId xmlns:a16="http://schemas.microsoft.com/office/drawing/2014/main" id="{76595647-DF9A-41A8-89BD-7DA86BAC7DC9}"/>
            </a:ext>
          </a:extLst>
        </xdr:cNvPr>
        <xdr:cNvSpPr>
          <a:spLocks noChangeArrowheads="1"/>
        </xdr:cNvSpPr>
      </xdr:nvSpPr>
      <xdr:spPr bwMode="auto">
        <a:xfrm>
          <a:off x="1808692" y="116417"/>
          <a:ext cx="2674408" cy="333375"/>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9525">
          <a:solidFill>
            <a:srgbClr xmlns:mc="http://schemas.openxmlformats.org/markup-compatibility/2006" xmlns:a14="http://schemas.microsoft.com/office/drawing/2010/main" val="000000" mc:Ignorable="a14" a14:legacySpreadsheetColorIndex="64"/>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GLMH</a:t>
          </a:r>
        </a:p>
      </xdr:txBody>
    </xdr:sp>
    <xdr:clientData/>
  </xdr:twoCellAnchor>
  <xdr:twoCellAnchor>
    <xdr:from>
      <xdr:col>3</xdr:col>
      <xdr:colOff>645584</xdr:colOff>
      <xdr:row>7</xdr:row>
      <xdr:rowOff>127000</xdr:rowOff>
    </xdr:from>
    <xdr:to>
      <xdr:col>7</xdr:col>
      <xdr:colOff>285751</xdr:colOff>
      <xdr:row>11</xdr:row>
      <xdr:rowOff>148167</xdr:rowOff>
    </xdr:to>
    <xdr:sp macro="" textlink="">
      <xdr:nvSpPr>
        <xdr:cNvPr id="5" name="Note" hidden="1">
          <a:extLst>
            <a:ext uri="{FF2B5EF4-FFF2-40B4-BE49-F238E27FC236}">
              <a16:creationId xmlns:a16="http://schemas.microsoft.com/office/drawing/2014/main" id="{2FA355F3-7BC0-40F4-B3A4-B3D8C147F3ED}"/>
            </a:ext>
          </a:extLst>
        </xdr:cNvPr>
        <xdr:cNvSpPr txBox="1"/>
      </xdr:nvSpPr>
      <xdr:spPr>
        <a:xfrm>
          <a:off x="3026834" y="1460500"/>
          <a:ext cx="2126192" cy="783167"/>
        </a:xfrm>
        <a:prstGeom prst="rect">
          <a:avLst/>
        </a:prstGeom>
        <a:solidFill>
          <a:srgbClr val="FFFF00"/>
        </a:solidFill>
        <a:ln w="9525" cmpd="sng">
          <a:solidFill>
            <a:sysClr val="windowText" lastClr="00000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rial" panose="020B0604020202020204" pitchFamily="34" charset="0"/>
              <a:cs typeface="Arial" panose="020B0604020202020204" pitchFamily="34" charset="0"/>
            </a:rPr>
            <a:t>Minimize	B28</a:t>
          </a:r>
        </a:p>
        <a:p>
          <a:r>
            <a:rPr lang="en-US" sz="1100" b="1">
              <a:latin typeface="Arial" panose="020B0604020202020204" pitchFamily="34" charset="0"/>
              <a:cs typeface="Arial" panose="020B0604020202020204" pitchFamily="34" charset="0"/>
            </a:rPr>
            <a:t>By Changing	B4:U4</a:t>
          </a:r>
        </a:p>
        <a:p>
          <a:r>
            <a:rPr lang="en-US" sz="1100" b="1">
              <a:latin typeface="Arial" panose="020B0604020202020204" pitchFamily="34" charset="0"/>
              <a:cs typeface="Arial" panose="020B0604020202020204" pitchFamily="34" charset="0"/>
            </a:rPr>
            <a:t>Subject To	V6:V25&gt;=1</a:t>
          </a:r>
        </a:p>
        <a:p>
          <a:r>
            <a:rPr lang="en-US" sz="1100" b="1">
              <a:latin typeface="Arial" panose="020B0604020202020204" pitchFamily="34" charset="0"/>
              <a:cs typeface="Arial" panose="020B0604020202020204" pitchFamily="34" charset="0"/>
            </a:rPr>
            <a:t>	</a:t>
          </a:r>
          <a:r>
            <a:rPr lang="en-US" sz="1100" b="1">
              <a:solidFill>
                <a:schemeClr val="dk1"/>
              </a:solidFill>
              <a:effectLst/>
              <a:latin typeface="Arial" panose="020B0604020202020204" pitchFamily="34" charset="0"/>
              <a:ea typeface="+mn-ea"/>
              <a:cs typeface="Arial" panose="020B0604020202020204" pitchFamily="34" charset="0"/>
            </a:rPr>
            <a:t>B4:U4 binary</a:t>
          </a:r>
          <a:r>
            <a:rPr lang="en-US" sz="1100" b="1">
              <a:latin typeface="Arial" panose="020B0604020202020204" pitchFamily="34" charset="0"/>
              <a:cs typeface="Arial" panose="020B0604020202020204" pitchFamily="34" charset="0"/>
            </a:rPr>
            <a:t>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358775</xdr:colOff>
      <xdr:row>0</xdr:row>
      <xdr:rowOff>177800</xdr:rowOff>
    </xdr:from>
    <xdr:to>
      <xdr:col>19</xdr:col>
      <xdr:colOff>596900</xdr:colOff>
      <xdr:row>15</xdr:row>
      <xdr:rowOff>101600</xdr:rowOff>
    </xdr:to>
    <xdr:sp macro="" textlink="">
      <xdr:nvSpPr>
        <xdr:cNvPr id="2" name="TextBox 1">
          <a:extLst>
            <a:ext uri="{FF2B5EF4-FFF2-40B4-BE49-F238E27FC236}">
              <a16:creationId xmlns:a16="http://schemas.microsoft.com/office/drawing/2014/main" id="{2DBB034B-10F0-7C8F-7A70-5CF20F45DECE}"/>
            </a:ext>
          </a:extLst>
        </xdr:cNvPr>
        <xdr:cNvSpPr txBox="1"/>
      </xdr:nvSpPr>
      <xdr:spPr>
        <a:xfrm>
          <a:off x="7089775" y="177800"/>
          <a:ext cx="6296025" cy="283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 company manufactures three products: A, B, and C. The company currently has an order for 3 units of product A, 7 units of product B, and 4 units of product C. There is no inventory for any of these products. All three products require special processing that can be done on one of two machines. The cost of producing each product on each machine is summarized in the first  table.</a:t>
          </a:r>
        </a:p>
        <a:p>
          <a:pPr marL="0" marR="0" lvl="0" indent="0" defTabSz="914400" eaLnBrk="1" fontAlgn="auto" latinLnBrk="0" hangingPunct="1">
            <a:lnSpc>
              <a:spcPct val="100000"/>
            </a:lnSpc>
            <a:spcBef>
              <a:spcPts val="0"/>
            </a:spcBef>
            <a:spcAft>
              <a:spcPts val="0"/>
            </a:spcAft>
            <a:buClrTx/>
            <a:buSzTx/>
            <a:buFontTx/>
            <a:buNone/>
            <a:tabLst/>
            <a:defRPr/>
          </a:pP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Assume machine 1 can be used for 8 hours and machine 2 can be used for 6 hours. Each machine must undergo a special setup operation to prepare it to produce each product. After completing this setup for a product, any number of that product type can be produced. The setup costs for producing each product on each machine are summarized in the second</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table</a:t>
          </a:r>
          <a:endParaRPr lang="en-US">
            <a:effectLst/>
          </a:endParaRP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 time required to produce each product on each machine is summarized in the third table.</a:t>
          </a:r>
          <a:r>
            <a:rPr lang="en-US" sz="1100" b="1" i="0" u="none" strike="noStrike">
              <a:solidFill>
                <a:schemeClr val="dk1"/>
              </a:solidFill>
              <a:effectLst/>
              <a:latin typeface="+mn-lt"/>
              <a:ea typeface="+mn-ea"/>
              <a:cs typeface="+mn-cs"/>
            </a:rPr>
            <a:t>0.0</a:t>
          </a:r>
          <a:r>
            <a:rPr lang="en-US">
              <a:effectLst/>
            </a:rPr>
            <a:t> </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Hint  I</a:t>
          </a:r>
          <a:r>
            <a:rPr lang="en-US" sz="1100" b="0" i="0" baseline="0">
              <a:solidFill>
                <a:schemeClr val="dk1"/>
              </a:solidFill>
              <a:effectLst/>
              <a:latin typeface="+mn-lt"/>
              <a:ea typeface="+mn-ea"/>
              <a:cs typeface="+mn-cs"/>
            </a:rPr>
            <a:t> have added the linking constraint (without proper addressing($)) for the first machine - product A.  Read the notes on fixed costs for additional help on this,</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a:p>
        <a:p>
          <a:endParaRPr lang="en-US" sz="1100"/>
        </a:p>
      </xdr:txBody>
    </xdr:sp>
    <xdr:clientData/>
  </xdr:twoCellAnchor>
  <xdr:twoCellAnchor>
    <xdr:from>
      <xdr:col>1</xdr:col>
      <xdr:colOff>390525</xdr:colOff>
      <xdr:row>0</xdr:row>
      <xdr:rowOff>57150</xdr:rowOff>
    </xdr:from>
    <xdr:to>
      <xdr:col>5</xdr:col>
      <xdr:colOff>295275</xdr:colOff>
      <xdr:row>2</xdr:row>
      <xdr:rowOff>19050</xdr:rowOff>
    </xdr:to>
    <xdr:sp macro="" textlink="">
      <xdr:nvSpPr>
        <xdr:cNvPr id="3" name="Text 2">
          <a:extLst>
            <a:ext uri="{FF2B5EF4-FFF2-40B4-BE49-F238E27FC236}">
              <a16:creationId xmlns:a16="http://schemas.microsoft.com/office/drawing/2014/main" id="{3F0DC0AA-5F9D-429C-92D0-606C73A0BAC5}"/>
            </a:ext>
          </a:extLst>
        </xdr:cNvPr>
        <xdr:cNvSpPr>
          <a:spLocks noChangeArrowheads="1"/>
        </xdr:cNvSpPr>
      </xdr:nvSpPr>
      <xdr:spPr bwMode="auto">
        <a:xfrm>
          <a:off x="1057275" y="57150"/>
          <a:ext cx="2343150" cy="285750"/>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9525">
          <a:solidFill>
            <a:srgbClr xmlns:mc="http://schemas.openxmlformats.org/markup-compatibility/2006" xmlns:a14="http://schemas.microsoft.com/office/drawing/2010/main" val="000000" mc:Ignorable="a14" a14:legacySpreadsheetColorIndex="64"/>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Manufacturing Plan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459118</xdr:colOff>
      <xdr:row>10</xdr:row>
      <xdr:rowOff>143904</xdr:rowOff>
    </xdr:to>
    <xdr:sp macro="" textlink="">
      <xdr:nvSpPr>
        <xdr:cNvPr id="7" name="TextBox 6">
          <a:extLst>
            <a:ext uri="{FF2B5EF4-FFF2-40B4-BE49-F238E27FC236}">
              <a16:creationId xmlns:a16="http://schemas.microsoft.com/office/drawing/2014/main" id="{17A016A6-2D6E-47BE-91C4-0B7F71898BCC}"/>
            </a:ext>
          </a:extLst>
        </xdr:cNvPr>
        <xdr:cNvSpPr txBox="1"/>
      </xdr:nvSpPr>
      <xdr:spPr>
        <a:xfrm>
          <a:off x="0" y="0"/>
          <a:ext cx="5338111" cy="20626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Solve the following problem manually using the B&amp;B algorithm. You can use the computer to solve the individual problems generated. Create a branch-and-bound tree to display the steps you complete.  You can complete this on paper and submit a</a:t>
          </a:r>
          <a:r>
            <a:rPr lang="en-US" sz="1100" b="0" i="0" baseline="0">
              <a:solidFill>
                <a:schemeClr val="dk1"/>
              </a:solidFill>
              <a:effectLst/>
              <a:latin typeface="+mn-lt"/>
              <a:ea typeface="+mn-ea"/>
              <a:cs typeface="+mn-cs"/>
            </a:rPr>
            <a:t> photo of it.</a:t>
          </a:r>
          <a:endParaRPr lang="en-US" sz="1100" b="0" i="0">
            <a:solidFill>
              <a:schemeClr val="dk1"/>
            </a:solidFill>
            <a:effectLst/>
            <a:latin typeface="+mn-lt"/>
            <a:ea typeface="+mn-ea"/>
            <a:cs typeface="+mn-cs"/>
          </a:endParaRPr>
        </a:p>
        <a:p>
          <a:endParaRPr lang="en-US" sz="1100"/>
        </a:p>
        <a:p>
          <a:r>
            <a:rPr lang="en-US" sz="1100"/>
            <a:t> MAX: 6X1 + 8X2</a:t>
          </a:r>
        </a:p>
        <a:p>
          <a:endParaRPr lang="en-US" sz="1100"/>
        </a:p>
        <a:p>
          <a:r>
            <a:rPr lang="en-US" sz="1100"/>
            <a:t>Subject to:</a:t>
          </a:r>
        </a:p>
        <a:p>
          <a:r>
            <a:rPr lang="en-US" sz="1100"/>
            <a:t> 	6X1</a:t>
          </a:r>
          <a:r>
            <a:rPr lang="en-US" sz="1100" baseline="0"/>
            <a:t> + 3X2 &lt;= 18</a:t>
          </a:r>
        </a:p>
        <a:p>
          <a:r>
            <a:rPr lang="en-US" sz="1100" baseline="0"/>
            <a:t>	2X1 + 3X2 &lt;= 9</a:t>
          </a:r>
        </a:p>
        <a:p>
          <a:r>
            <a:rPr lang="en-US" sz="1100" baseline="0"/>
            <a:t>	       X1, X2  &gt;= 0</a:t>
          </a:r>
        </a:p>
        <a:p>
          <a:r>
            <a:rPr lang="en-US" sz="1100" baseline="0"/>
            <a:t>	X1 and X2 must be integers</a:t>
          </a:r>
          <a:endParaRPr lang="en-US" sz="1100"/>
        </a:p>
      </xdr:txBody>
    </xdr:sp>
    <xdr:clientData/>
  </xdr:twoCellAnchor>
  <xdr:twoCellAnchor>
    <xdr:from>
      <xdr:col>2</xdr:col>
      <xdr:colOff>52917</xdr:colOff>
      <xdr:row>21</xdr:row>
      <xdr:rowOff>66146</xdr:rowOff>
    </xdr:from>
    <xdr:to>
      <xdr:col>3</xdr:col>
      <xdr:colOff>449792</xdr:colOff>
      <xdr:row>23</xdr:row>
      <xdr:rowOff>105833</xdr:rowOff>
    </xdr:to>
    <xdr:cxnSp macro="">
      <xdr:nvCxnSpPr>
        <xdr:cNvPr id="16" name="Straight Connector 15">
          <a:extLst>
            <a:ext uri="{FF2B5EF4-FFF2-40B4-BE49-F238E27FC236}">
              <a16:creationId xmlns:a16="http://schemas.microsoft.com/office/drawing/2014/main" id="{ABA4816F-CB52-2B43-AB31-B9461EC5C640}"/>
            </a:ext>
          </a:extLst>
        </xdr:cNvPr>
        <xdr:cNvCxnSpPr/>
      </xdr:nvCxnSpPr>
      <xdr:spPr>
        <a:xfrm flipV="1">
          <a:off x="1513417" y="4066646"/>
          <a:ext cx="790575" cy="42068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52917</xdr:colOff>
      <xdr:row>23</xdr:row>
      <xdr:rowOff>132291</xdr:rowOff>
    </xdr:from>
    <xdr:to>
      <xdr:col>3</xdr:col>
      <xdr:colOff>449792</xdr:colOff>
      <xdr:row>25</xdr:row>
      <xdr:rowOff>105834</xdr:rowOff>
    </xdr:to>
    <xdr:cxnSp macro="">
      <xdr:nvCxnSpPr>
        <xdr:cNvPr id="17" name="Straight Connector 16">
          <a:extLst>
            <a:ext uri="{FF2B5EF4-FFF2-40B4-BE49-F238E27FC236}">
              <a16:creationId xmlns:a16="http://schemas.microsoft.com/office/drawing/2014/main" id="{967C60F5-C665-BA48-9686-0694CFBB6ECE}"/>
            </a:ext>
          </a:extLst>
        </xdr:cNvPr>
        <xdr:cNvCxnSpPr/>
      </xdr:nvCxnSpPr>
      <xdr:spPr>
        <a:xfrm>
          <a:off x="1513417" y="4513791"/>
          <a:ext cx="790575" cy="35454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26459</xdr:colOff>
      <xdr:row>26</xdr:row>
      <xdr:rowOff>13229</xdr:rowOff>
    </xdr:from>
    <xdr:to>
      <xdr:col>7</xdr:col>
      <xdr:colOff>0</xdr:colOff>
      <xdr:row>28</xdr:row>
      <xdr:rowOff>105833</xdr:rowOff>
    </xdr:to>
    <xdr:cxnSp macro="">
      <xdr:nvCxnSpPr>
        <xdr:cNvPr id="18" name="Straight Connector 17">
          <a:extLst>
            <a:ext uri="{FF2B5EF4-FFF2-40B4-BE49-F238E27FC236}">
              <a16:creationId xmlns:a16="http://schemas.microsoft.com/office/drawing/2014/main" id="{F1FEE298-1695-F344-ABD9-2733ED86A929}"/>
            </a:ext>
          </a:extLst>
        </xdr:cNvPr>
        <xdr:cNvCxnSpPr/>
      </xdr:nvCxnSpPr>
      <xdr:spPr>
        <a:xfrm flipV="1">
          <a:off x="3341159" y="4966229"/>
          <a:ext cx="646641" cy="47360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xdr:colOff>
      <xdr:row>28</xdr:row>
      <xdr:rowOff>105834</xdr:rowOff>
    </xdr:from>
    <xdr:to>
      <xdr:col>6</xdr:col>
      <xdr:colOff>661458</xdr:colOff>
      <xdr:row>30</xdr:row>
      <xdr:rowOff>39688</xdr:rowOff>
    </xdr:to>
    <xdr:cxnSp macro="">
      <xdr:nvCxnSpPr>
        <xdr:cNvPr id="19" name="Straight Connector 18">
          <a:extLst>
            <a:ext uri="{FF2B5EF4-FFF2-40B4-BE49-F238E27FC236}">
              <a16:creationId xmlns:a16="http://schemas.microsoft.com/office/drawing/2014/main" id="{5A53715C-028D-174D-8D37-F78A52D14552}"/>
            </a:ext>
          </a:extLst>
        </xdr:cNvPr>
        <xdr:cNvCxnSpPr/>
      </xdr:nvCxnSpPr>
      <xdr:spPr>
        <a:xfrm>
          <a:off x="3314701" y="5439834"/>
          <a:ext cx="661457" cy="31485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20110</xdr:colOff>
      <xdr:row>23</xdr:row>
      <xdr:rowOff>20108</xdr:rowOff>
    </xdr:from>
    <xdr:to>
      <xdr:col>9</xdr:col>
      <xdr:colOff>668338</xdr:colOff>
      <xdr:row>25</xdr:row>
      <xdr:rowOff>112712</xdr:rowOff>
    </xdr:to>
    <xdr:cxnSp macro="">
      <xdr:nvCxnSpPr>
        <xdr:cNvPr id="20" name="Straight Connector 19">
          <a:extLst>
            <a:ext uri="{FF2B5EF4-FFF2-40B4-BE49-F238E27FC236}">
              <a16:creationId xmlns:a16="http://schemas.microsoft.com/office/drawing/2014/main" id="{D3919E21-61AB-E744-9C39-E07ECC0F7910}"/>
            </a:ext>
          </a:extLst>
        </xdr:cNvPr>
        <xdr:cNvCxnSpPr/>
      </xdr:nvCxnSpPr>
      <xdr:spPr>
        <a:xfrm flipV="1">
          <a:off x="5354110" y="4401608"/>
          <a:ext cx="648228" cy="47360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661988</xdr:colOff>
      <xdr:row>25</xdr:row>
      <xdr:rowOff>119592</xdr:rowOff>
    </xdr:from>
    <xdr:to>
      <xdr:col>10</xdr:col>
      <xdr:colOff>26458</xdr:colOff>
      <xdr:row>28</xdr:row>
      <xdr:rowOff>119063</xdr:rowOff>
    </xdr:to>
    <xdr:cxnSp macro="">
      <xdr:nvCxnSpPr>
        <xdr:cNvPr id="21" name="Straight Connector 20">
          <a:extLst>
            <a:ext uri="{FF2B5EF4-FFF2-40B4-BE49-F238E27FC236}">
              <a16:creationId xmlns:a16="http://schemas.microsoft.com/office/drawing/2014/main" id="{337C6C20-575A-5E4C-856E-70AFEE686F2D}"/>
            </a:ext>
          </a:extLst>
        </xdr:cNvPr>
        <xdr:cNvCxnSpPr/>
      </xdr:nvCxnSpPr>
      <xdr:spPr>
        <a:xfrm>
          <a:off x="5322888" y="4882092"/>
          <a:ext cx="710670" cy="57097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quinnipiacuniversity-my.sharepoint.com/personal/ceccucci_quinnipiac_edu/Documents/Documents/BAN660/Homework/Ch6/Chapter%206%20Homework%20Answers%20Fall%202025%20.xlsx" TargetMode="External"/><Relationship Id="rId1" Type="http://schemas.openxmlformats.org/officeDocument/2006/relationships/externalLinkPath" Target="https://quinnipiacuniversity-my.sharepoint.com/personal/ceccucci_quinnipiac_edu/Documents/Documents/BAN660/Homework/Ch6/Chapter%206%20Homework%20Answers%20Fall%202025%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
      <sheetName val="#0d"/>
      <sheetName val="#1"/>
      <sheetName val="#2"/>
      <sheetName val="#3"/>
      <sheetName val="#4"/>
      <sheetName val="Miles"/>
      <sheetName val="#5"/>
      <sheetName val="#6"/>
    </sheetNames>
    <sheetDataSet>
      <sheetData sheetId="0"/>
      <sheetData sheetId="1"/>
      <sheetData sheetId="2"/>
      <sheetData sheetId="3"/>
      <sheetData sheetId="4"/>
      <sheetData sheetId="5"/>
      <sheetData sheetId="6">
        <row r="2">
          <cell r="B2">
            <v>0</v>
          </cell>
          <cell r="C2">
            <v>578.48</v>
          </cell>
          <cell r="D2">
            <v>939.87</v>
          </cell>
          <cell r="E2">
            <v>227.4</v>
          </cell>
          <cell r="F2">
            <v>586.36</v>
          </cell>
          <cell r="G2">
            <v>717.08</v>
          </cell>
          <cell r="H2">
            <v>1206.94</v>
          </cell>
          <cell r="I2">
            <v>600.45000000000005</v>
          </cell>
          <cell r="J2">
            <v>2204.54</v>
          </cell>
          <cell r="K2">
            <v>701.32</v>
          </cell>
          <cell r="L2">
            <v>1758.42</v>
          </cell>
          <cell r="M2">
            <v>1958.71</v>
          </cell>
          <cell r="N2">
            <v>606.85</v>
          </cell>
          <cell r="O2">
            <v>907.52</v>
          </cell>
          <cell r="P2">
            <v>748.79</v>
          </cell>
          <cell r="Q2">
            <v>544.37</v>
          </cell>
          <cell r="R2">
            <v>405.85</v>
          </cell>
          <cell r="S2">
            <v>670.98</v>
          </cell>
          <cell r="T2">
            <v>1596.11</v>
          </cell>
          <cell r="U2">
            <v>2192.88</v>
          </cell>
        </row>
        <row r="3">
          <cell r="B3">
            <v>578.48</v>
          </cell>
          <cell r="C3">
            <v>0</v>
          </cell>
          <cell r="D3">
            <v>359.92</v>
          </cell>
          <cell r="E3">
            <v>366.25</v>
          </cell>
          <cell r="F3">
            <v>607.01</v>
          </cell>
          <cell r="G3">
            <v>1214.0899999999999</v>
          </cell>
          <cell r="H3">
            <v>1508.89</v>
          </cell>
          <cell r="I3">
            <v>400.46</v>
          </cell>
          <cell r="J3">
            <v>2361.89</v>
          </cell>
          <cell r="K3">
            <v>1256.77</v>
          </cell>
          <cell r="L3">
            <v>2128.4299999999998</v>
          </cell>
          <cell r="M3">
            <v>2355.0700000000002</v>
          </cell>
          <cell r="N3">
            <v>959.47</v>
          </cell>
          <cell r="O3">
            <v>938.84</v>
          </cell>
          <cell r="P3">
            <v>170.12</v>
          </cell>
          <cell r="Q3">
            <v>34.78</v>
          </cell>
          <cell r="R3">
            <v>795.56</v>
          </cell>
          <cell r="S3">
            <v>92.76</v>
          </cell>
          <cell r="T3">
            <v>2018.99</v>
          </cell>
          <cell r="U3">
            <v>2389.0500000000002</v>
          </cell>
        </row>
        <row r="4">
          <cell r="B4">
            <v>939.87</v>
          </cell>
          <cell r="C4">
            <v>359.92</v>
          </cell>
          <cell r="D4">
            <v>0</v>
          </cell>
          <cell r="E4">
            <v>723.02</v>
          </cell>
          <cell r="F4">
            <v>855.2</v>
          </cell>
          <cell r="G4">
            <v>1558.65</v>
          </cell>
          <cell r="H4">
            <v>1775.27</v>
          </cell>
          <cell r="I4">
            <v>616.85</v>
          </cell>
          <cell r="J4">
            <v>2528.87</v>
          </cell>
          <cell r="K4">
            <v>1616.63</v>
          </cell>
          <cell r="L4">
            <v>2409.54</v>
          </cell>
          <cell r="M4">
            <v>2645.48</v>
          </cell>
          <cell r="N4">
            <v>1262.68</v>
          </cell>
          <cell r="O4">
            <v>1127.0899999999999</v>
          </cell>
          <cell r="P4">
            <v>190.11</v>
          </cell>
          <cell r="Q4">
            <v>393.9</v>
          </cell>
          <cell r="R4">
            <v>1121.54</v>
          </cell>
          <cell r="S4">
            <v>267.58999999999997</v>
          </cell>
          <cell r="T4">
            <v>2325.63</v>
          </cell>
          <cell r="U4">
            <v>2576.65</v>
          </cell>
        </row>
        <row r="5">
          <cell r="B5">
            <v>227.4</v>
          </cell>
          <cell r="C5">
            <v>366.25</v>
          </cell>
          <cell r="D5">
            <v>723.02</v>
          </cell>
          <cell r="E5">
            <v>0</v>
          </cell>
          <cell r="F5">
            <v>589.69000000000005</v>
          </cell>
          <cell r="G5">
            <v>929.22</v>
          </cell>
          <cell r="H5">
            <v>1357.39</v>
          </cell>
          <cell r="I5">
            <v>511.23</v>
          </cell>
          <cell r="J5">
            <v>2314.7600000000002</v>
          </cell>
          <cell r="K5">
            <v>928.69</v>
          </cell>
          <cell r="L5">
            <v>1939.26</v>
          </cell>
          <cell r="M5">
            <v>2149.61</v>
          </cell>
          <cell r="N5">
            <v>652.64</v>
          </cell>
          <cell r="O5">
            <v>942.03</v>
          </cell>
          <cell r="P5">
            <v>532.79999999999995</v>
          </cell>
          <cell r="Q5">
            <v>331.45</v>
          </cell>
          <cell r="R5">
            <v>464.27</v>
          </cell>
          <cell r="S5">
            <v>455.89</v>
          </cell>
          <cell r="T5">
            <v>1792.83</v>
          </cell>
          <cell r="U5">
            <v>2317.1</v>
          </cell>
        </row>
        <row r="6">
          <cell r="B6">
            <v>586.36</v>
          </cell>
          <cell r="C6">
            <v>607.01</v>
          </cell>
          <cell r="D6">
            <v>855.2</v>
          </cell>
          <cell r="E6">
            <v>589.69000000000005</v>
          </cell>
          <cell r="F6">
            <v>0</v>
          </cell>
          <cell r="G6">
            <v>800.65</v>
          </cell>
          <cell r="H6">
            <v>910.74</v>
          </cell>
          <cell r="I6">
            <v>237.71</v>
          </cell>
          <cell r="J6">
            <v>1746.26</v>
          </cell>
          <cell r="K6">
            <v>940.42</v>
          </cell>
          <cell r="L6">
            <v>1530.64</v>
          </cell>
          <cell r="M6">
            <v>1760.1</v>
          </cell>
          <cell r="N6">
            <v>1192.8399999999999</v>
          </cell>
          <cell r="O6">
            <v>353.84</v>
          </cell>
          <cell r="P6">
            <v>718.46</v>
          </cell>
          <cell r="Q6">
            <v>596.57000000000005</v>
          </cell>
          <cell r="R6">
            <v>990.01</v>
          </cell>
          <cell r="S6">
            <v>667.4</v>
          </cell>
          <cell r="T6">
            <v>1453.1</v>
          </cell>
          <cell r="U6">
            <v>1766.24</v>
          </cell>
        </row>
        <row r="7">
          <cell r="B7">
            <v>717.08</v>
          </cell>
          <cell r="C7">
            <v>1214.0899999999999</v>
          </cell>
          <cell r="D7">
            <v>1558.65</v>
          </cell>
          <cell r="E7">
            <v>929.22</v>
          </cell>
          <cell r="F7">
            <v>800.65</v>
          </cell>
          <cell r="G7">
            <v>0</v>
          </cell>
          <cell r="H7">
            <v>660.57</v>
          </cell>
          <cell r="I7">
            <v>999.94</v>
          </cell>
          <cell r="J7">
            <v>1693.96</v>
          </cell>
          <cell r="K7">
            <v>224.03</v>
          </cell>
          <cell r="L7">
            <v>1078.31</v>
          </cell>
          <cell r="M7">
            <v>1253.68</v>
          </cell>
          <cell r="N7">
            <v>1111.04</v>
          </cell>
          <cell r="O7">
            <v>863.15</v>
          </cell>
          <cell r="P7">
            <v>1378.08</v>
          </cell>
          <cell r="Q7">
            <v>1185.48</v>
          </cell>
          <cell r="R7">
            <v>963.48</v>
          </cell>
          <cell r="S7">
            <v>1304.26</v>
          </cell>
          <cell r="T7">
            <v>887.48</v>
          </cell>
          <cell r="U7">
            <v>1643.23</v>
          </cell>
        </row>
        <row r="8">
          <cell r="B8">
            <v>1206.94</v>
          </cell>
          <cell r="C8">
            <v>1508.89</v>
          </cell>
          <cell r="D8">
            <v>1775.27</v>
          </cell>
          <cell r="E8">
            <v>1357.39</v>
          </cell>
          <cell r="F8">
            <v>910.74</v>
          </cell>
          <cell r="G8">
            <v>660.57</v>
          </cell>
          <cell r="H8">
            <v>0</v>
          </cell>
          <cell r="I8">
            <v>1148.8900000000001</v>
          </cell>
          <cell r="J8">
            <v>1027.27</v>
          </cell>
          <cell r="K8">
            <v>876.34</v>
          </cell>
          <cell r="L8">
            <v>615.04999999999995</v>
          </cell>
          <cell r="M8">
            <v>844.12</v>
          </cell>
          <cell r="N8">
            <v>1732.2</v>
          </cell>
          <cell r="O8">
            <v>692.18</v>
          </cell>
          <cell r="P8">
            <v>1635.86</v>
          </cell>
          <cell r="Q8">
            <v>1492.02</v>
          </cell>
          <cell r="R8">
            <v>1555.93</v>
          </cell>
          <cell r="S8">
            <v>1579.54</v>
          </cell>
          <cell r="T8">
            <v>587.11</v>
          </cell>
          <cell r="U8">
            <v>987.76</v>
          </cell>
        </row>
        <row r="9">
          <cell r="B9">
            <v>600.45000000000005</v>
          </cell>
          <cell r="C9">
            <v>400.46</v>
          </cell>
          <cell r="D9">
            <v>616.85</v>
          </cell>
          <cell r="E9">
            <v>511.23</v>
          </cell>
          <cell r="F9">
            <v>237.71</v>
          </cell>
          <cell r="G9">
            <v>999.94</v>
          </cell>
          <cell r="H9">
            <v>1148.8900000000001</v>
          </cell>
          <cell r="I9">
            <v>0</v>
          </cell>
          <cell r="J9">
            <v>1948.98</v>
          </cell>
          <cell r="K9">
            <v>1110.2</v>
          </cell>
          <cell r="L9">
            <v>1772.6</v>
          </cell>
          <cell r="M9">
            <v>2004</v>
          </cell>
          <cell r="N9">
            <v>1162.74</v>
          </cell>
          <cell r="O9">
            <v>538.58000000000004</v>
          </cell>
          <cell r="P9">
            <v>488.37</v>
          </cell>
          <cell r="Q9">
            <v>398.84</v>
          </cell>
          <cell r="R9">
            <v>966.26</v>
          </cell>
          <cell r="S9">
            <v>445.56</v>
          </cell>
          <cell r="T9">
            <v>1694.63</v>
          </cell>
          <cell r="U9">
            <v>1979.33</v>
          </cell>
        </row>
        <row r="10">
          <cell r="B10">
            <v>2204.54</v>
          </cell>
          <cell r="C10">
            <v>2361.89</v>
          </cell>
          <cell r="D10">
            <v>2528.87</v>
          </cell>
          <cell r="E10">
            <v>2314.7600000000002</v>
          </cell>
          <cell r="F10">
            <v>1746.26</v>
          </cell>
          <cell r="G10">
            <v>1693.96</v>
          </cell>
          <cell r="H10">
            <v>1027.27</v>
          </cell>
          <cell r="I10">
            <v>1948.98</v>
          </cell>
          <cell r="J10">
            <v>0</v>
          </cell>
          <cell r="K10">
            <v>1906.95</v>
          </cell>
          <cell r="L10">
            <v>870.24</v>
          </cell>
          <cell r="M10">
            <v>957.86</v>
          </cell>
          <cell r="N10">
            <v>2784.09</v>
          </cell>
          <cell r="O10">
            <v>1399.32</v>
          </cell>
          <cell r="P10">
            <v>2443.61</v>
          </cell>
          <cell r="Q10">
            <v>2355.96</v>
          </cell>
          <cell r="R10">
            <v>2592.96</v>
          </cell>
          <cell r="S10">
            <v>2408.69</v>
          </cell>
          <cell r="T10">
            <v>1113.75</v>
          </cell>
          <cell r="U10">
            <v>144.47</v>
          </cell>
        </row>
        <row r="11">
          <cell r="B11">
            <v>701.32</v>
          </cell>
          <cell r="C11">
            <v>1256.77</v>
          </cell>
          <cell r="D11">
            <v>1616.63</v>
          </cell>
          <cell r="E11">
            <v>928.69</v>
          </cell>
          <cell r="F11">
            <v>940.42</v>
          </cell>
          <cell r="G11">
            <v>224.03</v>
          </cell>
          <cell r="H11">
            <v>876.34</v>
          </cell>
          <cell r="I11">
            <v>1110.2</v>
          </cell>
          <cell r="J11">
            <v>1906.95</v>
          </cell>
          <cell r="K11">
            <v>0</v>
          </cell>
          <cell r="L11">
            <v>1234.3900000000001</v>
          </cell>
          <cell r="M11">
            <v>1386.39</v>
          </cell>
          <cell r="N11">
            <v>969.58</v>
          </cell>
          <cell r="O11">
            <v>1058.98</v>
          </cell>
          <cell r="P11">
            <v>1427.54</v>
          </cell>
          <cell r="Q11">
            <v>1224.8699999999999</v>
          </cell>
          <cell r="R11">
            <v>851.76</v>
          </cell>
          <cell r="S11">
            <v>1350.22</v>
          </cell>
          <cell r="T11">
            <v>1016.48</v>
          </cell>
          <cell r="U11">
            <v>1848.48</v>
          </cell>
        </row>
        <row r="12">
          <cell r="B12">
            <v>1758.42</v>
          </cell>
          <cell r="C12">
            <v>2128.4299999999998</v>
          </cell>
          <cell r="D12">
            <v>2409.54</v>
          </cell>
          <cell r="E12">
            <v>1939.26</v>
          </cell>
          <cell r="F12">
            <v>1530.64</v>
          </cell>
          <cell r="G12">
            <v>1078.31</v>
          </cell>
          <cell r="H12">
            <v>615.04999999999995</v>
          </cell>
          <cell r="I12">
            <v>1772.6</v>
          </cell>
          <cell r="J12">
            <v>870.24</v>
          </cell>
          <cell r="K12">
            <v>1234.3900000000001</v>
          </cell>
          <cell r="L12">
            <v>0</v>
          </cell>
          <cell r="M12">
            <v>231.36</v>
          </cell>
          <cell r="N12">
            <v>2208.4699999999998</v>
          </cell>
          <cell r="O12">
            <v>1300.7</v>
          </cell>
          <cell r="P12">
            <v>2263.7399999999998</v>
          </cell>
          <cell r="Q12">
            <v>2109.15</v>
          </cell>
          <cell r="R12">
            <v>2057.09</v>
          </cell>
          <cell r="S12">
            <v>2203.89</v>
          </cell>
          <cell r="T12">
            <v>256.75</v>
          </cell>
          <cell r="U12">
            <v>753.11</v>
          </cell>
        </row>
        <row r="13">
          <cell r="B13">
            <v>1958.71</v>
          </cell>
          <cell r="C13">
            <v>2355.0700000000002</v>
          </cell>
          <cell r="D13">
            <v>2645.48</v>
          </cell>
          <cell r="E13">
            <v>2149.61</v>
          </cell>
          <cell r="F13">
            <v>1760.1</v>
          </cell>
          <cell r="G13">
            <v>1253.68</v>
          </cell>
          <cell r="H13">
            <v>844.12</v>
          </cell>
          <cell r="I13">
            <v>2004</v>
          </cell>
          <cell r="J13">
            <v>957.86</v>
          </cell>
          <cell r="K13">
            <v>1386.39</v>
          </cell>
          <cell r="L13">
            <v>231.36</v>
          </cell>
          <cell r="M13">
            <v>0</v>
          </cell>
          <cell r="N13">
            <v>2377.56</v>
          </cell>
          <cell r="O13">
            <v>1535.33</v>
          </cell>
          <cell r="P13">
            <v>2495.06</v>
          </cell>
          <cell r="Q13">
            <v>2334.5100000000002</v>
          </cell>
          <cell r="R13">
            <v>2236.7399999999998</v>
          </cell>
          <cell r="S13">
            <v>2433.1</v>
          </cell>
          <cell r="T13">
            <v>366.1</v>
          </cell>
          <cell r="U13">
            <v>822.45</v>
          </cell>
        </row>
        <row r="14">
          <cell r="B14">
            <v>606.85</v>
          </cell>
          <cell r="C14">
            <v>959.47</v>
          </cell>
          <cell r="D14">
            <v>1262.68</v>
          </cell>
          <cell r="E14">
            <v>652.64</v>
          </cell>
          <cell r="F14">
            <v>1192.8399999999999</v>
          </cell>
          <cell r="G14">
            <v>1111.04</v>
          </cell>
          <cell r="H14">
            <v>1732.2</v>
          </cell>
          <cell r="I14">
            <v>1162.74</v>
          </cell>
          <cell r="J14">
            <v>2784.09</v>
          </cell>
          <cell r="K14">
            <v>969.58</v>
          </cell>
          <cell r="L14">
            <v>2208.4699999999998</v>
          </cell>
          <cell r="M14">
            <v>2377.56</v>
          </cell>
          <cell r="N14">
            <v>0</v>
          </cell>
          <cell r="O14">
            <v>1520.42</v>
          </cell>
          <cell r="P14">
            <v>1093.4000000000001</v>
          </cell>
          <cell r="Q14">
            <v>928.03</v>
          </cell>
          <cell r="R14">
            <v>201.03</v>
          </cell>
          <cell r="S14">
            <v>1028.78</v>
          </cell>
          <cell r="T14">
            <v>1998.23</v>
          </cell>
          <cell r="U14">
            <v>2754.66</v>
          </cell>
        </row>
        <row r="15">
          <cell r="B15">
            <v>907.52</v>
          </cell>
          <cell r="C15">
            <v>938.84</v>
          </cell>
          <cell r="D15">
            <v>1127.0899999999999</v>
          </cell>
          <cell r="E15">
            <v>942.03</v>
          </cell>
          <cell r="F15">
            <v>353.84</v>
          </cell>
          <cell r="G15">
            <v>863.15</v>
          </cell>
          <cell r="H15">
            <v>692.18</v>
          </cell>
          <cell r="I15">
            <v>538.58000000000004</v>
          </cell>
          <cell r="J15">
            <v>1399.32</v>
          </cell>
          <cell r="K15">
            <v>1058.98</v>
          </cell>
          <cell r="L15">
            <v>1300.7</v>
          </cell>
          <cell r="M15">
            <v>1535.33</v>
          </cell>
          <cell r="N15">
            <v>1520.42</v>
          </cell>
          <cell r="O15">
            <v>0</v>
          </cell>
          <cell r="P15">
            <v>1023.54</v>
          </cell>
          <cell r="Q15">
            <v>933.83</v>
          </cell>
          <cell r="R15">
            <v>1317.1</v>
          </cell>
          <cell r="S15">
            <v>985.45</v>
          </cell>
          <cell r="T15">
            <v>1278.53</v>
          </cell>
          <cell r="U15">
            <v>1429.76</v>
          </cell>
        </row>
        <row r="16">
          <cell r="B16">
            <v>748.79</v>
          </cell>
          <cell r="C16">
            <v>170.12</v>
          </cell>
          <cell r="D16">
            <v>190.11</v>
          </cell>
          <cell r="E16">
            <v>532.79999999999995</v>
          </cell>
          <cell r="F16">
            <v>718.46</v>
          </cell>
          <cell r="G16">
            <v>1378.08</v>
          </cell>
          <cell r="H16">
            <v>1635.86</v>
          </cell>
          <cell r="I16">
            <v>488.37</v>
          </cell>
          <cell r="J16">
            <v>2443.61</v>
          </cell>
          <cell r="K16">
            <v>1427.54</v>
          </cell>
          <cell r="L16">
            <v>2263.7399999999998</v>
          </cell>
          <cell r="M16">
            <v>2495.06</v>
          </cell>
          <cell r="N16">
            <v>1093.4000000000001</v>
          </cell>
          <cell r="O16">
            <v>1023.54</v>
          </cell>
          <cell r="P16">
            <v>0</v>
          </cell>
          <cell r="Q16">
            <v>203.78</v>
          </cell>
          <cell r="R16">
            <v>942.4</v>
          </cell>
          <cell r="S16">
            <v>77.510000000000005</v>
          </cell>
          <cell r="T16">
            <v>2166.14</v>
          </cell>
          <cell r="U16">
            <v>2480.62</v>
          </cell>
        </row>
        <row r="17">
          <cell r="B17">
            <v>544.37</v>
          </cell>
          <cell r="C17">
            <v>34.78</v>
          </cell>
          <cell r="D17">
            <v>393.9</v>
          </cell>
          <cell r="E17">
            <v>331.45</v>
          </cell>
          <cell r="F17">
            <v>596.57000000000005</v>
          </cell>
          <cell r="G17">
            <v>1185.48</v>
          </cell>
          <cell r="H17">
            <v>1492.02</v>
          </cell>
          <cell r="I17">
            <v>398.84</v>
          </cell>
          <cell r="J17">
            <v>2355.96</v>
          </cell>
          <cell r="K17">
            <v>1224.8699999999999</v>
          </cell>
          <cell r="L17">
            <v>2109.15</v>
          </cell>
          <cell r="M17">
            <v>2334.5100000000002</v>
          </cell>
          <cell r="N17">
            <v>928.03</v>
          </cell>
          <cell r="O17">
            <v>933.83</v>
          </cell>
          <cell r="P17">
            <v>203.78</v>
          </cell>
          <cell r="Q17">
            <v>0</v>
          </cell>
          <cell r="R17">
            <v>762.38</v>
          </cell>
          <cell r="S17">
            <v>126.26</v>
          </cell>
          <cell r="T17">
            <v>1996.3</v>
          </cell>
          <cell r="U17">
            <v>2380.8200000000002</v>
          </cell>
        </row>
        <row r="18">
          <cell r="B18">
            <v>405.85</v>
          </cell>
          <cell r="C18">
            <v>795.56</v>
          </cell>
          <cell r="D18">
            <v>1121.54</v>
          </cell>
          <cell r="E18">
            <v>464.27</v>
          </cell>
          <cell r="F18">
            <v>990.01</v>
          </cell>
          <cell r="G18">
            <v>963.48</v>
          </cell>
          <cell r="H18">
            <v>1555.93</v>
          </cell>
          <cell r="I18">
            <v>966.26</v>
          </cell>
          <cell r="J18">
            <v>2592.96</v>
          </cell>
          <cell r="K18">
            <v>851.76</v>
          </cell>
          <cell r="L18">
            <v>2057.09</v>
          </cell>
          <cell r="M18">
            <v>2236.7399999999998</v>
          </cell>
          <cell r="N18">
            <v>201.03</v>
          </cell>
          <cell r="O18">
            <v>1317.1</v>
          </cell>
          <cell r="P18">
            <v>942.4</v>
          </cell>
          <cell r="Q18">
            <v>762.38</v>
          </cell>
          <cell r="R18">
            <v>0</v>
          </cell>
          <cell r="S18">
            <v>872.6</v>
          </cell>
          <cell r="T18">
            <v>1860.39</v>
          </cell>
          <cell r="U18">
            <v>2569.36</v>
          </cell>
        </row>
        <row r="19">
          <cell r="B19">
            <v>670.98</v>
          </cell>
          <cell r="C19">
            <v>92.76</v>
          </cell>
          <cell r="D19">
            <v>267.58999999999997</v>
          </cell>
          <cell r="E19">
            <v>455.89</v>
          </cell>
          <cell r="F19">
            <v>667.4</v>
          </cell>
          <cell r="G19">
            <v>1304.26</v>
          </cell>
          <cell r="H19">
            <v>1579.54</v>
          </cell>
          <cell r="I19">
            <v>445.56</v>
          </cell>
          <cell r="J19">
            <v>2408.69</v>
          </cell>
          <cell r="K19">
            <v>1350.22</v>
          </cell>
          <cell r="L19">
            <v>2203.89</v>
          </cell>
          <cell r="M19">
            <v>2433.1</v>
          </cell>
          <cell r="N19">
            <v>1028.78</v>
          </cell>
          <cell r="O19">
            <v>985.45</v>
          </cell>
          <cell r="P19">
            <v>77.510000000000005</v>
          </cell>
          <cell r="Q19">
            <v>126.26</v>
          </cell>
          <cell r="R19">
            <v>872.6</v>
          </cell>
          <cell r="S19">
            <v>0</v>
          </cell>
          <cell r="T19">
            <v>2100.67</v>
          </cell>
          <cell r="U19">
            <v>2441.19</v>
          </cell>
        </row>
        <row r="20">
          <cell r="B20">
            <v>1596.11</v>
          </cell>
          <cell r="C20">
            <v>2018.99</v>
          </cell>
          <cell r="D20">
            <v>2325.63</v>
          </cell>
          <cell r="E20">
            <v>1792.83</v>
          </cell>
          <cell r="F20">
            <v>1453.1</v>
          </cell>
          <cell r="G20">
            <v>887.48</v>
          </cell>
          <cell r="H20">
            <v>587.11</v>
          </cell>
          <cell r="I20">
            <v>1694.63</v>
          </cell>
          <cell r="J20">
            <v>1113.75</v>
          </cell>
          <cell r="K20">
            <v>1016.48</v>
          </cell>
          <cell r="L20">
            <v>256.75</v>
          </cell>
          <cell r="M20">
            <v>366.1</v>
          </cell>
          <cell r="N20">
            <v>1998.23</v>
          </cell>
          <cell r="O20">
            <v>1278.53</v>
          </cell>
          <cell r="P20">
            <v>2166.14</v>
          </cell>
          <cell r="Q20">
            <v>1996.3</v>
          </cell>
          <cell r="R20">
            <v>1860.39</v>
          </cell>
          <cell r="S20">
            <v>2100.67</v>
          </cell>
          <cell r="T20">
            <v>0</v>
          </cell>
          <cell r="U20">
            <v>1003.62</v>
          </cell>
        </row>
        <row r="21">
          <cell r="B21">
            <v>2192.88</v>
          </cell>
          <cell r="C21">
            <v>2389.0500000000002</v>
          </cell>
          <cell r="D21">
            <v>2576.65</v>
          </cell>
          <cell r="E21">
            <v>2317.1</v>
          </cell>
          <cell r="F21">
            <v>1766.24</v>
          </cell>
          <cell r="G21">
            <v>1643.23</v>
          </cell>
          <cell r="H21">
            <v>987.76</v>
          </cell>
          <cell r="I21">
            <v>1979.33</v>
          </cell>
          <cell r="J21">
            <v>144.47</v>
          </cell>
          <cell r="K21">
            <v>1848.48</v>
          </cell>
          <cell r="L21">
            <v>753.11</v>
          </cell>
          <cell r="M21">
            <v>822.45</v>
          </cell>
          <cell r="N21">
            <v>2754.66</v>
          </cell>
          <cell r="O21">
            <v>1429.76</v>
          </cell>
          <cell r="P21">
            <v>2480.62</v>
          </cell>
          <cell r="Q21">
            <v>2380.8200000000002</v>
          </cell>
          <cell r="R21">
            <v>2569.36</v>
          </cell>
          <cell r="S21">
            <v>2441.19</v>
          </cell>
          <cell r="T21">
            <v>1003.62</v>
          </cell>
          <cell r="U21">
            <v>0</v>
          </cell>
        </row>
      </sheetData>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5FB43-6856-470A-BBB9-B6E3D12B5A89}">
  <sheetPr codeName="Sheet1"/>
  <dimension ref="A1:Z15"/>
  <sheetViews>
    <sheetView zoomScale="114" zoomScaleNormal="100" zoomScaleSheetLayoutView="96" workbookViewId="0">
      <selection activeCell="K25" sqref="K25"/>
    </sheetView>
  </sheetViews>
  <sheetFormatPr baseColWidth="10" defaultColWidth="8.83203125" defaultRowHeight="15" x14ac:dyDescent="0.2"/>
  <cols>
    <col min="11" max="11" width="23.6640625" bestFit="1" customWidth="1"/>
    <col min="12" max="12" width="4.6640625" bestFit="1" customWidth="1"/>
    <col min="19" max="19" width="15.33203125" bestFit="1" customWidth="1"/>
    <col min="20" max="20" width="14.5" bestFit="1" customWidth="1"/>
    <col min="21" max="21" width="9.1640625" bestFit="1" customWidth="1"/>
  </cols>
  <sheetData>
    <row r="1" spans="1:26" ht="16" thickBot="1" x14ac:dyDescent="0.25">
      <c r="A1" s="27" t="s">
        <v>56</v>
      </c>
      <c r="B1" s="27" t="s">
        <v>57</v>
      </c>
      <c r="C1" s="27" t="s">
        <v>58</v>
      </c>
      <c r="D1" s="27" t="s">
        <v>59</v>
      </c>
      <c r="E1" s="27" t="s">
        <v>60</v>
      </c>
      <c r="F1" s="27" t="s">
        <v>61</v>
      </c>
      <c r="G1" s="27" t="s">
        <v>62</v>
      </c>
      <c r="H1" s="27" t="s">
        <v>63</v>
      </c>
      <c r="J1" s="28"/>
      <c r="K1" s="72" t="s">
        <v>71</v>
      </c>
      <c r="L1" s="72" t="s">
        <v>57</v>
      </c>
      <c r="M1" s="72" t="s">
        <v>58</v>
      </c>
      <c r="N1" s="72" t="s">
        <v>64</v>
      </c>
      <c r="O1" s="72" t="s">
        <v>60</v>
      </c>
      <c r="P1" s="72" t="s">
        <v>65</v>
      </c>
      <c r="Q1" s="72" t="s">
        <v>62</v>
      </c>
      <c r="R1" s="72" t="s">
        <v>63</v>
      </c>
      <c r="S1" s="72" t="s">
        <v>66</v>
      </c>
      <c r="T1" s="72" t="s">
        <v>73</v>
      </c>
      <c r="U1" s="29"/>
    </row>
    <row r="2" spans="1:26" x14ac:dyDescent="0.2">
      <c r="A2" s="25" t="s">
        <v>55</v>
      </c>
      <c r="B2" s="26">
        <v>18</v>
      </c>
      <c r="C2" s="26">
        <v>17</v>
      </c>
      <c r="D2" s="26">
        <v>16</v>
      </c>
      <c r="E2" s="26">
        <v>16</v>
      </c>
      <c r="F2" s="26">
        <v>16</v>
      </c>
      <c r="G2" s="26">
        <v>14</v>
      </c>
      <c r="H2" s="26">
        <v>19</v>
      </c>
      <c r="J2" s="28"/>
      <c r="K2" s="72" t="s">
        <v>70</v>
      </c>
      <c r="L2" s="75">
        <v>5</v>
      </c>
      <c r="M2" s="75">
        <v>0</v>
      </c>
      <c r="N2" s="75">
        <v>4</v>
      </c>
      <c r="O2" s="75">
        <v>3</v>
      </c>
      <c r="P2" s="75">
        <v>5</v>
      </c>
      <c r="Q2" s="75">
        <v>2</v>
      </c>
      <c r="R2" s="75">
        <v>5</v>
      </c>
      <c r="S2" s="78">
        <f>SUM(L2:R2)</f>
        <v>24</v>
      </c>
      <c r="T2" s="72">
        <f>S2</f>
        <v>24</v>
      </c>
      <c r="U2" s="29"/>
    </row>
    <row r="3" spans="1:26" x14ac:dyDescent="0.2">
      <c r="J3" s="28"/>
      <c r="K3" s="28"/>
      <c r="L3" s="29"/>
      <c r="M3" s="29"/>
      <c r="N3" s="29"/>
      <c r="O3" s="29"/>
      <c r="P3" s="29"/>
      <c r="Q3" s="29"/>
      <c r="R3" s="29"/>
      <c r="S3" s="28"/>
      <c r="T3" s="28"/>
      <c r="U3" s="28"/>
    </row>
    <row r="4" spans="1:26" x14ac:dyDescent="0.2">
      <c r="J4" s="28"/>
      <c r="K4" s="29"/>
      <c r="L4" s="29"/>
      <c r="M4" s="29"/>
      <c r="N4" s="29"/>
      <c r="O4" s="29"/>
      <c r="P4" s="29"/>
      <c r="Q4" s="29"/>
      <c r="R4" s="29"/>
      <c r="S4" s="29"/>
      <c r="T4" s="29"/>
      <c r="U4" s="29"/>
    </row>
    <row r="5" spans="1:26" x14ac:dyDescent="0.2">
      <c r="J5" s="28"/>
      <c r="K5" s="28"/>
      <c r="L5" s="29"/>
      <c r="M5" s="29"/>
      <c r="N5" s="29"/>
      <c r="O5" s="29"/>
      <c r="P5" s="29"/>
      <c r="Q5" s="29"/>
      <c r="R5" s="29"/>
      <c r="S5" s="29"/>
      <c r="T5" s="29"/>
      <c r="U5" s="29"/>
      <c r="V5" s="34"/>
    </row>
    <row r="6" spans="1:26" x14ac:dyDescent="0.2">
      <c r="J6" s="28"/>
      <c r="K6" s="72" t="s">
        <v>67</v>
      </c>
      <c r="L6" s="72" t="s">
        <v>57</v>
      </c>
      <c r="M6" s="72" t="s">
        <v>58</v>
      </c>
      <c r="N6" s="72" t="s">
        <v>64</v>
      </c>
      <c r="O6" s="72" t="s">
        <v>60</v>
      </c>
      <c r="P6" s="72" t="s">
        <v>65</v>
      </c>
      <c r="Q6" s="72" t="s">
        <v>62</v>
      </c>
      <c r="R6" s="72" t="s">
        <v>63</v>
      </c>
      <c r="S6" s="72" t="s">
        <v>68</v>
      </c>
      <c r="T6" s="72"/>
      <c r="U6" s="72" t="s">
        <v>72</v>
      </c>
    </row>
    <row r="7" spans="1:26" x14ac:dyDescent="0.2">
      <c r="J7" s="28"/>
      <c r="K7" s="72" t="s">
        <v>57</v>
      </c>
      <c r="L7" s="72">
        <v>1</v>
      </c>
      <c r="M7" s="73">
        <v>0</v>
      </c>
      <c r="N7" s="73">
        <v>0</v>
      </c>
      <c r="O7" s="72">
        <v>1</v>
      </c>
      <c r="P7" s="72">
        <v>1</v>
      </c>
      <c r="Q7" s="72">
        <v>1</v>
      </c>
      <c r="R7" s="72">
        <v>1</v>
      </c>
      <c r="S7" s="72">
        <f>SUMPRODUCT($L$2:$R$2, L7:R7)</f>
        <v>20</v>
      </c>
      <c r="T7" s="73" t="s">
        <v>69</v>
      </c>
      <c r="U7" s="72">
        <v>18</v>
      </c>
      <c r="Z7" s="28"/>
    </row>
    <row r="8" spans="1:26" x14ac:dyDescent="0.2">
      <c r="J8" s="28"/>
      <c r="K8" s="72" t="s">
        <v>58</v>
      </c>
      <c r="L8" s="72">
        <v>1</v>
      </c>
      <c r="M8" s="72">
        <v>1</v>
      </c>
      <c r="N8" s="73">
        <v>0</v>
      </c>
      <c r="O8" s="73">
        <v>0</v>
      </c>
      <c r="P8" s="72">
        <v>1</v>
      </c>
      <c r="Q8" s="72">
        <v>1</v>
      </c>
      <c r="R8" s="72">
        <v>1</v>
      </c>
      <c r="S8" s="72">
        <f t="shared" ref="S8:S13" si="0">SUMPRODUCT($L$2:$R$2, L8:R8)</f>
        <v>17</v>
      </c>
      <c r="T8" s="73" t="s">
        <v>69</v>
      </c>
      <c r="U8" s="72">
        <v>17</v>
      </c>
    </row>
    <row r="9" spans="1:26" x14ac:dyDescent="0.2">
      <c r="J9" s="28"/>
      <c r="K9" s="72" t="s">
        <v>64</v>
      </c>
      <c r="L9" s="72">
        <v>1</v>
      </c>
      <c r="M9" s="72">
        <v>1</v>
      </c>
      <c r="N9" s="72">
        <v>1</v>
      </c>
      <c r="O9" s="73">
        <v>0</v>
      </c>
      <c r="P9" s="73">
        <v>0</v>
      </c>
      <c r="Q9" s="72">
        <v>1</v>
      </c>
      <c r="R9" s="72">
        <v>1</v>
      </c>
      <c r="S9" s="72">
        <f t="shared" si="0"/>
        <v>16</v>
      </c>
      <c r="T9" s="73" t="s">
        <v>69</v>
      </c>
      <c r="U9" s="72">
        <v>16</v>
      </c>
    </row>
    <row r="10" spans="1:26" x14ac:dyDescent="0.2">
      <c r="J10" s="28"/>
      <c r="K10" s="72" t="s">
        <v>60</v>
      </c>
      <c r="L10" s="72">
        <v>1</v>
      </c>
      <c r="M10" s="72">
        <v>1</v>
      </c>
      <c r="N10" s="72">
        <v>1</v>
      </c>
      <c r="O10" s="72">
        <v>1</v>
      </c>
      <c r="P10" s="73">
        <v>0</v>
      </c>
      <c r="Q10" s="73">
        <v>0</v>
      </c>
      <c r="R10" s="72">
        <v>1</v>
      </c>
      <c r="S10" s="72">
        <f t="shared" si="0"/>
        <v>17</v>
      </c>
      <c r="T10" s="73" t="s">
        <v>69</v>
      </c>
      <c r="U10" s="72">
        <v>16</v>
      </c>
    </row>
    <row r="11" spans="1:26" x14ac:dyDescent="0.2">
      <c r="J11" s="28"/>
      <c r="K11" s="72" t="s">
        <v>65</v>
      </c>
      <c r="L11" s="72">
        <v>1</v>
      </c>
      <c r="M11" s="72">
        <v>1</v>
      </c>
      <c r="N11" s="72">
        <v>1</v>
      </c>
      <c r="O11" s="72">
        <v>1</v>
      </c>
      <c r="P11" s="72">
        <v>1</v>
      </c>
      <c r="Q11" s="73">
        <v>0</v>
      </c>
      <c r="R11" s="73">
        <v>0</v>
      </c>
      <c r="S11" s="72">
        <f t="shared" si="0"/>
        <v>17</v>
      </c>
      <c r="T11" s="73" t="s">
        <v>69</v>
      </c>
      <c r="U11" s="72">
        <v>16</v>
      </c>
    </row>
    <row r="12" spans="1:26" x14ac:dyDescent="0.2">
      <c r="J12" s="28"/>
      <c r="K12" s="72" t="s">
        <v>62</v>
      </c>
      <c r="L12" s="73">
        <v>0</v>
      </c>
      <c r="M12" s="72">
        <v>1</v>
      </c>
      <c r="N12" s="72">
        <v>1</v>
      </c>
      <c r="O12" s="72">
        <v>1</v>
      </c>
      <c r="P12" s="72">
        <v>1</v>
      </c>
      <c r="Q12" s="72">
        <v>1</v>
      </c>
      <c r="R12" s="73">
        <v>0</v>
      </c>
      <c r="S12" s="72">
        <f t="shared" si="0"/>
        <v>14</v>
      </c>
      <c r="T12" s="73" t="s">
        <v>69</v>
      </c>
      <c r="U12" s="72">
        <v>14</v>
      </c>
    </row>
    <row r="13" spans="1:26" x14ac:dyDescent="0.2">
      <c r="J13" s="28"/>
      <c r="K13" s="72" t="s">
        <v>63</v>
      </c>
      <c r="L13" s="73">
        <v>0</v>
      </c>
      <c r="M13" s="73">
        <v>0</v>
      </c>
      <c r="N13" s="72">
        <v>1</v>
      </c>
      <c r="O13" s="72">
        <v>1</v>
      </c>
      <c r="P13" s="72">
        <v>1</v>
      </c>
      <c r="Q13" s="72">
        <v>1</v>
      </c>
      <c r="R13" s="72">
        <v>1</v>
      </c>
      <c r="S13" s="72">
        <f t="shared" si="0"/>
        <v>19</v>
      </c>
      <c r="T13" s="73" t="s">
        <v>69</v>
      </c>
      <c r="U13" s="72">
        <v>19</v>
      </c>
    </row>
    <row r="14" spans="1:26" x14ac:dyDescent="0.2">
      <c r="J14" s="28"/>
    </row>
    <row r="15" spans="1:26" x14ac:dyDescent="0.2">
      <c r="J15" s="28"/>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57017-1453-0A47-94BC-756FB6FAAAE0}">
  <sheetPr codeName="Sheet2"/>
  <dimension ref="A1:Z15"/>
  <sheetViews>
    <sheetView topLeftCell="F1" zoomScale="114" zoomScaleNormal="100" zoomScaleSheetLayoutView="96" workbookViewId="0">
      <selection activeCell="O28" sqref="O28"/>
    </sheetView>
  </sheetViews>
  <sheetFormatPr baseColWidth="10" defaultColWidth="8.83203125" defaultRowHeight="15" x14ac:dyDescent="0.2"/>
  <cols>
    <col min="11" max="11" width="23.6640625" bestFit="1" customWidth="1"/>
    <col min="12" max="12" width="4.6640625" bestFit="1" customWidth="1"/>
    <col min="18" max="18" width="17.1640625" bestFit="1" customWidth="1"/>
    <col min="19" max="19" width="15.33203125" bestFit="1" customWidth="1"/>
    <col min="20" max="20" width="14.5" bestFit="1" customWidth="1"/>
    <col min="21" max="21" width="9.1640625" bestFit="1" customWidth="1"/>
  </cols>
  <sheetData>
    <row r="1" spans="1:26" ht="16" thickBot="1" x14ac:dyDescent="0.25">
      <c r="A1" s="27" t="s">
        <v>56</v>
      </c>
      <c r="B1" s="27" t="s">
        <v>57</v>
      </c>
      <c r="C1" s="27" t="s">
        <v>58</v>
      </c>
      <c r="D1" s="27" t="s">
        <v>59</v>
      </c>
      <c r="E1" s="27" t="s">
        <v>60</v>
      </c>
      <c r="F1" s="27" t="s">
        <v>61</v>
      </c>
      <c r="G1" s="27" t="s">
        <v>62</v>
      </c>
      <c r="H1" s="27" t="s">
        <v>63</v>
      </c>
      <c r="J1" s="28"/>
      <c r="K1" s="72" t="s">
        <v>71</v>
      </c>
      <c r="L1" s="72" t="s">
        <v>57</v>
      </c>
      <c r="M1" s="72" t="s">
        <v>58</v>
      </c>
      <c r="N1" s="72" t="s">
        <v>64</v>
      </c>
      <c r="O1" s="72" t="s">
        <v>60</v>
      </c>
      <c r="P1" s="72" t="s">
        <v>65</v>
      </c>
      <c r="Q1" s="72" t="s">
        <v>62</v>
      </c>
      <c r="R1" s="72" t="s">
        <v>63</v>
      </c>
      <c r="S1" s="72" t="s">
        <v>66</v>
      </c>
      <c r="T1" s="72" t="s">
        <v>73</v>
      </c>
      <c r="U1" s="29"/>
    </row>
    <row r="2" spans="1:26" x14ac:dyDescent="0.2">
      <c r="A2" s="25" t="s">
        <v>55</v>
      </c>
      <c r="B2" s="26">
        <v>18</v>
      </c>
      <c r="C2" s="26">
        <v>17</v>
      </c>
      <c r="D2" s="26">
        <v>16</v>
      </c>
      <c r="E2" s="26">
        <v>16</v>
      </c>
      <c r="F2" s="26">
        <v>16</v>
      </c>
      <c r="G2" s="26">
        <v>14</v>
      </c>
      <c r="H2" s="26">
        <v>19</v>
      </c>
      <c r="J2" s="28"/>
      <c r="K2" s="72" t="s">
        <v>70</v>
      </c>
      <c r="L2" s="75">
        <v>5</v>
      </c>
      <c r="M2" s="75">
        <v>0</v>
      </c>
      <c r="N2" s="75">
        <v>6</v>
      </c>
      <c r="O2" s="75">
        <v>1</v>
      </c>
      <c r="P2" s="75">
        <v>7</v>
      </c>
      <c r="Q2" s="75">
        <v>1</v>
      </c>
      <c r="R2" s="75">
        <v>4</v>
      </c>
      <c r="S2" s="76">
        <f>SUM(L2:R2)</f>
        <v>24</v>
      </c>
      <c r="T2" s="72">
        <f>S2</f>
        <v>24</v>
      </c>
      <c r="U2" s="29"/>
    </row>
    <row r="3" spans="1:26" x14ac:dyDescent="0.2">
      <c r="J3" s="28"/>
      <c r="K3" s="28"/>
      <c r="L3" s="29"/>
      <c r="M3" s="29"/>
      <c r="N3" s="29"/>
      <c r="O3" s="29"/>
      <c r="P3" s="29"/>
      <c r="Q3" s="29"/>
      <c r="R3" s="29"/>
      <c r="S3" s="28"/>
      <c r="T3" s="28"/>
      <c r="U3" s="28"/>
    </row>
    <row r="4" spans="1:26" x14ac:dyDescent="0.2">
      <c r="J4" s="28"/>
      <c r="K4" s="29"/>
      <c r="L4" s="29"/>
      <c r="M4" s="29"/>
      <c r="N4" s="29"/>
      <c r="O4" s="29"/>
      <c r="P4" s="29"/>
      <c r="Q4" s="30"/>
      <c r="R4" s="74" t="s">
        <v>74</v>
      </c>
      <c r="S4" s="77">
        <f>N2+O2+P2</f>
        <v>14</v>
      </c>
      <c r="T4" s="29"/>
      <c r="U4" s="29"/>
    </row>
    <row r="5" spans="1:26" x14ac:dyDescent="0.2">
      <c r="J5" s="28"/>
      <c r="K5" s="28"/>
      <c r="L5" s="29"/>
      <c r="M5" s="29"/>
      <c r="N5" s="29"/>
      <c r="O5" s="29"/>
      <c r="P5" s="29"/>
      <c r="Q5" s="29"/>
      <c r="R5" s="29"/>
      <c r="S5" s="29"/>
      <c r="T5" s="29"/>
      <c r="U5" s="29"/>
      <c r="V5" s="34"/>
    </row>
    <row r="6" spans="1:26" x14ac:dyDescent="0.2">
      <c r="J6" s="28"/>
      <c r="K6" s="72" t="s">
        <v>67</v>
      </c>
      <c r="L6" s="72" t="s">
        <v>57</v>
      </c>
      <c r="M6" s="72" t="s">
        <v>58</v>
      </c>
      <c r="N6" s="72" t="s">
        <v>64</v>
      </c>
      <c r="O6" s="72" t="s">
        <v>60</v>
      </c>
      <c r="P6" s="72" t="s">
        <v>65</v>
      </c>
      <c r="Q6" s="72" t="s">
        <v>62</v>
      </c>
      <c r="R6" s="72" t="s">
        <v>63</v>
      </c>
      <c r="S6" s="72" t="s">
        <v>68</v>
      </c>
      <c r="T6" s="72"/>
      <c r="U6" s="72" t="s">
        <v>72</v>
      </c>
    </row>
    <row r="7" spans="1:26" x14ac:dyDescent="0.2">
      <c r="J7" s="28"/>
      <c r="K7" s="72" t="s">
        <v>57</v>
      </c>
      <c r="L7" s="72">
        <v>1</v>
      </c>
      <c r="M7" s="73">
        <v>0</v>
      </c>
      <c r="N7" s="73">
        <v>0</v>
      </c>
      <c r="O7" s="72">
        <v>1</v>
      </c>
      <c r="P7" s="72">
        <v>1</v>
      </c>
      <c r="Q7" s="72">
        <v>1</v>
      </c>
      <c r="R7" s="72">
        <v>1</v>
      </c>
      <c r="S7" s="72">
        <f>SUMPRODUCT($L$2:$R$2, L7:R7)</f>
        <v>18</v>
      </c>
      <c r="T7" s="73" t="s">
        <v>69</v>
      </c>
      <c r="U7" s="72">
        <v>18</v>
      </c>
      <c r="Z7" s="28"/>
    </row>
    <row r="8" spans="1:26" x14ac:dyDescent="0.2">
      <c r="J8" s="28"/>
      <c r="K8" s="72" t="s">
        <v>58</v>
      </c>
      <c r="L8" s="72">
        <v>1</v>
      </c>
      <c r="M8" s="72">
        <v>1</v>
      </c>
      <c r="N8" s="73">
        <v>0</v>
      </c>
      <c r="O8" s="73">
        <v>0</v>
      </c>
      <c r="P8" s="72">
        <v>1</v>
      </c>
      <c r="Q8" s="72">
        <v>1</v>
      </c>
      <c r="R8" s="72">
        <v>1</v>
      </c>
      <c r="S8" s="72">
        <f t="shared" ref="S8:S13" si="0">SUMPRODUCT($L$2:$R$2, L8:R8)</f>
        <v>17</v>
      </c>
      <c r="T8" s="73" t="s">
        <v>69</v>
      </c>
      <c r="U8" s="72">
        <v>17</v>
      </c>
    </row>
    <row r="9" spans="1:26" x14ac:dyDescent="0.2">
      <c r="J9" s="28"/>
      <c r="K9" s="72" t="s">
        <v>64</v>
      </c>
      <c r="L9" s="72">
        <v>1</v>
      </c>
      <c r="M9" s="72">
        <v>1</v>
      </c>
      <c r="N9" s="72">
        <v>1</v>
      </c>
      <c r="O9" s="73">
        <v>0</v>
      </c>
      <c r="P9" s="73">
        <v>0</v>
      </c>
      <c r="Q9" s="72">
        <v>1</v>
      </c>
      <c r="R9" s="72">
        <v>1</v>
      </c>
      <c r="S9" s="72">
        <f t="shared" si="0"/>
        <v>16</v>
      </c>
      <c r="T9" s="73" t="s">
        <v>69</v>
      </c>
      <c r="U9" s="72">
        <v>16</v>
      </c>
    </row>
    <row r="10" spans="1:26" x14ac:dyDescent="0.2">
      <c r="J10" s="28"/>
      <c r="K10" s="72" t="s">
        <v>60</v>
      </c>
      <c r="L10" s="72">
        <v>1</v>
      </c>
      <c r="M10" s="72">
        <v>1</v>
      </c>
      <c r="N10" s="72">
        <v>1</v>
      </c>
      <c r="O10" s="72">
        <v>1</v>
      </c>
      <c r="P10" s="73">
        <v>0</v>
      </c>
      <c r="Q10" s="73">
        <v>0</v>
      </c>
      <c r="R10" s="72">
        <v>1</v>
      </c>
      <c r="S10" s="72">
        <f t="shared" si="0"/>
        <v>16</v>
      </c>
      <c r="T10" s="73" t="s">
        <v>69</v>
      </c>
      <c r="U10" s="72">
        <v>16</v>
      </c>
    </row>
    <row r="11" spans="1:26" x14ac:dyDescent="0.2">
      <c r="J11" s="28"/>
      <c r="K11" s="72" t="s">
        <v>65</v>
      </c>
      <c r="L11" s="72">
        <v>1</v>
      </c>
      <c r="M11" s="72">
        <v>1</v>
      </c>
      <c r="N11" s="72">
        <v>1</v>
      </c>
      <c r="O11" s="72">
        <v>1</v>
      </c>
      <c r="P11" s="72">
        <v>1</v>
      </c>
      <c r="Q11" s="73">
        <v>0</v>
      </c>
      <c r="R11" s="73">
        <v>0</v>
      </c>
      <c r="S11" s="72">
        <f t="shared" si="0"/>
        <v>19</v>
      </c>
      <c r="T11" s="73" t="s">
        <v>69</v>
      </c>
      <c r="U11" s="72">
        <v>16</v>
      </c>
    </row>
    <row r="12" spans="1:26" x14ac:dyDescent="0.2">
      <c r="J12" s="28"/>
      <c r="K12" s="72" t="s">
        <v>62</v>
      </c>
      <c r="L12" s="73">
        <v>0</v>
      </c>
      <c r="M12" s="72">
        <v>1</v>
      </c>
      <c r="N12" s="72">
        <v>1</v>
      </c>
      <c r="O12" s="72">
        <v>1</v>
      </c>
      <c r="P12" s="72">
        <v>1</v>
      </c>
      <c r="Q12" s="72">
        <v>1</v>
      </c>
      <c r="R12" s="73">
        <v>0</v>
      </c>
      <c r="S12" s="72">
        <f t="shared" si="0"/>
        <v>15</v>
      </c>
      <c r="T12" s="73" t="s">
        <v>69</v>
      </c>
      <c r="U12" s="72">
        <v>14</v>
      </c>
    </row>
    <row r="13" spans="1:26" x14ac:dyDescent="0.2">
      <c r="J13" s="28"/>
      <c r="K13" s="72" t="s">
        <v>63</v>
      </c>
      <c r="L13" s="73">
        <v>0</v>
      </c>
      <c r="M13" s="73">
        <v>0</v>
      </c>
      <c r="N13" s="72">
        <v>1</v>
      </c>
      <c r="O13" s="72">
        <v>1</v>
      </c>
      <c r="P13" s="72">
        <v>1</v>
      </c>
      <c r="Q13" s="72">
        <v>1</v>
      </c>
      <c r="R13" s="72">
        <v>1</v>
      </c>
      <c r="S13" s="72">
        <f t="shared" si="0"/>
        <v>19</v>
      </c>
      <c r="T13" s="73" t="s">
        <v>69</v>
      </c>
      <c r="U13" s="72">
        <v>19</v>
      </c>
    </row>
    <row r="14" spans="1:26" x14ac:dyDescent="0.2">
      <c r="J14" s="28"/>
    </row>
    <row r="15" spans="1:26" x14ac:dyDescent="0.2">
      <c r="J15" s="28"/>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BBE82-7F2D-4DA7-A83F-B39B184B9597}">
  <sheetPr codeName="Sheet3"/>
  <dimension ref="A1:V28"/>
  <sheetViews>
    <sheetView zoomScale="150" workbookViewId="0">
      <selection activeCell="F7" sqref="F7"/>
    </sheetView>
  </sheetViews>
  <sheetFormatPr baseColWidth="10" defaultColWidth="8.83203125" defaultRowHeight="15" x14ac:dyDescent="0.2"/>
  <cols>
    <col min="1" max="1" width="14" bestFit="1" customWidth="1"/>
    <col min="2" max="2" width="14.1640625" bestFit="1" customWidth="1"/>
  </cols>
  <sheetData>
    <row r="1" spans="1:22" x14ac:dyDescent="0.2">
      <c r="A1" s="71" t="s">
        <v>0</v>
      </c>
      <c r="B1" s="71" t="s">
        <v>5</v>
      </c>
      <c r="C1" s="71" t="s">
        <v>6</v>
      </c>
    </row>
    <row r="2" spans="1:22" x14ac:dyDescent="0.2">
      <c r="A2" s="32" t="s">
        <v>1</v>
      </c>
      <c r="B2" s="32">
        <v>1500</v>
      </c>
      <c r="C2" s="32">
        <v>20</v>
      </c>
    </row>
    <row r="3" spans="1:22" x14ac:dyDescent="0.2">
      <c r="A3" s="32" t="s">
        <v>2</v>
      </c>
      <c r="B3" s="32">
        <v>500</v>
      </c>
      <c r="C3" s="32">
        <v>12.5</v>
      </c>
    </row>
    <row r="4" spans="1:22" x14ac:dyDescent="0.2">
      <c r="A4" s="32" t="s">
        <v>3</v>
      </c>
      <c r="B4" s="32">
        <v>900</v>
      </c>
      <c r="C4" s="32">
        <v>15</v>
      </c>
    </row>
    <row r="5" spans="1:22" x14ac:dyDescent="0.2">
      <c r="A5" s="32" t="s">
        <v>4</v>
      </c>
      <c r="B5" s="32">
        <v>250</v>
      </c>
      <c r="C5" s="32">
        <v>7.5</v>
      </c>
      <c r="V5" s="34" t="s">
        <v>95</v>
      </c>
    </row>
    <row r="6" spans="1:22" x14ac:dyDescent="0.2">
      <c r="V6">
        <f>SUMPRODUCT(B6:U6,$B$4:$U$4)</f>
        <v>0</v>
      </c>
    </row>
    <row r="7" spans="1:22" x14ac:dyDescent="0.2">
      <c r="V7">
        <f t="shared" ref="V7:V25" si="0">SUMPRODUCT(B7:U7,$B$4:$U$4)</f>
        <v>0</v>
      </c>
    </row>
    <row r="8" spans="1:22" x14ac:dyDescent="0.2">
      <c r="V8">
        <f t="shared" si="0"/>
        <v>0</v>
      </c>
    </row>
    <row r="9" spans="1:22" x14ac:dyDescent="0.2">
      <c r="V9">
        <f t="shared" si="0"/>
        <v>0</v>
      </c>
    </row>
    <row r="10" spans="1:22" x14ac:dyDescent="0.2">
      <c r="V10">
        <f t="shared" si="0"/>
        <v>0</v>
      </c>
    </row>
    <row r="11" spans="1:22" x14ac:dyDescent="0.2">
      <c r="V11">
        <f t="shared" si="0"/>
        <v>0</v>
      </c>
    </row>
    <row r="12" spans="1:22" x14ac:dyDescent="0.2">
      <c r="A12" s="66" t="s">
        <v>0</v>
      </c>
      <c r="B12" s="66" t="s">
        <v>75</v>
      </c>
      <c r="C12" s="66" t="s">
        <v>76</v>
      </c>
      <c r="D12" s="66" t="s">
        <v>77</v>
      </c>
      <c r="E12" s="66" t="s">
        <v>78</v>
      </c>
      <c r="V12">
        <f t="shared" si="0"/>
        <v>0</v>
      </c>
    </row>
    <row r="13" spans="1:22" x14ac:dyDescent="0.2">
      <c r="A13" s="67" t="s">
        <v>79</v>
      </c>
      <c r="B13" s="32">
        <v>20</v>
      </c>
      <c r="C13" s="32">
        <v>12.5</v>
      </c>
      <c r="D13" s="32">
        <v>15</v>
      </c>
      <c r="E13" s="32">
        <v>7.5</v>
      </c>
      <c r="V13">
        <f t="shared" si="0"/>
        <v>18187.5</v>
      </c>
    </row>
    <row r="14" spans="1:22" x14ac:dyDescent="0.2">
      <c r="A14" s="68" t="s">
        <v>80</v>
      </c>
      <c r="B14" s="32">
        <v>1500</v>
      </c>
      <c r="C14" s="32">
        <v>500</v>
      </c>
      <c r="D14" s="32">
        <v>900</v>
      </c>
      <c r="E14" s="32">
        <v>250</v>
      </c>
      <c r="V14">
        <f t="shared" si="0"/>
        <v>1357500</v>
      </c>
    </row>
    <row r="15" spans="1:22" x14ac:dyDescent="0.2">
      <c r="A15" s="67" t="s">
        <v>81</v>
      </c>
      <c r="B15" s="69">
        <v>0</v>
      </c>
      <c r="C15" s="69">
        <v>10.000000000000002</v>
      </c>
      <c r="D15" s="69">
        <v>-8.665155314147563E-16</v>
      </c>
      <c r="E15" s="69">
        <v>0</v>
      </c>
      <c r="V15">
        <f t="shared" si="0"/>
        <v>150.00000000000003</v>
      </c>
    </row>
    <row r="16" spans="1:22" x14ac:dyDescent="0.2">
      <c r="V16">
        <f t="shared" si="0"/>
        <v>0</v>
      </c>
    </row>
    <row r="17" spans="1:22" x14ac:dyDescent="0.2">
      <c r="A17" s="32" t="s">
        <v>82</v>
      </c>
      <c r="B17" s="70">
        <f>SUMPRODUCT(B13:E13,B15:E15)</f>
        <v>125.00000000000001</v>
      </c>
      <c r="V17">
        <f t="shared" si="0"/>
        <v>112500.00000000001</v>
      </c>
    </row>
    <row r="18" spans="1:22" x14ac:dyDescent="0.2">
      <c r="V18">
        <f t="shared" si="0"/>
        <v>0</v>
      </c>
    </row>
    <row r="19" spans="1:22" x14ac:dyDescent="0.2">
      <c r="A19" s="66" t="s">
        <v>87</v>
      </c>
      <c r="B19" s="32"/>
      <c r="C19" s="32"/>
      <c r="D19" s="32"/>
      <c r="E19" s="32"/>
      <c r="F19" s="66" t="s">
        <v>55</v>
      </c>
      <c r="G19" s="66" t="s">
        <v>88</v>
      </c>
      <c r="V19">
        <f t="shared" si="0"/>
        <v>0</v>
      </c>
    </row>
    <row r="20" spans="1:22" x14ac:dyDescent="0.2">
      <c r="A20" s="66" t="s">
        <v>83</v>
      </c>
      <c r="B20" s="32">
        <v>1500</v>
      </c>
      <c r="C20" s="32">
        <v>500</v>
      </c>
      <c r="D20" s="32">
        <v>900</v>
      </c>
      <c r="E20" s="32">
        <v>250</v>
      </c>
      <c r="F20" s="32">
        <f>SUMPRODUCT(B20:E20,B15:E15)</f>
        <v>5000</v>
      </c>
      <c r="G20" s="32">
        <v>5000</v>
      </c>
      <c r="V20">
        <f t="shared" si="0"/>
        <v>1357500</v>
      </c>
    </row>
    <row r="21" spans="1:22" x14ac:dyDescent="0.2">
      <c r="A21" s="66" t="s">
        <v>84</v>
      </c>
      <c r="B21" s="32">
        <v>-0.5</v>
      </c>
      <c r="C21" s="32">
        <v>1</v>
      </c>
      <c r="D21" s="32">
        <v>0</v>
      </c>
      <c r="E21" s="32">
        <v>0</v>
      </c>
      <c r="F21" s="32">
        <f>B21*B15+C15</f>
        <v>10.000000000000002</v>
      </c>
      <c r="G21" s="32">
        <v>0</v>
      </c>
      <c r="V21">
        <f t="shared" si="0"/>
        <v>-435</v>
      </c>
    </row>
    <row r="22" spans="1:22" x14ac:dyDescent="0.2">
      <c r="A22" s="66" t="s">
        <v>85</v>
      </c>
      <c r="B22" s="32">
        <v>0</v>
      </c>
      <c r="C22" s="32">
        <v>0</v>
      </c>
      <c r="D22" s="32">
        <v>1</v>
      </c>
      <c r="E22" s="32">
        <v>-2</v>
      </c>
      <c r="F22" s="32">
        <f>D15-2*E15</f>
        <v>-8.665155314147563E-16</v>
      </c>
      <c r="G22" s="32">
        <v>0</v>
      </c>
      <c r="V22">
        <f t="shared" si="0"/>
        <v>0</v>
      </c>
    </row>
    <row r="23" spans="1:22" x14ac:dyDescent="0.2">
      <c r="A23" s="66" t="s">
        <v>86</v>
      </c>
      <c r="B23" s="32">
        <v>0</v>
      </c>
      <c r="C23" s="32">
        <v>0</v>
      </c>
      <c r="D23" s="32">
        <v>0</v>
      </c>
      <c r="E23" s="32">
        <v>1</v>
      </c>
      <c r="F23" s="32">
        <f>E15</f>
        <v>0</v>
      </c>
      <c r="G23" s="32">
        <v>3</v>
      </c>
      <c r="V23">
        <f t="shared" si="0"/>
        <v>0</v>
      </c>
    </row>
    <row r="24" spans="1:22" x14ac:dyDescent="0.2">
      <c r="V24">
        <f t="shared" si="0"/>
        <v>0</v>
      </c>
    </row>
    <row r="25" spans="1:22" x14ac:dyDescent="0.2">
      <c r="V25">
        <f t="shared" si="0"/>
        <v>0</v>
      </c>
    </row>
    <row r="28" spans="1:22" x14ac:dyDescent="0.2">
      <c r="U28" t="s">
        <v>94</v>
      </c>
      <c r="V28">
        <f>SUMPRODUCT(B26:U26,B4:U4)</f>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BB31C-A7D0-44E3-A18E-57FB3F62DD35}">
  <sheetPr codeName="Sheet5"/>
  <dimension ref="B1:V19"/>
  <sheetViews>
    <sheetView zoomScale="111" workbookViewId="0">
      <selection activeCell="K19" sqref="K19"/>
    </sheetView>
  </sheetViews>
  <sheetFormatPr baseColWidth="10" defaultColWidth="8.83203125" defaultRowHeight="15" x14ac:dyDescent="0.2"/>
  <sheetData>
    <row r="1" spans="2:22" x14ac:dyDescent="0.2">
      <c r="B1" s="1"/>
      <c r="C1" s="1"/>
      <c r="D1" s="1"/>
      <c r="E1" s="1"/>
      <c r="F1" s="1"/>
      <c r="G1" s="1"/>
      <c r="H1" s="1"/>
      <c r="I1" s="1"/>
      <c r="J1" s="1"/>
      <c r="K1" s="1"/>
    </row>
    <row r="2" spans="2:22" x14ac:dyDescent="0.2">
      <c r="B2" s="1"/>
      <c r="C2" s="1"/>
      <c r="D2" s="1"/>
      <c r="E2" s="1"/>
      <c r="F2" s="1"/>
      <c r="G2" s="1"/>
      <c r="H2" s="1"/>
      <c r="I2" s="1"/>
      <c r="J2" s="1"/>
      <c r="K2" s="1"/>
    </row>
    <row r="3" spans="2:22" x14ac:dyDescent="0.2">
      <c r="B3" s="1"/>
      <c r="C3" s="1"/>
      <c r="D3" s="1"/>
      <c r="E3" s="1"/>
      <c r="F3" s="1"/>
      <c r="G3" s="1"/>
      <c r="H3" s="1"/>
      <c r="I3" s="1"/>
      <c r="J3" s="1"/>
      <c r="K3" s="1"/>
    </row>
    <row r="4" spans="2:22" x14ac:dyDescent="0.2">
      <c r="B4" s="1"/>
      <c r="C4" s="1"/>
      <c r="D4" s="37" t="s">
        <v>8</v>
      </c>
      <c r="E4" s="37"/>
      <c r="F4" s="37"/>
      <c r="G4" s="37"/>
      <c r="H4" s="37"/>
      <c r="I4" s="37"/>
      <c r="J4" s="37"/>
      <c r="K4" s="1"/>
    </row>
    <row r="5" spans="2:22" x14ac:dyDescent="0.2">
      <c r="B5" s="1"/>
      <c r="C5" s="3"/>
      <c r="D5" s="2">
        <v>1</v>
      </c>
      <c r="E5" s="2">
        <v>2</v>
      </c>
      <c r="F5" s="2">
        <v>3</v>
      </c>
      <c r="G5" s="2">
        <v>4</v>
      </c>
      <c r="H5" s="2">
        <v>5</v>
      </c>
      <c r="I5" s="2">
        <v>6</v>
      </c>
      <c r="J5" s="2">
        <v>7</v>
      </c>
      <c r="K5" s="2" t="s">
        <v>10</v>
      </c>
      <c r="V5" s="34" t="s">
        <v>95</v>
      </c>
    </row>
    <row r="6" spans="2:22" x14ac:dyDescent="0.2">
      <c r="B6" s="1"/>
      <c r="C6" s="2" t="s">
        <v>9</v>
      </c>
      <c r="D6" s="5">
        <v>0</v>
      </c>
      <c r="E6" s="5">
        <v>0</v>
      </c>
      <c r="F6" s="5">
        <v>1</v>
      </c>
      <c r="G6" s="5">
        <v>1</v>
      </c>
      <c r="H6" s="5">
        <v>0</v>
      </c>
      <c r="I6" s="5">
        <v>1</v>
      </c>
      <c r="J6" s="5">
        <v>0</v>
      </c>
      <c r="K6" s="40">
        <f>SUMPRODUCT(D7:J7,D6:J6)</f>
        <v>3150</v>
      </c>
      <c r="V6">
        <f>SUMPRODUCT(B6:U6,$B$4:$U$4)</f>
        <v>0</v>
      </c>
    </row>
    <row r="7" spans="2:22" x14ac:dyDescent="0.2">
      <c r="B7" s="1"/>
      <c r="C7" s="2" t="s">
        <v>11</v>
      </c>
      <c r="D7" s="4">
        <v>700</v>
      </c>
      <c r="E7" s="4">
        <v>600</v>
      </c>
      <c r="F7" s="4">
        <v>900</v>
      </c>
      <c r="G7" s="4">
        <v>1250</v>
      </c>
      <c r="H7" s="4">
        <v>850</v>
      </c>
      <c r="I7" s="4">
        <v>1000</v>
      </c>
      <c r="J7" s="4">
        <v>1100</v>
      </c>
      <c r="K7">
        <f>SUMPRODUCT(D7:J7,D6:J6)</f>
        <v>3150</v>
      </c>
      <c r="V7">
        <f t="shared" ref="V7:V25" si="0">SUMPRODUCT(B7:U7,$B$4:$U$4)</f>
        <v>0</v>
      </c>
    </row>
    <row r="8" spans="2:22" x14ac:dyDescent="0.2">
      <c r="B8" s="1"/>
      <c r="C8" s="2" t="s">
        <v>89</v>
      </c>
      <c r="D8" s="4"/>
      <c r="E8" s="4"/>
      <c r="F8" s="4"/>
      <c r="G8" s="4"/>
      <c r="H8" s="4"/>
      <c r="I8" s="4"/>
      <c r="J8" s="4"/>
      <c r="V8">
        <f t="shared" si="0"/>
        <v>0</v>
      </c>
    </row>
    <row r="9" spans="2:22" x14ac:dyDescent="0.2">
      <c r="B9" s="1"/>
      <c r="C9" s="2"/>
      <c r="D9" s="37" t="s">
        <v>12</v>
      </c>
      <c r="E9" s="37"/>
      <c r="F9" s="37"/>
      <c r="G9" s="37"/>
      <c r="H9" s="37"/>
      <c r="I9" s="37"/>
      <c r="J9" s="37"/>
      <c r="K9" s="33" t="s">
        <v>90</v>
      </c>
      <c r="V9">
        <f t="shared" si="0"/>
        <v>0</v>
      </c>
    </row>
    <row r="10" spans="2:22" x14ac:dyDescent="0.2">
      <c r="B10" s="38" t="s">
        <v>13</v>
      </c>
      <c r="C10" s="2">
        <v>1</v>
      </c>
      <c r="D10" s="32">
        <v>1</v>
      </c>
      <c r="E10" s="32">
        <v>0</v>
      </c>
      <c r="F10" s="32">
        <v>0</v>
      </c>
      <c r="G10" s="32">
        <v>1</v>
      </c>
      <c r="H10" s="32">
        <v>0</v>
      </c>
      <c r="I10" s="32">
        <v>0</v>
      </c>
      <c r="J10" s="32">
        <v>1</v>
      </c>
      <c r="K10">
        <f>SUMPRODUCT($D$6:$J$6,D10:J10)</f>
        <v>1</v>
      </c>
      <c r="L10" t="s">
        <v>69</v>
      </c>
      <c r="M10">
        <v>1</v>
      </c>
    </row>
    <row r="11" spans="2:22" x14ac:dyDescent="0.2">
      <c r="B11" s="38"/>
      <c r="C11" s="2">
        <v>2</v>
      </c>
      <c r="D11" s="32">
        <v>1</v>
      </c>
      <c r="E11" s="32">
        <v>0</v>
      </c>
      <c r="F11" s="32">
        <v>1</v>
      </c>
      <c r="G11" s="32">
        <v>0</v>
      </c>
      <c r="H11" s="32">
        <v>1</v>
      </c>
      <c r="I11" s="32">
        <v>0</v>
      </c>
      <c r="J11" s="32">
        <v>0</v>
      </c>
      <c r="K11">
        <f t="shared" ref="K11:K19" si="1">SUMPRODUCT($D$6:$J$6,D11:J11)</f>
        <v>1</v>
      </c>
      <c r="L11" t="s">
        <v>69</v>
      </c>
      <c r="M11">
        <v>1</v>
      </c>
    </row>
    <row r="12" spans="2:22" x14ac:dyDescent="0.2">
      <c r="B12" s="38"/>
      <c r="C12" s="2">
        <v>3</v>
      </c>
      <c r="D12" s="32">
        <v>0</v>
      </c>
      <c r="E12" s="32">
        <v>1</v>
      </c>
      <c r="F12" s="32">
        <v>1</v>
      </c>
      <c r="G12" s="32">
        <v>1</v>
      </c>
      <c r="H12" s="32">
        <v>0</v>
      </c>
      <c r="I12" s="32">
        <v>0</v>
      </c>
      <c r="J12" s="32">
        <v>0</v>
      </c>
      <c r="K12">
        <f t="shared" si="1"/>
        <v>2</v>
      </c>
      <c r="L12" t="s">
        <v>69</v>
      </c>
      <c r="M12">
        <v>1</v>
      </c>
    </row>
    <row r="13" spans="2:22" x14ac:dyDescent="0.2">
      <c r="B13" s="38"/>
      <c r="C13" s="2">
        <v>4</v>
      </c>
      <c r="D13" s="32">
        <v>0</v>
      </c>
      <c r="E13" s="32">
        <v>0</v>
      </c>
      <c r="F13" s="32">
        <v>0</v>
      </c>
      <c r="G13" s="32">
        <v>0</v>
      </c>
      <c r="H13" s="32">
        <v>1</v>
      </c>
      <c r="I13" s="32">
        <v>1</v>
      </c>
      <c r="J13" s="32">
        <v>0</v>
      </c>
      <c r="K13">
        <f t="shared" si="1"/>
        <v>1</v>
      </c>
      <c r="L13" t="s">
        <v>69</v>
      </c>
      <c r="M13">
        <v>1</v>
      </c>
    </row>
    <row r="14" spans="2:22" x14ac:dyDescent="0.2">
      <c r="B14" s="38"/>
      <c r="C14" s="2">
        <v>5</v>
      </c>
      <c r="D14" s="32">
        <v>1</v>
      </c>
      <c r="E14" s="32">
        <v>0</v>
      </c>
      <c r="F14" s="32">
        <v>0</v>
      </c>
      <c r="G14" s="32">
        <v>0</v>
      </c>
      <c r="H14" s="32">
        <v>0</v>
      </c>
      <c r="I14" s="32">
        <v>1</v>
      </c>
      <c r="J14" s="32">
        <v>1</v>
      </c>
      <c r="K14">
        <f t="shared" si="1"/>
        <v>1</v>
      </c>
      <c r="L14" t="s">
        <v>69</v>
      </c>
      <c r="M14">
        <v>1</v>
      </c>
    </row>
    <row r="15" spans="2:22" x14ac:dyDescent="0.2">
      <c r="B15" s="38"/>
      <c r="C15" s="2">
        <v>6</v>
      </c>
      <c r="D15" s="32">
        <v>0</v>
      </c>
      <c r="E15" s="32">
        <v>1</v>
      </c>
      <c r="F15" s="32">
        <v>0</v>
      </c>
      <c r="G15" s="32">
        <v>1</v>
      </c>
      <c r="H15" s="32">
        <v>1</v>
      </c>
      <c r="I15" s="32">
        <v>0</v>
      </c>
      <c r="J15" s="32">
        <v>0</v>
      </c>
      <c r="K15">
        <f t="shared" si="1"/>
        <v>1</v>
      </c>
      <c r="L15" t="s">
        <v>69</v>
      </c>
      <c r="M15">
        <v>1</v>
      </c>
    </row>
    <row r="16" spans="2:22" x14ac:dyDescent="0.2">
      <c r="B16" s="38"/>
      <c r="C16" s="2">
        <v>7</v>
      </c>
      <c r="D16" s="32">
        <v>0</v>
      </c>
      <c r="E16" s="32">
        <v>1</v>
      </c>
      <c r="F16" s="32">
        <v>1</v>
      </c>
      <c r="G16" s="32">
        <v>0</v>
      </c>
      <c r="H16" s="32">
        <v>0</v>
      </c>
      <c r="I16" s="32">
        <v>0</v>
      </c>
      <c r="J16" s="32">
        <v>1</v>
      </c>
      <c r="K16">
        <f t="shared" si="1"/>
        <v>1</v>
      </c>
      <c r="L16" t="s">
        <v>69</v>
      </c>
      <c r="M16">
        <v>1</v>
      </c>
    </row>
    <row r="17" spans="2:13" x14ac:dyDescent="0.2">
      <c r="B17" s="38"/>
      <c r="C17" s="2">
        <v>8</v>
      </c>
      <c r="D17" s="32">
        <v>0</v>
      </c>
      <c r="E17" s="32">
        <v>0</v>
      </c>
      <c r="F17" s="32">
        <v>0</v>
      </c>
      <c r="G17" s="32">
        <v>0</v>
      </c>
      <c r="H17" s="32">
        <v>1</v>
      </c>
      <c r="I17" s="32">
        <v>1</v>
      </c>
      <c r="J17" s="32">
        <v>1</v>
      </c>
      <c r="K17">
        <f t="shared" si="1"/>
        <v>1</v>
      </c>
      <c r="L17" t="s">
        <v>69</v>
      </c>
      <c r="M17">
        <v>1</v>
      </c>
    </row>
    <row r="18" spans="2:13" x14ac:dyDescent="0.2">
      <c r="B18" s="38"/>
      <c r="C18" s="2">
        <v>9</v>
      </c>
      <c r="D18" s="32">
        <v>0</v>
      </c>
      <c r="E18" s="32">
        <v>0</v>
      </c>
      <c r="F18" s="32">
        <v>1</v>
      </c>
      <c r="G18" s="32">
        <v>0</v>
      </c>
      <c r="H18" s="32">
        <v>0</v>
      </c>
      <c r="I18" s="32">
        <v>0</v>
      </c>
      <c r="J18" s="32">
        <v>1</v>
      </c>
      <c r="K18">
        <f t="shared" si="1"/>
        <v>1</v>
      </c>
      <c r="L18" t="s">
        <v>69</v>
      </c>
      <c r="M18">
        <v>1</v>
      </c>
    </row>
    <row r="19" spans="2:13" x14ac:dyDescent="0.2">
      <c r="B19" s="38"/>
      <c r="C19" s="2">
        <v>10</v>
      </c>
      <c r="D19" s="32">
        <v>0</v>
      </c>
      <c r="E19" s="32">
        <v>0</v>
      </c>
      <c r="F19" s="32">
        <v>0</v>
      </c>
      <c r="G19" s="32">
        <v>1</v>
      </c>
      <c r="H19" s="32">
        <v>0</v>
      </c>
      <c r="I19" s="32">
        <v>1</v>
      </c>
      <c r="J19" s="32">
        <v>0</v>
      </c>
      <c r="K19">
        <f t="shared" si="1"/>
        <v>2</v>
      </c>
      <c r="L19" t="s">
        <v>69</v>
      </c>
      <c r="M19">
        <v>1</v>
      </c>
    </row>
  </sheetData>
  <mergeCells count="3">
    <mergeCell ref="D4:J4"/>
    <mergeCell ref="D9:J9"/>
    <mergeCell ref="B10:B1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F3DEE-FEEC-43C7-9111-29D5A1C8599B}">
  <sheetPr codeName="Sheet6"/>
  <dimension ref="B1:V28"/>
  <sheetViews>
    <sheetView zoomScale="150" workbookViewId="0">
      <selection activeCell="C14" sqref="C14"/>
    </sheetView>
  </sheetViews>
  <sheetFormatPr baseColWidth="10" defaultColWidth="8.83203125" defaultRowHeight="15" x14ac:dyDescent="0.2"/>
  <cols>
    <col min="1" max="1" width="8.83203125" style="57"/>
    <col min="2" max="2" width="9.1640625" style="57" bestFit="1" customWidth="1"/>
    <col min="3" max="3" width="10" style="57" bestFit="1" customWidth="1"/>
    <col min="4" max="4" width="12.33203125" style="57" bestFit="1" customWidth="1"/>
    <col min="5" max="5" width="7.1640625" style="57" bestFit="1" customWidth="1"/>
    <col min="6" max="6" width="9.33203125" style="57" bestFit="1" customWidth="1"/>
    <col min="7" max="21" width="8.83203125" style="57"/>
    <col min="22" max="22" width="8.6640625" style="57" bestFit="1" customWidth="1"/>
    <col min="23" max="16384" width="8.83203125" style="57"/>
  </cols>
  <sheetData>
    <row r="1" spans="2:22" x14ac:dyDescent="0.2">
      <c r="B1" s="56"/>
      <c r="C1" s="56"/>
      <c r="D1" s="56"/>
      <c r="E1" s="56"/>
      <c r="F1" s="56"/>
    </row>
    <row r="2" spans="2:22" x14ac:dyDescent="0.2">
      <c r="B2" s="58"/>
      <c r="C2" s="58"/>
      <c r="D2" s="58"/>
      <c r="E2" s="58"/>
      <c r="F2" s="58"/>
    </row>
    <row r="3" spans="2:22" x14ac:dyDescent="0.2">
      <c r="B3" s="58"/>
      <c r="C3" s="58"/>
      <c r="D3" s="56" t="s">
        <v>14</v>
      </c>
      <c r="E3" s="56" t="s">
        <v>15</v>
      </c>
      <c r="F3" s="56" t="s">
        <v>16</v>
      </c>
    </row>
    <row r="4" spans="2:22" ht="16" thickBot="1" x14ac:dyDescent="0.25">
      <c r="B4" s="59" t="s">
        <v>7</v>
      </c>
      <c r="C4" s="59" t="s">
        <v>9</v>
      </c>
      <c r="D4" s="59" t="s">
        <v>17</v>
      </c>
      <c r="E4" s="59" t="s">
        <v>17</v>
      </c>
      <c r="F4" s="59" t="s">
        <v>18</v>
      </c>
      <c r="G4" s="56"/>
      <c r="H4" s="56"/>
      <c r="I4" s="56"/>
    </row>
    <row r="5" spans="2:22" ht="16" x14ac:dyDescent="0.2">
      <c r="B5" s="56">
        <v>1</v>
      </c>
      <c r="C5" s="57">
        <v>1</v>
      </c>
      <c r="D5" s="56">
        <v>7</v>
      </c>
      <c r="E5" s="60">
        <v>250</v>
      </c>
      <c r="F5" s="60">
        <v>650</v>
      </c>
      <c r="V5" s="61" t="s">
        <v>95</v>
      </c>
    </row>
    <row r="6" spans="2:22" x14ac:dyDescent="0.2">
      <c r="B6" s="56">
        <v>2</v>
      </c>
      <c r="C6" s="57">
        <v>0</v>
      </c>
      <c r="D6" s="56">
        <v>6</v>
      </c>
      <c r="E6" s="60">
        <v>175</v>
      </c>
      <c r="F6" s="60">
        <v>550</v>
      </c>
      <c r="V6" s="57">
        <f>SUMPRODUCT(B6:U6,$B$4:$U$4)</f>
        <v>0</v>
      </c>
    </row>
    <row r="7" spans="2:22" x14ac:dyDescent="0.2">
      <c r="B7" s="56">
        <v>3</v>
      </c>
      <c r="C7" s="57">
        <v>0</v>
      </c>
      <c r="D7" s="56">
        <v>9</v>
      </c>
      <c r="E7" s="60">
        <v>300</v>
      </c>
      <c r="F7" s="60">
        <v>600</v>
      </c>
      <c r="V7" s="57">
        <f t="shared" ref="V7:V25" si="0">SUMPRODUCT(B7:U7,$B$4:$U$4)</f>
        <v>0</v>
      </c>
    </row>
    <row r="8" spans="2:22" x14ac:dyDescent="0.2">
      <c r="B8" s="56">
        <v>4</v>
      </c>
      <c r="C8" s="57">
        <v>0</v>
      </c>
      <c r="D8" s="56">
        <v>5</v>
      </c>
      <c r="E8" s="60">
        <v>150</v>
      </c>
      <c r="F8" s="60">
        <v>450</v>
      </c>
      <c r="V8" s="57">
        <f t="shared" si="0"/>
        <v>0</v>
      </c>
    </row>
    <row r="9" spans="2:22" x14ac:dyDescent="0.2">
      <c r="B9" s="56">
        <v>5</v>
      </c>
      <c r="C9" s="57">
        <v>0</v>
      </c>
      <c r="D9" s="56">
        <v>6</v>
      </c>
      <c r="E9" s="60">
        <v>145</v>
      </c>
      <c r="F9" s="60">
        <v>375</v>
      </c>
      <c r="V9" s="57">
        <f t="shared" si="0"/>
        <v>0</v>
      </c>
    </row>
    <row r="10" spans="2:22" x14ac:dyDescent="0.2">
      <c r="B10" s="56">
        <v>6</v>
      </c>
      <c r="C10" s="57">
        <v>1</v>
      </c>
      <c r="D10" s="56">
        <v>4</v>
      </c>
      <c r="E10" s="60">
        <v>160</v>
      </c>
      <c r="F10" s="60">
        <v>525</v>
      </c>
      <c r="V10" s="57">
        <f t="shared" si="0"/>
        <v>0</v>
      </c>
    </row>
    <row r="11" spans="2:22" ht="16" thickBot="1" x14ac:dyDescent="0.25">
      <c r="B11" s="59">
        <v>7</v>
      </c>
      <c r="C11" s="57">
        <v>1</v>
      </c>
      <c r="D11" s="59">
        <v>8</v>
      </c>
      <c r="E11" s="62">
        <v>325</v>
      </c>
      <c r="F11" s="62">
        <v>750</v>
      </c>
      <c r="V11" s="57">
        <f t="shared" si="0"/>
        <v>0</v>
      </c>
    </row>
    <row r="12" spans="2:22" x14ac:dyDescent="0.2">
      <c r="B12" s="56" t="s">
        <v>91</v>
      </c>
      <c r="C12" s="56"/>
      <c r="D12" s="57">
        <f>SUM(D5:D11)</f>
        <v>45</v>
      </c>
      <c r="E12" s="63">
        <f>SUM(E5:E11)</f>
        <v>1505</v>
      </c>
      <c r="F12" s="64">
        <f>SUMPRODUCT(C5:C11,F5:F11)</f>
        <v>1925</v>
      </c>
      <c r="V12" s="57">
        <f t="shared" si="0"/>
        <v>0</v>
      </c>
    </row>
    <row r="13" spans="2:22" ht="29" x14ac:dyDescent="0.2">
      <c r="B13" s="56"/>
      <c r="C13" s="56" t="s">
        <v>106</v>
      </c>
      <c r="D13" s="56">
        <f>C6+C10</f>
        <v>1</v>
      </c>
      <c r="E13" s="60"/>
      <c r="F13" s="56"/>
      <c r="V13" s="57">
        <f t="shared" si="0"/>
        <v>0</v>
      </c>
    </row>
    <row r="14" spans="2:22" x14ac:dyDescent="0.2">
      <c r="C14" s="65" t="s">
        <v>92</v>
      </c>
      <c r="E14" s="57">
        <f>SUMPRODUCT(C5:C11,E5:E11)</f>
        <v>735</v>
      </c>
      <c r="V14" s="57">
        <f t="shared" si="0"/>
        <v>0</v>
      </c>
    </row>
    <row r="15" spans="2:22" x14ac:dyDescent="0.2">
      <c r="C15" s="65" t="s">
        <v>93</v>
      </c>
      <c r="E15" s="57">
        <f>SUMPRODUCT(C5:C11,D5:D11)</f>
        <v>19</v>
      </c>
      <c r="V15" s="57">
        <f t="shared" si="0"/>
        <v>0</v>
      </c>
    </row>
    <row r="16" spans="2:22" x14ac:dyDescent="0.2">
      <c r="V16" s="57">
        <f t="shared" si="0"/>
        <v>0</v>
      </c>
    </row>
    <row r="17" spans="21:22" x14ac:dyDescent="0.2">
      <c r="V17" s="57">
        <f t="shared" si="0"/>
        <v>0</v>
      </c>
    </row>
    <row r="18" spans="21:22" x14ac:dyDescent="0.2">
      <c r="V18" s="57">
        <f t="shared" si="0"/>
        <v>0</v>
      </c>
    </row>
    <row r="19" spans="21:22" x14ac:dyDescent="0.2">
      <c r="V19" s="57">
        <f t="shared" si="0"/>
        <v>0</v>
      </c>
    </row>
    <row r="20" spans="21:22" x14ac:dyDescent="0.2">
      <c r="V20" s="57">
        <f t="shared" si="0"/>
        <v>0</v>
      </c>
    </row>
    <row r="21" spans="21:22" x14ac:dyDescent="0.2">
      <c r="V21" s="57">
        <f t="shared" si="0"/>
        <v>0</v>
      </c>
    </row>
    <row r="22" spans="21:22" x14ac:dyDescent="0.2">
      <c r="V22" s="57">
        <f t="shared" si="0"/>
        <v>0</v>
      </c>
    </row>
    <row r="23" spans="21:22" x14ac:dyDescent="0.2">
      <c r="V23" s="57">
        <f t="shared" si="0"/>
        <v>0</v>
      </c>
    </row>
    <row r="24" spans="21:22" x14ac:dyDescent="0.2">
      <c r="V24" s="57">
        <f t="shared" si="0"/>
        <v>0</v>
      </c>
    </row>
    <row r="25" spans="21:22" x14ac:dyDescent="0.2">
      <c r="V25" s="57">
        <f t="shared" si="0"/>
        <v>0</v>
      </c>
    </row>
    <row r="28" spans="21:22" ht="16" x14ac:dyDescent="0.2">
      <c r="U28" s="57" t="s">
        <v>94</v>
      </c>
      <c r="V28" s="57">
        <f>SUMPRODUCT(B26:U26,B4:U4)</f>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AA72B-E910-4C73-921D-B10DEF0895A8}">
  <sheetPr codeName="Sheet7"/>
  <dimension ref="A4:V28"/>
  <sheetViews>
    <sheetView tabSelected="1" zoomScale="93" workbookViewId="0">
      <selection activeCell="Q33" sqref="Q33"/>
    </sheetView>
  </sheetViews>
  <sheetFormatPr baseColWidth="10" defaultColWidth="8.83203125" defaultRowHeight="15" x14ac:dyDescent="0.2"/>
  <cols>
    <col min="1" max="1" width="14.5" bestFit="1" customWidth="1"/>
    <col min="2" max="2" width="6.6640625" bestFit="1" customWidth="1"/>
    <col min="4" max="4" width="6.6640625" bestFit="1" customWidth="1"/>
    <col min="5" max="5" width="8.6640625" bestFit="1" customWidth="1"/>
    <col min="6" max="6" width="7.33203125" bestFit="1" customWidth="1"/>
    <col min="7" max="7" width="5.83203125" bestFit="1" customWidth="1"/>
    <col min="8" max="10" width="6.83203125" bestFit="1" customWidth="1"/>
    <col min="11" max="11" width="7.83203125" bestFit="1" customWidth="1"/>
    <col min="12" max="12" width="8.5" bestFit="1" customWidth="1"/>
    <col min="13" max="13" width="10.33203125" bestFit="1" customWidth="1"/>
    <col min="14" max="14" width="6.6640625" bestFit="1" customWidth="1"/>
    <col min="15" max="15" width="10.6640625" bestFit="1" customWidth="1"/>
    <col min="16" max="16" width="8.33203125" bestFit="1" customWidth="1"/>
    <col min="17" max="17" width="13" bestFit="1" customWidth="1"/>
    <col min="18" max="18" width="7.33203125" bestFit="1" customWidth="1"/>
    <col min="19" max="19" width="10.5" bestFit="1" customWidth="1"/>
    <col min="20" max="20" width="7.5" bestFit="1" customWidth="1"/>
    <col min="21" max="22" width="9.1640625" bestFit="1" customWidth="1"/>
  </cols>
  <sheetData>
    <row r="4" spans="1:22" x14ac:dyDescent="0.2">
      <c r="A4" t="s">
        <v>9</v>
      </c>
      <c r="B4" s="18">
        <v>0</v>
      </c>
      <c r="C4" s="18">
        <v>1</v>
      </c>
      <c r="D4" s="18">
        <v>0</v>
      </c>
      <c r="E4" s="18">
        <v>0</v>
      </c>
      <c r="F4" s="18">
        <v>0</v>
      </c>
      <c r="G4" s="18">
        <v>1</v>
      </c>
      <c r="H4" s="18">
        <v>1</v>
      </c>
      <c r="I4" s="18">
        <v>0</v>
      </c>
      <c r="J4" s="18">
        <v>0</v>
      </c>
      <c r="K4" s="18">
        <v>0</v>
      </c>
      <c r="L4" s="18">
        <v>1</v>
      </c>
      <c r="M4" s="18">
        <v>0</v>
      </c>
      <c r="N4" s="18">
        <v>0</v>
      </c>
      <c r="O4" s="18">
        <v>1</v>
      </c>
      <c r="P4" s="18">
        <v>0</v>
      </c>
      <c r="Q4" s="18">
        <v>0</v>
      </c>
      <c r="R4" s="18">
        <v>1</v>
      </c>
      <c r="S4" s="18">
        <v>0</v>
      </c>
      <c r="T4" s="18">
        <v>0</v>
      </c>
      <c r="U4" s="18">
        <v>1</v>
      </c>
    </row>
    <row r="5" spans="1:22" x14ac:dyDescent="0.2">
      <c r="A5" s="11" t="s">
        <v>19</v>
      </c>
      <c r="B5" s="12" t="s">
        <v>20</v>
      </c>
      <c r="C5" s="12" t="s">
        <v>21</v>
      </c>
      <c r="D5" s="12" t="s">
        <v>22</v>
      </c>
      <c r="E5" s="12" t="s">
        <v>23</v>
      </c>
      <c r="F5" s="12" t="s">
        <v>24</v>
      </c>
      <c r="G5" s="12" t="s">
        <v>25</v>
      </c>
      <c r="H5" s="12" t="s">
        <v>26</v>
      </c>
      <c r="I5" s="12" t="s">
        <v>27</v>
      </c>
      <c r="J5" s="12" t="s">
        <v>28</v>
      </c>
      <c r="K5" s="12" t="s">
        <v>29</v>
      </c>
      <c r="L5" s="12" t="s">
        <v>30</v>
      </c>
      <c r="M5" s="12" t="s">
        <v>31</v>
      </c>
      <c r="N5" s="12" t="s">
        <v>32</v>
      </c>
      <c r="O5" s="12" t="s">
        <v>33</v>
      </c>
      <c r="P5" s="12" t="s">
        <v>34</v>
      </c>
      <c r="Q5" s="12" t="s">
        <v>35</v>
      </c>
      <c r="R5" s="12" t="s">
        <v>36</v>
      </c>
      <c r="S5" s="12" t="s">
        <v>37</v>
      </c>
      <c r="T5" s="12" t="s">
        <v>38</v>
      </c>
      <c r="U5" s="12" t="s">
        <v>39</v>
      </c>
      <c r="V5" s="31" t="s">
        <v>95</v>
      </c>
    </row>
    <row r="6" spans="1:22" x14ac:dyDescent="0.2">
      <c r="A6" s="10" t="s">
        <v>20</v>
      </c>
      <c r="B6" s="13">
        <f>IF([1]Miles!B2&lt;500,1,0)</f>
        <v>1</v>
      </c>
      <c r="C6" s="13">
        <f>IF([1]Miles!C2&lt;500,1,0)</f>
        <v>0</v>
      </c>
      <c r="D6" s="13">
        <f>IF([1]Miles!D2&lt;500,1,0)</f>
        <v>0</v>
      </c>
      <c r="E6" s="13">
        <f>IF([1]Miles!E2&lt;500,1,0)</f>
        <v>1</v>
      </c>
      <c r="F6" s="13">
        <f>IF([1]Miles!F2&lt;500,1,0)</f>
        <v>0</v>
      </c>
      <c r="G6" s="13">
        <f>IF([1]Miles!G2&lt;500,1,0)</f>
        <v>0</v>
      </c>
      <c r="H6" s="13">
        <f>IF([1]Miles!H2&lt;500,1,0)</f>
        <v>0</v>
      </c>
      <c r="I6" s="13">
        <f>IF([1]Miles!I2&lt;500,1,0)</f>
        <v>0</v>
      </c>
      <c r="J6" s="13">
        <f>IF([1]Miles!J2&lt;500,1,0)</f>
        <v>0</v>
      </c>
      <c r="K6" s="13">
        <f>IF([1]Miles!K2&lt;500,1,0)</f>
        <v>0</v>
      </c>
      <c r="L6" s="13">
        <f>IF([1]Miles!L2&lt;500,1,0)</f>
        <v>0</v>
      </c>
      <c r="M6" s="13">
        <f>IF([1]Miles!M2&lt;500,1,0)</f>
        <v>0</v>
      </c>
      <c r="N6" s="13">
        <f>IF([1]Miles!N2&lt;500,1,0)</f>
        <v>0</v>
      </c>
      <c r="O6" s="13">
        <f>IF([1]Miles!O2&lt;500,1,0)</f>
        <v>0</v>
      </c>
      <c r="P6" s="13">
        <f>IF([1]Miles!P2&lt;500,1,0)</f>
        <v>0</v>
      </c>
      <c r="Q6" s="13">
        <f>IF([1]Miles!Q2&lt;500,1,0)</f>
        <v>0</v>
      </c>
      <c r="R6" s="13">
        <f>IF([1]Miles!R2&lt;500,1,0)</f>
        <v>1</v>
      </c>
      <c r="S6" s="13">
        <f>IF([1]Miles!S2&lt;500,1,0)</f>
        <v>0</v>
      </c>
      <c r="T6" s="13">
        <f>IF([1]Miles!T2&lt;500,1,0)</f>
        <v>0</v>
      </c>
      <c r="U6" s="13">
        <f>IF([1]Miles!U2&lt;500,1,0)</f>
        <v>0</v>
      </c>
      <c r="V6">
        <f>SUMPRODUCT(B6:U6,$B$4:$U$4)</f>
        <v>1</v>
      </c>
    </row>
    <row r="7" spans="1:22" x14ac:dyDescent="0.2">
      <c r="A7" s="10" t="s">
        <v>21</v>
      </c>
      <c r="B7" s="13">
        <f>IF([1]Miles!B3&lt;500,1,0)</f>
        <v>0</v>
      </c>
      <c r="C7" s="13">
        <f>IF([1]Miles!C3&lt;500,1,0)</f>
        <v>1</v>
      </c>
      <c r="D7" s="13">
        <f>IF([1]Miles!D3&lt;500,1,0)</f>
        <v>1</v>
      </c>
      <c r="E7" s="13">
        <f>IF([1]Miles!E3&lt;500,1,0)</f>
        <v>1</v>
      </c>
      <c r="F7" s="13">
        <f>IF([1]Miles!F3&lt;500,1,0)</f>
        <v>0</v>
      </c>
      <c r="G7" s="13">
        <f>IF([1]Miles!G3&lt;500,1,0)</f>
        <v>0</v>
      </c>
      <c r="H7" s="13">
        <f>IF([1]Miles!H3&lt;500,1,0)</f>
        <v>0</v>
      </c>
      <c r="I7" s="13">
        <f>IF([1]Miles!I3&lt;500,1,0)</f>
        <v>1</v>
      </c>
      <c r="J7" s="13">
        <f>IF([1]Miles!J3&lt;500,1,0)</f>
        <v>0</v>
      </c>
      <c r="K7" s="13">
        <f>IF([1]Miles!K3&lt;500,1,0)</f>
        <v>0</v>
      </c>
      <c r="L7" s="13">
        <f>IF([1]Miles!L3&lt;500,1,0)</f>
        <v>0</v>
      </c>
      <c r="M7" s="13">
        <f>IF([1]Miles!M3&lt;500,1,0)</f>
        <v>0</v>
      </c>
      <c r="N7" s="13">
        <f>IF([1]Miles!N3&lt;500,1,0)</f>
        <v>0</v>
      </c>
      <c r="O7" s="13">
        <f>IF([1]Miles!O3&lt;500,1,0)</f>
        <v>0</v>
      </c>
      <c r="P7" s="13">
        <f>IF([1]Miles!P3&lt;500,1,0)</f>
        <v>1</v>
      </c>
      <c r="Q7" s="13">
        <f>IF([1]Miles!Q3&lt;500,1,0)</f>
        <v>1</v>
      </c>
      <c r="R7" s="13">
        <f>IF([1]Miles!R3&lt;500,1,0)</f>
        <v>0</v>
      </c>
      <c r="S7" s="13">
        <f>IF([1]Miles!S3&lt;500,1,0)</f>
        <v>1</v>
      </c>
      <c r="T7" s="13">
        <f>IF([1]Miles!T3&lt;500,1,0)</f>
        <v>0</v>
      </c>
      <c r="U7" s="13">
        <f>IF([1]Miles!U3&lt;500,1,0)</f>
        <v>0</v>
      </c>
      <c r="V7">
        <f t="shared" ref="V7:V25" si="0">SUMPRODUCT(B7:U7,$B$4:$U$4)</f>
        <v>1</v>
      </c>
    </row>
    <row r="8" spans="1:22" x14ac:dyDescent="0.2">
      <c r="A8" s="10" t="s">
        <v>22</v>
      </c>
      <c r="B8" s="13">
        <f>IF([1]Miles!B4&lt;500,1,0)</f>
        <v>0</v>
      </c>
      <c r="C8" s="13">
        <f>IF([1]Miles!C4&lt;500,1,0)</f>
        <v>1</v>
      </c>
      <c r="D8" s="13">
        <f>IF([1]Miles!D4&lt;500,1,0)</f>
        <v>1</v>
      </c>
      <c r="E8" s="13">
        <f>IF([1]Miles!E4&lt;500,1,0)</f>
        <v>0</v>
      </c>
      <c r="F8" s="13">
        <f>IF([1]Miles!F4&lt;500,1,0)</f>
        <v>0</v>
      </c>
      <c r="G8" s="13">
        <f>IF([1]Miles!G4&lt;500,1,0)</f>
        <v>0</v>
      </c>
      <c r="H8" s="13">
        <f>IF([1]Miles!H4&lt;500,1,0)</f>
        <v>0</v>
      </c>
      <c r="I8" s="13">
        <f>IF([1]Miles!I4&lt;500,1,0)</f>
        <v>0</v>
      </c>
      <c r="J8" s="13">
        <f>IF([1]Miles!J4&lt;500,1,0)</f>
        <v>0</v>
      </c>
      <c r="K8" s="13">
        <f>IF([1]Miles!K4&lt;500,1,0)</f>
        <v>0</v>
      </c>
      <c r="L8" s="13">
        <f>IF([1]Miles!L4&lt;500,1,0)</f>
        <v>0</v>
      </c>
      <c r="M8" s="13">
        <f>IF([1]Miles!M4&lt;500,1,0)</f>
        <v>0</v>
      </c>
      <c r="N8" s="13">
        <f>IF([1]Miles!N4&lt;500,1,0)</f>
        <v>0</v>
      </c>
      <c r="O8" s="13">
        <f>IF([1]Miles!O4&lt;500,1,0)</f>
        <v>0</v>
      </c>
      <c r="P8" s="13">
        <f>IF([1]Miles!P4&lt;500,1,0)</f>
        <v>1</v>
      </c>
      <c r="Q8" s="13">
        <f>IF([1]Miles!Q4&lt;500,1,0)</f>
        <v>1</v>
      </c>
      <c r="R8" s="13">
        <f>IF([1]Miles!R4&lt;500,1,0)</f>
        <v>0</v>
      </c>
      <c r="S8" s="13">
        <f>IF([1]Miles!S4&lt;500,1,0)</f>
        <v>1</v>
      </c>
      <c r="T8" s="13">
        <f>IF([1]Miles!T4&lt;500,1,0)</f>
        <v>0</v>
      </c>
      <c r="U8" s="13">
        <f>IF([1]Miles!U4&lt;500,1,0)</f>
        <v>0</v>
      </c>
      <c r="V8">
        <f t="shared" si="0"/>
        <v>1</v>
      </c>
    </row>
    <row r="9" spans="1:22" x14ac:dyDescent="0.2">
      <c r="A9" s="10" t="s">
        <v>23</v>
      </c>
      <c r="B9" s="13">
        <f>IF([1]Miles!B5&lt;500,1,0)</f>
        <v>1</v>
      </c>
      <c r="C9" s="13">
        <f>IF([1]Miles!C5&lt;500,1,0)</f>
        <v>1</v>
      </c>
      <c r="D9" s="13">
        <f>IF([1]Miles!D5&lt;500,1,0)</f>
        <v>0</v>
      </c>
      <c r="E9" s="13">
        <f>IF([1]Miles!E5&lt;500,1,0)</f>
        <v>1</v>
      </c>
      <c r="F9" s="13">
        <f>IF([1]Miles!F5&lt;500,1,0)</f>
        <v>0</v>
      </c>
      <c r="G9" s="13">
        <f>IF([1]Miles!G5&lt;500,1,0)</f>
        <v>0</v>
      </c>
      <c r="H9" s="13">
        <f>IF([1]Miles!H5&lt;500,1,0)</f>
        <v>0</v>
      </c>
      <c r="I9" s="13">
        <f>IF([1]Miles!I5&lt;500,1,0)</f>
        <v>0</v>
      </c>
      <c r="J9" s="13">
        <f>IF([1]Miles!J5&lt;500,1,0)</f>
        <v>0</v>
      </c>
      <c r="K9" s="13">
        <f>IF([1]Miles!K5&lt;500,1,0)</f>
        <v>0</v>
      </c>
      <c r="L9" s="13">
        <f>IF([1]Miles!L5&lt;500,1,0)</f>
        <v>0</v>
      </c>
      <c r="M9" s="13">
        <f>IF([1]Miles!M5&lt;500,1,0)</f>
        <v>0</v>
      </c>
      <c r="N9" s="13">
        <f>IF([1]Miles!N5&lt;500,1,0)</f>
        <v>0</v>
      </c>
      <c r="O9" s="13">
        <f>IF([1]Miles!O5&lt;500,1,0)</f>
        <v>0</v>
      </c>
      <c r="P9" s="13">
        <f>IF([1]Miles!P5&lt;500,1,0)</f>
        <v>0</v>
      </c>
      <c r="Q9" s="13">
        <f>IF([1]Miles!Q5&lt;500,1,0)</f>
        <v>1</v>
      </c>
      <c r="R9" s="13">
        <f>IF([1]Miles!R5&lt;500,1,0)</f>
        <v>1</v>
      </c>
      <c r="S9" s="13">
        <f>IF([1]Miles!S5&lt;500,1,0)</f>
        <v>1</v>
      </c>
      <c r="T9" s="13">
        <f>IF([1]Miles!T5&lt;500,1,0)</f>
        <v>0</v>
      </c>
      <c r="U9" s="13">
        <f>IF([1]Miles!U5&lt;500,1,0)</f>
        <v>0</v>
      </c>
      <c r="V9">
        <f t="shared" si="0"/>
        <v>2</v>
      </c>
    </row>
    <row r="10" spans="1:22" x14ac:dyDescent="0.2">
      <c r="A10" s="10" t="s">
        <v>24</v>
      </c>
      <c r="B10" s="13">
        <f>IF([1]Miles!B6&lt;500,1,0)</f>
        <v>0</v>
      </c>
      <c r="C10" s="13">
        <f>IF([1]Miles!C6&lt;500,1,0)</f>
        <v>0</v>
      </c>
      <c r="D10" s="13">
        <f>IF([1]Miles!D6&lt;500,1,0)</f>
        <v>0</v>
      </c>
      <c r="E10" s="13">
        <f>IF([1]Miles!E6&lt;500,1,0)</f>
        <v>0</v>
      </c>
      <c r="F10" s="13">
        <f>IF([1]Miles!F6&lt;500,1,0)</f>
        <v>1</v>
      </c>
      <c r="G10" s="13">
        <f>IF([1]Miles!G6&lt;500,1,0)</f>
        <v>0</v>
      </c>
      <c r="H10" s="13">
        <f>IF([1]Miles!H6&lt;500,1,0)</f>
        <v>0</v>
      </c>
      <c r="I10" s="13">
        <f>IF([1]Miles!I6&lt;500,1,0)</f>
        <v>1</v>
      </c>
      <c r="J10" s="13">
        <f>IF([1]Miles!J6&lt;500,1,0)</f>
        <v>0</v>
      </c>
      <c r="K10" s="13">
        <f>IF([1]Miles!K6&lt;500,1,0)</f>
        <v>0</v>
      </c>
      <c r="L10" s="13">
        <f>IF([1]Miles!L6&lt;500,1,0)</f>
        <v>0</v>
      </c>
      <c r="M10" s="13">
        <f>IF([1]Miles!M6&lt;500,1,0)</f>
        <v>0</v>
      </c>
      <c r="N10" s="13">
        <f>IF([1]Miles!N6&lt;500,1,0)</f>
        <v>0</v>
      </c>
      <c r="O10" s="13">
        <f>IF([1]Miles!O6&lt;500,1,0)</f>
        <v>1</v>
      </c>
      <c r="P10" s="13">
        <f>IF([1]Miles!P6&lt;500,1,0)</f>
        <v>0</v>
      </c>
      <c r="Q10" s="13">
        <f>IF([1]Miles!Q6&lt;500,1,0)</f>
        <v>0</v>
      </c>
      <c r="R10" s="13">
        <f>IF([1]Miles!R6&lt;500,1,0)</f>
        <v>0</v>
      </c>
      <c r="S10" s="13">
        <f>IF([1]Miles!S6&lt;500,1,0)</f>
        <v>0</v>
      </c>
      <c r="T10" s="13">
        <f>IF([1]Miles!T6&lt;500,1,0)</f>
        <v>0</v>
      </c>
      <c r="U10" s="13">
        <f>IF([1]Miles!U6&lt;500,1,0)</f>
        <v>0</v>
      </c>
      <c r="V10">
        <f t="shared" si="0"/>
        <v>1</v>
      </c>
    </row>
    <row r="11" spans="1:22" x14ac:dyDescent="0.2">
      <c r="A11" s="10" t="s">
        <v>25</v>
      </c>
      <c r="B11" s="13">
        <f>IF([1]Miles!B7&lt;500,1,0)</f>
        <v>0</v>
      </c>
      <c r="C11" s="13">
        <f>IF([1]Miles!C7&lt;500,1,0)</f>
        <v>0</v>
      </c>
      <c r="D11" s="13">
        <f>IF([1]Miles!D7&lt;500,1,0)</f>
        <v>0</v>
      </c>
      <c r="E11" s="13">
        <f>IF([1]Miles!E7&lt;500,1,0)</f>
        <v>0</v>
      </c>
      <c r="F11" s="13">
        <f>IF([1]Miles!F7&lt;500,1,0)</f>
        <v>0</v>
      </c>
      <c r="G11" s="13">
        <f>IF([1]Miles!G7&lt;500,1,0)</f>
        <v>1</v>
      </c>
      <c r="H11" s="13">
        <f>IF([1]Miles!H7&lt;500,1,0)</f>
        <v>0</v>
      </c>
      <c r="I11" s="13">
        <f>IF([1]Miles!I7&lt;500,1,0)</f>
        <v>0</v>
      </c>
      <c r="J11" s="13">
        <f>IF([1]Miles!J7&lt;500,1,0)</f>
        <v>0</v>
      </c>
      <c r="K11" s="13">
        <f>IF([1]Miles!K7&lt;500,1,0)</f>
        <v>1</v>
      </c>
      <c r="L11" s="13">
        <f>IF([1]Miles!L7&lt;500,1,0)</f>
        <v>0</v>
      </c>
      <c r="M11" s="13">
        <f>IF([1]Miles!M7&lt;500,1,0)</f>
        <v>0</v>
      </c>
      <c r="N11" s="13">
        <f>IF([1]Miles!N7&lt;500,1,0)</f>
        <v>0</v>
      </c>
      <c r="O11" s="13">
        <f>IF([1]Miles!O7&lt;500,1,0)</f>
        <v>0</v>
      </c>
      <c r="P11" s="13">
        <f>IF([1]Miles!P7&lt;500,1,0)</f>
        <v>0</v>
      </c>
      <c r="Q11" s="13">
        <f>IF([1]Miles!Q7&lt;500,1,0)</f>
        <v>0</v>
      </c>
      <c r="R11" s="13">
        <f>IF([1]Miles!R7&lt;500,1,0)</f>
        <v>0</v>
      </c>
      <c r="S11" s="13">
        <f>IF([1]Miles!S7&lt;500,1,0)</f>
        <v>0</v>
      </c>
      <c r="T11" s="13">
        <f>IF([1]Miles!T7&lt;500,1,0)</f>
        <v>0</v>
      </c>
      <c r="U11" s="13">
        <f>IF([1]Miles!U7&lt;500,1,0)</f>
        <v>0</v>
      </c>
      <c r="V11">
        <f t="shared" si="0"/>
        <v>1</v>
      </c>
    </row>
    <row r="12" spans="1:22" x14ac:dyDescent="0.2">
      <c r="A12" s="10" t="s">
        <v>26</v>
      </c>
      <c r="B12" s="13">
        <f>IF([1]Miles!B8&lt;500,1,0)</f>
        <v>0</v>
      </c>
      <c r="C12" s="13">
        <f>IF([1]Miles!C8&lt;500,1,0)</f>
        <v>0</v>
      </c>
      <c r="D12" s="13">
        <f>IF([1]Miles!D8&lt;500,1,0)</f>
        <v>0</v>
      </c>
      <c r="E12" s="13">
        <f>IF([1]Miles!E8&lt;500,1,0)</f>
        <v>0</v>
      </c>
      <c r="F12" s="13">
        <f>IF([1]Miles!F8&lt;500,1,0)</f>
        <v>0</v>
      </c>
      <c r="G12" s="13">
        <f>IF([1]Miles!G8&lt;500,1,0)</f>
        <v>0</v>
      </c>
      <c r="H12" s="13">
        <f>IF([1]Miles!H8&lt;500,1,0)</f>
        <v>1</v>
      </c>
      <c r="I12" s="13">
        <f>IF([1]Miles!I8&lt;500,1,0)</f>
        <v>0</v>
      </c>
      <c r="J12" s="13">
        <f>IF([1]Miles!J8&lt;500,1,0)</f>
        <v>0</v>
      </c>
      <c r="K12" s="13">
        <f>IF([1]Miles!K8&lt;500,1,0)</f>
        <v>0</v>
      </c>
      <c r="L12" s="13">
        <f>IF([1]Miles!L8&lt;500,1,0)</f>
        <v>0</v>
      </c>
      <c r="M12" s="13">
        <f>IF([1]Miles!M8&lt;500,1,0)</f>
        <v>0</v>
      </c>
      <c r="N12" s="13">
        <f>IF([1]Miles!N8&lt;500,1,0)</f>
        <v>0</v>
      </c>
      <c r="O12" s="13">
        <f>IF([1]Miles!O8&lt;500,1,0)</f>
        <v>0</v>
      </c>
      <c r="P12" s="13">
        <f>IF([1]Miles!P8&lt;500,1,0)</f>
        <v>0</v>
      </c>
      <c r="Q12" s="13">
        <f>IF([1]Miles!Q8&lt;500,1,0)</f>
        <v>0</v>
      </c>
      <c r="R12" s="13">
        <f>IF([1]Miles!R8&lt;500,1,0)</f>
        <v>0</v>
      </c>
      <c r="S12" s="13">
        <f>IF([1]Miles!S8&lt;500,1,0)</f>
        <v>0</v>
      </c>
      <c r="T12" s="13">
        <f>IF([1]Miles!T8&lt;500,1,0)</f>
        <v>0</v>
      </c>
      <c r="U12" s="13">
        <f>IF([1]Miles!U8&lt;500,1,0)</f>
        <v>0</v>
      </c>
      <c r="V12">
        <f t="shared" si="0"/>
        <v>1</v>
      </c>
    </row>
    <row r="13" spans="1:22" x14ac:dyDescent="0.2">
      <c r="A13" s="10" t="s">
        <v>27</v>
      </c>
      <c r="B13" s="13">
        <f>IF([1]Miles!B9&lt;500,1,0)</f>
        <v>0</v>
      </c>
      <c r="C13" s="13">
        <f>IF([1]Miles!C9&lt;500,1,0)</f>
        <v>1</v>
      </c>
      <c r="D13" s="13">
        <f>IF([1]Miles!D9&lt;500,1,0)</f>
        <v>0</v>
      </c>
      <c r="E13" s="13">
        <f>IF([1]Miles!E9&lt;500,1,0)</f>
        <v>0</v>
      </c>
      <c r="F13" s="13">
        <f>IF([1]Miles!F9&lt;500,1,0)</f>
        <v>1</v>
      </c>
      <c r="G13" s="13">
        <f>IF([1]Miles!G9&lt;500,1,0)</f>
        <v>0</v>
      </c>
      <c r="H13" s="13">
        <f>IF([1]Miles!H9&lt;500,1,0)</f>
        <v>0</v>
      </c>
      <c r="I13" s="13">
        <f>IF([1]Miles!I9&lt;500,1,0)</f>
        <v>1</v>
      </c>
      <c r="J13" s="13">
        <f>IF([1]Miles!J9&lt;500,1,0)</f>
        <v>0</v>
      </c>
      <c r="K13" s="13">
        <f>IF([1]Miles!K9&lt;500,1,0)</f>
        <v>0</v>
      </c>
      <c r="L13" s="13">
        <f>IF([1]Miles!L9&lt;500,1,0)</f>
        <v>0</v>
      </c>
      <c r="M13" s="13">
        <f>IF([1]Miles!M9&lt;500,1,0)</f>
        <v>0</v>
      </c>
      <c r="N13" s="13">
        <f>IF([1]Miles!N9&lt;500,1,0)</f>
        <v>0</v>
      </c>
      <c r="O13" s="13">
        <f>IF([1]Miles!O9&lt;500,1,0)</f>
        <v>0</v>
      </c>
      <c r="P13" s="13">
        <f>IF([1]Miles!P9&lt;500,1,0)</f>
        <v>1</v>
      </c>
      <c r="Q13" s="13">
        <f>IF([1]Miles!Q9&lt;500,1,0)</f>
        <v>1</v>
      </c>
      <c r="R13" s="13">
        <f>IF([1]Miles!R9&lt;500,1,0)</f>
        <v>0</v>
      </c>
      <c r="S13" s="13">
        <f>IF([1]Miles!S9&lt;500,1,0)</f>
        <v>1</v>
      </c>
      <c r="T13" s="13">
        <f>IF([1]Miles!T9&lt;500,1,0)</f>
        <v>0</v>
      </c>
      <c r="U13" s="13">
        <f>IF([1]Miles!U9&lt;500,1,0)</f>
        <v>0</v>
      </c>
      <c r="V13">
        <f t="shared" si="0"/>
        <v>1</v>
      </c>
    </row>
    <row r="14" spans="1:22" x14ac:dyDescent="0.2">
      <c r="A14" s="10" t="s">
        <v>28</v>
      </c>
      <c r="B14" s="13">
        <f>IF([1]Miles!B10&lt;500,1,0)</f>
        <v>0</v>
      </c>
      <c r="C14" s="13">
        <f>IF([1]Miles!C10&lt;500,1,0)</f>
        <v>0</v>
      </c>
      <c r="D14" s="13">
        <f>IF([1]Miles!D10&lt;500,1,0)</f>
        <v>0</v>
      </c>
      <c r="E14" s="13">
        <f>IF([1]Miles!E10&lt;500,1,0)</f>
        <v>0</v>
      </c>
      <c r="F14" s="13">
        <f>IF([1]Miles!F10&lt;500,1,0)</f>
        <v>0</v>
      </c>
      <c r="G14" s="13">
        <f>IF([1]Miles!G10&lt;500,1,0)</f>
        <v>0</v>
      </c>
      <c r="H14" s="13">
        <f>IF([1]Miles!H10&lt;500,1,0)</f>
        <v>0</v>
      </c>
      <c r="I14" s="13">
        <f>IF([1]Miles!I10&lt;500,1,0)</f>
        <v>0</v>
      </c>
      <c r="J14" s="13">
        <f>IF([1]Miles!J10&lt;500,1,0)</f>
        <v>1</v>
      </c>
      <c r="K14" s="13">
        <f>IF([1]Miles!K10&lt;500,1,0)</f>
        <v>0</v>
      </c>
      <c r="L14" s="13">
        <f>IF([1]Miles!L10&lt;500,1,0)</f>
        <v>0</v>
      </c>
      <c r="M14" s="13">
        <f>IF([1]Miles!M10&lt;500,1,0)</f>
        <v>0</v>
      </c>
      <c r="N14" s="13">
        <f>IF([1]Miles!N10&lt;500,1,0)</f>
        <v>0</v>
      </c>
      <c r="O14" s="13">
        <f>IF([1]Miles!O10&lt;500,1,0)</f>
        <v>0</v>
      </c>
      <c r="P14" s="13">
        <f>IF([1]Miles!P10&lt;500,1,0)</f>
        <v>0</v>
      </c>
      <c r="Q14" s="13">
        <f>IF([1]Miles!Q10&lt;500,1,0)</f>
        <v>0</v>
      </c>
      <c r="R14" s="13">
        <f>IF([1]Miles!R10&lt;500,1,0)</f>
        <v>0</v>
      </c>
      <c r="S14" s="13">
        <f>IF([1]Miles!S10&lt;500,1,0)</f>
        <v>0</v>
      </c>
      <c r="T14" s="13">
        <f>IF([1]Miles!T10&lt;500,1,0)</f>
        <v>0</v>
      </c>
      <c r="U14" s="13">
        <f>IF([1]Miles!U10&lt;500,1,0)</f>
        <v>1</v>
      </c>
      <c r="V14">
        <f t="shared" si="0"/>
        <v>1</v>
      </c>
    </row>
    <row r="15" spans="1:22" x14ac:dyDescent="0.2">
      <c r="A15" s="10" t="s">
        <v>29</v>
      </c>
      <c r="B15" s="13">
        <f>IF([1]Miles!B11&lt;500,1,0)</f>
        <v>0</v>
      </c>
      <c r="C15" s="13">
        <f>IF([1]Miles!C11&lt;500,1,0)</f>
        <v>0</v>
      </c>
      <c r="D15" s="13">
        <f>IF([1]Miles!D11&lt;500,1,0)</f>
        <v>0</v>
      </c>
      <c r="E15" s="13">
        <f>IF([1]Miles!E11&lt;500,1,0)</f>
        <v>0</v>
      </c>
      <c r="F15" s="13">
        <f>IF([1]Miles!F11&lt;500,1,0)</f>
        <v>0</v>
      </c>
      <c r="G15" s="13">
        <f>IF([1]Miles!G11&lt;500,1,0)</f>
        <v>1</v>
      </c>
      <c r="H15" s="13">
        <f>IF([1]Miles!H11&lt;500,1,0)</f>
        <v>0</v>
      </c>
      <c r="I15" s="13">
        <f>IF([1]Miles!I11&lt;500,1,0)</f>
        <v>0</v>
      </c>
      <c r="J15" s="13">
        <f>IF([1]Miles!J11&lt;500,1,0)</f>
        <v>0</v>
      </c>
      <c r="K15" s="13">
        <f>IF([1]Miles!K11&lt;500,1,0)</f>
        <v>1</v>
      </c>
      <c r="L15" s="13">
        <f>IF([1]Miles!L11&lt;500,1,0)</f>
        <v>0</v>
      </c>
      <c r="M15" s="13">
        <f>IF([1]Miles!M11&lt;500,1,0)</f>
        <v>0</v>
      </c>
      <c r="N15" s="13">
        <f>IF([1]Miles!N11&lt;500,1,0)</f>
        <v>0</v>
      </c>
      <c r="O15" s="13">
        <f>IF([1]Miles!O11&lt;500,1,0)</f>
        <v>0</v>
      </c>
      <c r="P15" s="13">
        <f>IF([1]Miles!P11&lt;500,1,0)</f>
        <v>0</v>
      </c>
      <c r="Q15" s="13">
        <f>IF([1]Miles!Q11&lt;500,1,0)</f>
        <v>0</v>
      </c>
      <c r="R15" s="13">
        <f>IF([1]Miles!R11&lt;500,1,0)</f>
        <v>0</v>
      </c>
      <c r="S15" s="13">
        <f>IF([1]Miles!S11&lt;500,1,0)</f>
        <v>0</v>
      </c>
      <c r="T15" s="13">
        <f>IF([1]Miles!T11&lt;500,1,0)</f>
        <v>0</v>
      </c>
      <c r="U15" s="13">
        <f>IF([1]Miles!U11&lt;500,1,0)</f>
        <v>0</v>
      </c>
      <c r="V15">
        <f t="shared" si="0"/>
        <v>1</v>
      </c>
    </row>
    <row r="16" spans="1:22" x14ac:dyDescent="0.2">
      <c r="A16" s="10" t="s">
        <v>30</v>
      </c>
      <c r="B16" s="13">
        <f>IF([1]Miles!B12&lt;500,1,0)</f>
        <v>0</v>
      </c>
      <c r="C16" s="13">
        <f>IF([1]Miles!C12&lt;500,1,0)</f>
        <v>0</v>
      </c>
      <c r="D16" s="13">
        <f>IF([1]Miles!D12&lt;500,1,0)</f>
        <v>0</v>
      </c>
      <c r="E16" s="13">
        <f>IF([1]Miles!E12&lt;500,1,0)</f>
        <v>0</v>
      </c>
      <c r="F16" s="13">
        <f>IF([1]Miles!F12&lt;500,1,0)</f>
        <v>0</v>
      </c>
      <c r="G16" s="13">
        <f>IF([1]Miles!G12&lt;500,1,0)</f>
        <v>0</v>
      </c>
      <c r="H16" s="13">
        <f>IF([1]Miles!H12&lt;500,1,0)</f>
        <v>0</v>
      </c>
      <c r="I16" s="13">
        <f>IF([1]Miles!I12&lt;500,1,0)</f>
        <v>0</v>
      </c>
      <c r="J16" s="13">
        <f>IF([1]Miles!J12&lt;500,1,0)</f>
        <v>0</v>
      </c>
      <c r="K16" s="13">
        <f>IF([1]Miles!K12&lt;500,1,0)</f>
        <v>0</v>
      </c>
      <c r="L16" s="13">
        <f>IF([1]Miles!L12&lt;500,1,0)</f>
        <v>1</v>
      </c>
      <c r="M16" s="13">
        <f>IF([1]Miles!M12&lt;500,1,0)</f>
        <v>1</v>
      </c>
      <c r="N16" s="13">
        <f>IF([1]Miles!N12&lt;500,1,0)</f>
        <v>0</v>
      </c>
      <c r="O16" s="13">
        <f>IF([1]Miles!O12&lt;500,1,0)</f>
        <v>0</v>
      </c>
      <c r="P16" s="13">
        <f>IF([1]Miles!P12&lt;500,1,0)</f>
        <v>0</v>
      </c>
      <c r="Q16" s="13">
        <f>IF([1]Miles!Q12&lt;500,1,0)</f>
        <v>0</v>
      </c>
      <c r="R16" s="13">
        <f>IF([1]Miles!R12&lt;500,1,0)</f>
        <v>0</v>
      </c>
      <c r="S16" s="13">
        <f>IF([1]Miles!S12&lt;500,1,0)</f>
        <v>0</v>
      </c>
      <c r="T16" s="13">
        <f>IF([1]Miles!T12&lt;500,1,0)</f>
        <v>1</v>
      </c>
      <c r="U16" s="13">
        <f>IF([1]Miles!U12&lt;500,1,0)</f>
        <v>0</v>
      </c>
      <c r="V16">
        <f t="shared" si="0"/>
        <v>1</v>
      </c>
    </row>
    <row r="17" spans="1:22" x14ac:dyDescent="0.2">
      <c r="A17" s="10" t="s">
        <v>31</v>
      </c>
      <c r="B17" s="13">
        <f>IF([1]Miles!B13&lt;500,1,0)</f>
        <v>0</v>
      </c>
      <c r="C17" s="13">
        <f>IF([1]Miles!C13&lt;500,1,0)</f>
        <v>0</v>
      </c>
      <c r="D17" s="13">
        <f>IF([1]Miles!D13&lt;500,1,0)</f>
        <v>0</v>
      </c>
      <c r="E17" s="13">
        <f>IF([1]Miles!E13&lt;500,1,0)</f>
        <v>0</v>
      </c>
      <c r="F17" s="13">
        <f>IF([1]Miles!F13&lt;500,1,0)</f>
        <v>0</v>
      </c>
      <c r="G17" s="13">
        <f>IF([1]Miles!G13&lt;500,1,0)</f>
        <v>0</v>
      </c>
      <c r="H17" s="13">
        <f>IF([1]Miles!H13&lt;500,1,0)</f>
        <v>0</v>
      </c>
      <c r="I17" s="13">
        <f>IF([1]Miles!I13&lt;500,1,0)</f>
        <v>0</v>
      </c>
      <c r="J17" s="13">
        <f>IF([1]Miles!J13&lt;500,1,0)</f>
        <v>0</v>
      </c>
      <c r="K17" s="13">
        <f>IF([1]Miles!K13&lt;500,1,0)</f>
        <v>0</v>
      </c>
      <c r="L17" s="13">
        <f>IF([1]Miles!L13&lt;500,1,0)</f>
        <v>1</v>
      </c>
      <c r="M17" s="13">
        <f>IF([1]Miles!M13&lt;500,1,0)</f>
        <v>1</v>
      </c>
      <c r="N17" s="13">
        <f>IF([1]Miles!N13&lt;500,1,0)</f>
        <v>0</v>
      </c>
      <c r="O17" s="13">
        <f>IF([1]Miles!O13&lt;500,1,0)</f>
        <v>0</v>
      </c>
      <c r="P17" s="13">
        <f>IF([1]Miles!P13&lt;500,1,0)</f>
        <v>0</v>
      </c>
      <c r="Q17" s="13">
        <f>IF([1]Miles!Q13&lt;500,1,0)</f>
        <v>0</v>
      </c>
      <c r="R17" s="13">
        <f>IF([1]Miles!R13&lt;500,1,0)</f>
        <v>0</v>
      </c>
      <c r="S17" s="13">
        <f>IF([1]Miles!S13&lt;500,1,0)</f>
        <v>0</v>
      </c>
      <c r="T17" s="13">
        <f>IF([1]Miles!T13&lt;500,1,0)</f>
        <v>1</v>
      </c>
      <c r="U17" s="13">
        <f>IF([1]Miles!U13&lt;500,1,0)</f>
        <v>0</v>
      </c>
      <c r="V17">
        <f t="shared" si="0"/>
        <v>1</v>
      </c>
    </row>
    <row r="18" spans="1:22" x14ac:dyDescent="0.2">
      <c r="A18" s="10" t="s">
        <v>32</v>
      </c>
      <c r="B18" s="13">
        <f>IF([1]Miles!B14&lt;500,1,0)</f>
        <v>0</v>
      </c>
      <c r="C18" s="13">
        <f>IF([1]Miles!C14&lt;500,1,0)</f>
        <v>0</v>
      </c>
      <c r="D18" s="13">
        <f>IF([1]Miles!D14&lt;500,1,0)</f>
        <v>0</v>
      </c>
      <c r="E18" s="13">
        <f>IF([1]Miles!E14&lt;500,1,0)</f>
        <v>0</v>
      </c>
      <c r="F18" s="13">
        <f>IF([1]Miles!F14&lt;500,1,0)</f>
        <v>0</v>
      </c>
      <c r="G18" s="13">
        <f>IF([1]Miles!G14&lt;500,1,0)</f>
        <v>0</v>
      </c>
      <c r="H18" s="13">
        <f>IF([1]Miles!H14&lt;500,1,0)</f>
        <v>0</v>
      </c>
      <c r="I18" s="13">
        <f>IF([1]Miles!I14&lt;500,1,0)</f>
        <v>0</v>
      </c>
      <c r="J18" s="13">
        <f>IF([1]Miles!J14&lt;500,1,0)</f>
        <v>0</v>
      </c>
      <c r="K18" s="13">
        <f>IF([1]Miles!K14&lt;500,1,0)</f>
        <v>0</v>
      </c>
      <c r="L18" s="13">
        <f>IF([1]Miles!L14&lt;500,1,0)</f>
        <v>0</v>
      </c>
      <c r="M18" s="13">
        <f>IF([1]Miles!M14&lt;500,1,0)</f>
        <v>0</v>
      </c>
      <c r="N18" s="13">
        <f>IF([1]Miles!N14&lt;500,1,0)</f>
        <v>1</v>
      </c>
      <c r="O18" s="13">
        <f>IF([1]Miles!O14&lt;500,1,0)</f>
        <v>0</v>
      </c>
      <c r="P18" s="13">
        <f>IF([1]Miles!P14&lt;500,1,0)</f>
        <v>0</v>
      </c>
      <c r="Q18" s="13">
        <f>IF([1]Miles!Q14&lt;500,1,0)</f>
        <v>0</v>
      </c>
      <c r="R18" s="13">
        <f>IF([1]Miles!R14&lt;500,1,0)</f>
        <v>1</v>
      </c>
      <c r="S18" s="13">
        <f>IF([1]Miles!S14&lt;500,1,0)</f>
        <v>0</v>
      </c>
      <c r="T18" s="13">
        <f>IF([1]Miles!T14&lt;500,1,0)</f>
        <v>0</v>
      </c>
      <c r="U18" s="13">
        <f>IF([1]Miles!U14&lt;500,1,0)</f>
        <v>0</v>
      </c>
      <c r="V18">
        <f t="shared" si="0"/>
        <v>1</v>
      </c>
    </row>
    <row r="19" spans="1:22" x14ac:dyDescent="0.2">
      <c r="A19" s="10" t="s">
        <v>33</v>
      </c>
      <c r="B19" s="13">
        <f>IF([1]Miles!B15&lt;500,1,0)</f>
        <v>0</v>
      </c>
      <c r="C19" s="13">
        <f>IF([1]Miles!C15&lt;500,1,0)</f>
        <v>0</v>
      </c>
      <c r="D19" s="13">
        <f>IF([1]Miles!D15&lt;500,1,0)</f>
        <v>0</v>
      </c>
      <c r="E19" s="13">
        <f>IF([1]Miles!E15&lt;500,1,0)</f>
        <v>0</v>
      </c>
      <c r="F19" s="13">
        <f>IF([1]Miles!F15&lt;500,1,0)</f>
        <v>1</v>
      </c>
      <c r="G19" s="13">
        <f>IF([1]Miles!G15&lt;500,1,0)</f>
        <v>0</v>
      </c>
      <c r="H19" s="13">
        <f>IF([1]Miles!H15&lt;500,1,0)</f>
        <v>0</v>
      </c>
      <c r="I19" s="13">
        <f>IF([1]Miles!I15&lt;500,1,0)</f>
        <v>0</v>
      </c>
      <c r="J19" s="13">
        <f>IF([1]Miles!J15&lt;500,1,0)</f>
        <v>0</v>
      </c>
      <c r="K19" s="13">
        <f>IF([1]Miles!K15&lt;500,1,0)</f>
        <v>0</v>
      </c>
      <c r="L19" s="13">
        <f>IF([1]Miles!L15&lt;500,1,0)</f>
        <v>0</v>
      </c>
      <c r="M19" s="13">
        <f>IF([1]Miles!M15&lt;500,1,0)</f>
        <v>0</v>
      </c>
      <c r="N19" s="13">
        <f>IF([1]Miles!N15&lt;500,1,0)</f>
        <v>0</v>
      </c>
      <c r="O19" s="13">
        <f>IF([1]Miles!O15&lt;500,1,0)</f>
        <v>1</v>
      </c>
      <c r="P19" s="13">
        <f>IF([1]Miles!P15&lt;500,1,0)</f>
        <v>0</v>
      </c>
      <c r="Q19" s="13">
        <f>IF([1]Miles!Q15&lt;500,1,0)</f>
        <v>0</v>
      </c>
      <c r="R19" s="13">
        <f>IF([1]Miles!R15&lt;500,1,0)</f>
        <v>0</v>
      </c>
      <c r="S19" s="13">
        <f>IF([1]Miles!S15&lt;500,1,0)</f>
        <v>0</v>
      </c>
      <c r="T19" s="13">
        <f>IF([1]Miles!T15&lt;500,1,0)</f>
        <v>0</v>
      </c>
      <c r="U19" s="13">
        <f>IF([1]Miles!U15&lt;500,1,0)</f>
        <v>0</v>
      </c>
      <c r="V19">
        <f t="shared" si="0"/>
        <v>1</v>
      </c>
    </row>
    <row r="20" spans="1:22" x14ac:dyDescent="0.2">
      <c r="A20" s="10" t="s">
        <v>34</v>
      </c>
      <c r="B20" s="13">
        <f>IF([1]Miles!B16&lt;500,1,0)</f>
        <v>0</v>
      </c>
      <c r="C20" s="13">
        <f>IF([1]Miles!C16&lt;500,1,0)</f>
        <v>1</v>
      </c>
      <c r="D20" s="13">
        <f>IF([1]Miles!D16&lt;500,1,0)</f>
        <v>1</v>
      </c>
      <c r="E20" s="13">
        <f>IF([1]Miles!E16&lt;500,1,0)</f>
        <v>0</v>
      </c>
      <c r="F20" s="13">
        <f>IF([1]Miles!F16&lt;500,1,0)</f>
        <v>0</v>
      </c>
      <c r="G20" s="13">
        <f>IF([1]Miles!G16&lt;500,1,0)</f>
        <v>0</v>
      </c>
      <c r="H20" s="13">
        <f>IF([1]Miles!H16&lt;500,1,0)</f>
        <v>0</v>
      </c>
      <c r="I20" s="13">
        <f>IF([1]Miles!I16&lt;500,1,0)</f>
        <v>1</v>
      </c>
      <c r="J20" s="13">
        <f>IF([1]Miles!J16&lt;500,1,0)</f>
        <v>0</v>
      </c>
      <c r="K20" s="13">
        <f>IF([1]Miles!K16&lt;500,1,0)</f>
        <v>0</v>
      </c>
      <c r="L20" s="13">
        <f>IF([1]Miles!L16&lt;500,1,0)</f>
        <v>0</v>
      </c>
      <c r="M20" s="13">
        <f>IF([1]Miles!M16&lt;500,1,0)</f>
        <v>0</v>
      </c>
      <c r="N20" s="13">
        <f>IF([1]Miles!N16&lt;500,1,0)</f>
        <v>0</v>
      </c>
      <c r="O20" s="13">
        <f>IF([1]Miles!O16&lt;500,1,0)</f>
        <v>0</v>
      </c>
      <c r="P20" s="13">
        <f>IF([1]Miles!P16&lt;500,1,0)</f>
        <v>1</v>
      </c>
      <c r="Q20" s="13">
        <f>IF([1]Miles!Q16&lt;500,1,0)</f>
        <v>1</v>
      </c>
      <c r="R20" s="13">
        <f>IF([1]Miles!R16&lt;500,1,0)</f>
        <v>0</v>
      </c>
      <c r="S20" s="13">
        <f>IF([1]Miles!S16&lt;500,1,0)</f>
        <v>1</v>
      </c>
      <c r="T20" s="13">
        <f>IF([1]Miles!T16&lt;500,1,0)</f>
        <v>0</v>
      </c>
      <c r="U20" s="13">
        <f>IF([1]Miles!U16&lt;500,1,0)</f>
        <v>0</v>
      </c>
      <c r="V20">
        <f t="shared" si="0"/>
        <v>1</v>
      </c>
    </row>
    <row r="21" spans="1:22" x14ac:dyDescent="0.2">
      <c r="A21" s="10" t="s">
        <v>35</v>
      </c>
      <c r="B21" s="13">
        <f>IF([1]Miles!B17&lt;500,1,0)</f>
        <v>0</v>
      </c>
      <c r="C21" s="13">
        <f>IF([1]Miles!C17&lt;500,1,0)</f>
        <v>1</v>
      </c>
      <c r="D21" s="13">
        <f>IF([1]Miles!D17&lt;500,1,0)</f>
        <v>1</v>
      </c>
      <c r="E21" s="13">
        <f>IF([1]Miles!E17&lt;500,1,0)</f>
        <v>1</v>
      </c>
      <c r="F21" s="13">
        <f>IF([1]Miles!F17&lt;500,1,0)</f>
        <v>0</v>
      </c>
      <c r="G21" s="13">
        <f>IF([1]Miles!G17&lt;500,1,0)</f>
        <v>0</v>
      </c>
      <c r="H21" s="13">
        <f>IF([1]Miles!H17&lt;500,1,0)</f>
        <v>0</v>
      </c>
      <c r="I21" s="13">
        <f>IF([1]Miles!I17&lt;500,1,0)</f>
        <v>1</v>
      </c>
      <c r="J21" s="13">
        <f>IF([1]Miles!J17&lt;500,1,0)</f>
        <v>0</v>
      </c>
      <c r="K21" s="13">
        <f>IF([1]Miles!K17&lt;500,1,0)</f>
        <v>0</v>
      </c>
      <c r="L21" s="13">
        <f>IF([1]Miles!L17&lt;500,1,0)</f>
        <v>0</v>
      </c>
      <c r="M21" s="13">
        <f>IF([1]Miles!M17&lt;500,1,0)</f>
        <v>0</v>
      </c>
      <c r="N21" s="13">
        <f>IF([1]Miles!N17&lt;500,1,0)</f>
        <v>0</v>
      </c>
      <c r="O21" s="13">
        <f>IF([1]Miles!O17&lt;500,1,0)</f>
        <v>0</v>
      </c>
      <c r="P21" s="13">
        <f>IF([1]Miles!P17&lt;500,1,0)</f>
        <v>1</v>
      </c>
      <c r="Q21" s="13">
        <f>IF([1]Miles!Q17&lt;500,1,0)</f>
        <v>1</v>
      </c>
      <c r="R21" s="13">
        <f>IF([1]Miles!R17&lt;500,1,0)</f>
        <v>0</v>
      </c>
      <c r="S21" s="13">
        <f>IF([1]Miles!S17&lt;500,1,0)</f>
        <v>1</v>
      </c>
      <c r="T21" s="13">
        <f>IF([1]Miles!T17&lt;500,1,0)</f>
        <v>0</v>
      </c>
      <c r="U21" s="13">
        <f>IF([1]Miles!U17&lt;500,1,0)</f>
        <v>0</v>
      </c>
      <c r="V21">
        <f t="shared" si="0"/>
        <v>1</v>
      </c>
    </row>
    <row r="22" spans="1:22" x14ac:dyDescent="0.2">
      <c r="A22" s="10" t="s">
        <v>36</v>
      </c>
      <c r="B22" s="13">
        <f>IF([1]Miles!B18&lt;500,1,0)</f>
        <v>1</v>
      </c>
      <c r="C22" s="13">
        <f>IF([1]Miles!C18&lt;500,1,0)</f>
        <v>0</v>
      </c>
      <c r="D22" s="13">
        <f>IF([1]Miles!D18&lt;500,1,0)</f>
        <v>0</v>
      </c>
      <c r="E22" s="13">
        <f>IF([1]Miles!E18&lt;500,1,0)</f>
        <v>1</v>
      </c>
      <c r="F22" s="13">
        <f>IF([1]Miles!F18&lt;500,1,0)</f>
        <v>0</v>
      </c>
      <c r="G22" s="13">
        <f>IF([1]Miles!G18&lt;500,1,0)</f>
        <v>0</v>
      </c>
      <c r="H22" s="13">
        <f>IF([1]Miles!H18&lt;500,1,0)</f>
        <v>0</v>
      </c>
      <c r="I22" s="13">
        <f>IF([1]Miles!I18&lt;500,1,0)</f>
        <v>0</v>
      </c>
      <c r="J22" s="13">
        <f>IF([1]Miles!J18&lt;500,1,0)</f>
        <v>0</v>
      </c>
      <c r="K22" s="13">
        <f>IF([1]Miles!K18&lt;500,1,0)</f>
        <v>0</v>
      </c>
      <c r="L22" s="13">
        <f>IF([1]Miles!L18&lt;500,1,0)</f>
        <v>0</v>
      </c>
      <c r="M22" s="13">
        <f>IF([1]Miles!M18&lt;500,1,0)</f>
        <v>0</v>
      </c>
      <c r="N22" s="13">
        <f>IF([1]Miles!N18&lt;500,1,0)</f>
        <v>1</v>
      </c>
      <c r="O22" s="13">
        <f>IF([1]Miles!O18&lt;500,1,0)</f>
        <v>0</v>
      </c>
      <c r="P22" s="13">
        <f>IF([1]Miles!P18&lt;500,1,0)</f>
        <v>0</v>
      </c>
      <c r="Q22" s="13">
        <f>IF([1]Miles!Q18&lt;500,1,0)</f>
        <v>0</v>
      </c>
      <c r="R22" s="13">
        <f>IF([1]Miles!R18&lt;500,1,0)</f>
        <v>1</v>
      </c>
      <c r="S22" s="13">
        <f>IF([1]Miles!S18&lt;500,1,0)</f>
        <v>0</v>
      </c>
      <c r="T22" s="13">
        <f>IF([1]Miles!T18&lt;500,1,0)</f>
        <v>0</v>
      </c>
      <c r="U22" s="13">
        <f>IF([1]Miles!U18&lt;500,1,0)</f>
        <v>0</v>
      </c>
      <c r="V22">
        <f t="shared" si="0"/>
        <v>1</v>
      </c>
    </row>
    <row r="23" spans="1:22" x14ac:dyDescent="0.2">
      <c r="A23" s="10" t="s">
        <v>37</v>
      </c>
      <c r="B23" s="13">
        <f>IF([1]Miles!B19&lt;500,1,0)</f>
        <v>0</v>
      </c>
      <c r="C23" s="13">
        <f>IF([1]Miles!C19&lt;500,1,0)</f>
        <v>1</v>
      </c>
      <c r="D23" s="13">
        <f>IF([1]Miles!D19&lt;500,1,0)</f>
        <v>1</v>
      </c>
      <c r="E23" s="13">
        <f>IF([1]Miles!E19&lt;500,1,0)</f>
        <v>1</v>
      </c>
      <c r="F23" s="13">
        <f>IF([1]Miles!F19&lt;500,1,0)</f>
        <v>0</v>
      </c>
      <c r="G23" s="13">
        <f>IF([1]Miles!G19&lt;500,1,0)</f>
        <v>0</v>
      </c>
      <c r="H23" s="13">
        <f>IF([1]Miles!H19&lt;500,1,0)</f>
        <v>0</v>
      </c>
      <c r="I23" s="13">
        <f>IF([1]Miles!I19&lt;500,1,0)</f>
        <v>1</v>
      </c>
      <c r="J23" s="13">
        <f>IF([1]Miles!J19&lt;500,1,0)</f>
        <v>0</v>
      </c>
      <c r="K23" s="13">
        <f>IF([1]Miles!K19&lt;500,1,0)</f>
        <v>0</v>
      </c>
      <c r="L23" s="13">
        <f>IF([1]Miles!L19&lt;500,1,0)</f>
        <v>0</v>
      </c>
      <c r="M23" s="13">
        <f>IF([1]Miles!M19&lt;500,1,0)</f>
        <v>0</v>
      </c>
      <c r="N23" s="13">
        <f>IF([1]Miles!N19&lt;500,1,0)</f>
        <v>0</v>
      </c>
      <c r="O23" s="13">
        <f>IF([1]Miles!O19&lt;500,1,0)</f>
        <v>0</v>
      </c>
      <c r="P23" s="13">
        <f>IF([1]Miles!P19&lt;500,1,0)</f>
        <v>1</v>
      </c>
      <c r="Q23" s="13">
        <f>IF([1]Miles!Q19&lt;500,1,0)</f>
        <v>1</v>
      </c>
      <c r="R23" s="13">
        <f>IF([1]Miles!R19&lt;500,1,0)</f>
        <v>0</v>
      </c>
      <c r="S23" s="13">
        <f>IF([1]Miles!S19&lt;500,1,0)</f>
        <v>1</v>
      </c>
      <c r="T23" s="13">
        <f>IF([1]Miles!T19&lt;500,1,0)</f>
        <v>0</v>
      </c>
      <c r="U23" s="13">
        <f>IF([1]Miles!U19&lt;500,1,0)</f>
        <v>0</v>
      </c>
      <c r="V23">
        <f t="shared" si="0"/>
        <v>1</v>
      </c>
    </row>
    <row r="24" spans="1:22" x14ac:dyDescent="0.2">
      <c r="A24" s="10" t="s">
        <v>38</v>
      </c>
      <c r="B24" s="13">
        <f>IF([1]Miles!B20&lt;500,1,0)</f>
        <v>0</v>
      </c>
      <c r="C24" s="13">
        <f>IF([1]Miles!C20&lt;500,1,0)</f>
        <v>0</v>
      </c>
      <c r="D24" s="13">
        <f>IF([1]Miles!D20&lt;500,1,0)</f>
        <v>0</v>
      </c>
      <c r="E24" s="13">
        <f>IF([1]Miles!E20&lt;500,1,0)</f>
        <v>0</v>
      </c>
      <c r="F24" s="13">
        <f>IF([1]Miles!F20&lt;500,1,0)</f>
        <v>0</v>
      </c>
      <c r="G24" s="13">
        <f>IF([1]Miles!G20&lt;500,1,0)</f>
        <v>0</v>
      </c>
      <c r="H24" s="13">
        <f>IF([1]Miles!H20&lt;500,1,0)</f>
        <v>0</v>
      </c>
      <c r="I24" s="13">
        <f>IF([1]Miles!I20&lt;500,1,0)</f>
        <v>0</v>
      </c>
      <c r="J24" s="13">
        <f>IF([1]Miles!J20&lt;500,1,0)</f>
        <v>0</v>
      </c>
      <c r="K24" s="13">
        <f>IF([1]Miles!K20&lt;500,1,0)</f>
        <v>0</v>
      </c>
      <c r="L24" s="13">
        <f>IF([1]Miles!L20&lt;500,1,0)</f>
        <v>1</v>
      </c>
      <c r="M24" s="13">
        <f>IF([1]Miles!M20&lt;500,1,0)</f>
        <v>1</v>
      </c>
      <c r="N24" s="13">
        <f>IF([1]Miles!N20&lt;500,1,0)</f>
        <v>0</v>
      </c>
      <c r="O24" s="13">
        <f>IF([1]Miles!O20&lt;500,1,0)</f>
        <v>0</v>
      </c>
      <c r="P24" s="13">
        <f>IF([1]Miles!P20&lt;500,1,0)</f>
        <v>0</v>
      </c>
      <c r="Q24" s="13">
        <f>IF([1]Miles!Q20&lt;500,1,0)</f>
        <v>0</v>
      </c>
      <c r="R24" s="13">
        <f>IF([1]Miles!R20&lt;500,1,0)</f>
        <v>0</v>
      </c>
      <c r="S24" s="13">
        <f>IF([1]Miles!S20&lt;500,1,0)</f>
        <v>0</v>
      </c>
      <c r="T24" s="13">
        <f>IF([1]Miles!T20&lt;500,1,0)</f>
        <v>1</v>
      </c>
      <c r="U24" s="13">
        <f>IF([1]Miles!U20&lt;500,1,0)</f>
        <v>0</v>
      </c>
      <c r="V24">
        <f t="shared" si="0"/>
        <v>1</v>
      </c>
    </row>
    <row r="25" spans="1:22" x14ac:dyDescent="0.2">
      <c r="A25" s="11" t="s">
        <v>39</v>
      </c>
      <c r="B25" s="14">
        <f>IF([1]Miles!B21&lt;500,1,0)</f>
        <v>0</v>
      </c>
      <c r="C25" s="14">
        <f>IF([1]Miles!C21&lt;500,1,0)</f>
        <v>0</v>
      </c>
      <c r="D25" s="14">
        <f>IF([1]Miles!D21&lt;500,1,0)</f>
        <v>0</v>
      </c>
      <c r="E25" s="14">
        <f>IF([1]Miles!E21&lt;500,1,0)</f>
        <v>0</v>
      </c>
      <c r="F25" s="14">
        <f>IF([1]Miles!F21&lt;500,1,0)</f>
        <v>0</v>
      </c>
      <c r="G25" s="14">
        <f>IF([1]Miles!G21&lt;500,1,0)</f>
        <v>0</v>
      </c>
      <c r="H25" s="14">
        <f>IF([1]Miles!H21&lt;500,1,0)</f>
        <v>0</v>
      </c>
      <c r="I25" s="14">
        <f>IF([1]Miles!I21&lt;500,1,0)</f>
        <v>0</v>
      </c>
      <c r="J25" s="14">
        <f>IF([1]Miles!J21&lt;500,1,0)</f>
        <v>1</v>
      </c>
      <c r="K25" s="14">
        <f>IF([1]Miles!K21&lt;500,1,0)</f>
        <v>0</v>
      </c>
      <c r="L25" s="14">
        <f>IF([1]Miles!L21&lt;500,1,0)</f>
        <v>0</v>
      </c>
      <c r="M25" s="14">
        <f>IF([1]Miles!M21&lt;500,1,0)</f>
        <v>0</v>
      </c>
      <c r="N25" s="14">
        <f>IF([1]Miles!N21&lt;500,1,0)</f>
        <v>0</v>
      </c>
      <c r="O25" s="14">
        <f>IF([1]Miles!O21&lt;500,1,0)</f>
        <v>0</v>
      </c>
      <c r="P25" s="14">
        <f>IF([1]Miles!P21&lt;500,1,0)</f>
        <v>0</v>
      </c>
      <c r="Q25" s="14">
        <f>IF([1]Miles!Q21&lt;500,1,0)</f>
        <v>0</v>
      </c>
      <c r="R25" s="14">
        <f>IF([1]Miles!R21&lt;500,1,0)</f>
        <v>0</v>
      </c>
      <c r="S25" s="14">
        <f>IF([1]Miles!S21&lt;500,1,0)</f>
        <v>0</v>
      </c>
      <c r="T25" s="14">
        <f>IF([1]Miles!T21&lt;500,1,0)</f>
        <v>0</v>
      </c>
      <c r="U25" s="15">
        <f>IF([1]Miles!U21&lt;500,1,0)</f>
        <v>1</v>
      </c>
      <c r="V25">
        <f t="shared" si="0"/>
        <v>1</v>
      </c>
    </row>
    <row r="26" spans="1:22" x14ac:dyDescent="0.2">
      <c r="A26" s="16" t="s">
        <v>40</v>
      </c>
      <c r="B26" s="17">
        <v>991</v>
      </c>
      <c r="C26" s="17">
        <v>1198</v>
      </c>
      <c r="D26" s="17">
        <v>1281</v>
      </c>
      <c r="E26" s="17">
        <v>952</v>
      </c>
      <c r="F26" s="17">
        <v>1154</v>
      </c>
      <c r="G26" s="17">
        <v>931</v>
      </c>
      <c r="H26" s="17">
        <v>1131</v>
      </c>
      <c r="I26" s="17">
        <v>1003.0000000000001</v>
      </c>
      <c r="J26" s="17">
        <v>1252</v>
      </c>
      <c r="K26" s="17">
        <v>983</v>
      </c>
      <c r="L26" s="17">
        <v>978.00000000000011</v>
      </c>
      <c r="M26" s="17">
        <v>1428</v>
      </c>
      <c r="N26" s="17">
        <v>1118</v>
      </c>
      <c r="O26" s="17">
        <v>1127</v>
      </c>
      <c r="P26" s="17">
        <v>1610</v>
      </c>
      <c r="Q26" s="17">
        <v>1475</v>
      </c>
      <c r="R26" s="17">
        <v>971</v>
      </c>
      <c r="S26" s="17">
        <v>1213</v>
      </c>
      <c r="T26" s="17">
        <v>1102</v>
      </c>
      <c r="U26" s="17">
        <v>1040</v>
      </c>
    </row>
    <row r="28" spans="1:22" x14ac:dyDescent="0.2">
      <c r="U28" s="52" t="s">
        <v>94</v>
      </c>
      <c r="V28" s="52">
        <f>SUMPRODUCT(B26:U26,B4:U4)</f>
        <v>7376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BDC10-C167-4695-BCFB-F1E114EA583E}">
  <sheetPr codeName="Sheet4"/>
  <dimension ref="A1:V28"/>
  <sheetViews>
    <sheetView workbookViewId="0">
      <selection activeCell="V2" sqref="V2"/>
    </sheetView>
  </sheetViews>
  <sheetFormatPr baseColWidth="10" defaultColWidth="8.83203125" defaultRowHeight="15" x14ac:dyDescent="0.2"/>
  <cols>
    <col min="1" max="1" width="13" bestFit="1" customWidth="1"/>
    <col min="2" max="2" width="8.1640625" bestFit="1" customWidth="1"/>
    <col min="3" max="3" width="8.83203125" bestFit="1" customWidth="1"/>
    <col min="4" max="4" width="8.1640625" bestFit="1" customWidth="1"/>
    <col min="5" max="5" width="8.6640625" bestFit="1" customWidth="1"/>
    <col min="6" max="11" width="8.1640625" bestFit="1" customWidth="1"/>
    <col min="12" max="12" width="8.5" customWidth="1"/>
    <col min="13" max="13" width="10.33203125" bestFit="1" customWidth="1"/>
    <col min="14" max="14" width="8.1640625" bestFit="1" customWidth="1"/>
    <col min="15" max="15" width="10.6640625" bestFit="1" customWidth="1"/>
    <col min="16" max="16" width="8.33203125" bestFit="1" customWidth="1"/>
    <col min="17" max="17" width="13" bestFit="1" customWidth="1"/>
    <col min="18" max="18" width="8.1640625" bestFit="1" customWidth="1"/>
    <col min="19" max="19" width="10.5" bestFit="1" customWidth="1"/>
    <col min="20" max="20" width="8.1640625" bestFit="1" customWidth="1"/>
    <col min="21" max="21" width="8.83203125" bestFit="1" customWidth="1"/>
  </cols>
  <sheetData>
    <row r="1" spans="1:22" x14ac:dyDescent="0.2">
      <c r="A1" s="10" t="s">
        <v>19</v>
      </c>
      <c r="B1" s="10" t="s">
        <v>20</v>
      </c>
      <c r="C1" s="10" t="s">
        <v>21</v>
      </c>
      <c r="D1" s="10" t="s">
        <v>22</v>
      </c>
      <c r="E1" s="10" t="s">
        <v>23</v>
      </c>
      <c r="F1" s="10" t="s">
        <v>24</v>
      </c>
      <c r="G1" s="10" t="s">
        <v>25</v>
      </c>
      <c r="H1" s="10" t="s">
        <v>26</v>
      </c>
      <c r="I1" s="10" t="s">
        <v>27</v>
      </c>
      <c r="J1" s="10" t="s">
        <v>28</v>
      </c>
      <c r="K1" s="10" t="s">
        <v>29</v>
      </c>
      <c r="L1" s="10" t="s">
        <v>30</v>
      </c>
      <c r="M1" s="10" t="s">
        <v>31</v>
      </c>
      <c r="N1" s="10" t="s">
        <v>32</v>
      </c>
      <c r="O1" s="10" t="s">
        <v>33</v>
      </c>
      <c r="P1" s="10" t="s">
        <v>34</v>
      </c>
      <c r="Q1" s="10" t="s">
        <v>35</v>
      </c>
      <c r="R1" s="10" t="s">
        <v>36</v>
      </c>
      <c r="S1" s="10" t="s">
        <v>37</v>
      </c>
      <c r="T1" s="10" t="s">
        <v>38</v>
      </c>
      <c r="U1" s="10" t="s">
        <v>39</v>
      </c>
      <c r="V1" s="34" t="s">
        <v>95</v>
      </c>
    </row>
    <row r="2" spans="1:22" x14ac:dyDescent="0.2">
      <c r="A2" s="10" t="s">
        <v>20</v>
      </c>
      <c r="B2" s="13">
        <v>0</v>
      </c>
      <c r="C2" s="13">
        <v>578.48</v>
      </c>
      <c r="D2" s="13">
        <v>939.87</v>
      </c>
      <c r="E2" s="13">
        <v>227.4</v>
      </c>
      <c r="F2" s="13">
        <v>586.36</v>
      </c>
      <c r="G2" s="13">
        <v>717.08</v>
      </c>
      <c r="H2" s="13">
        <v>1206.94</v>
      </c>
      <c r="I2" s="13">
        <v>600.45000000000005</v>
      </c>
      <c r="J2" s="13">
        <v>2204.54</v>
      </c>
      <c r="K2" s="13">
        <v>701.32</v>
      </c>
      <c r="L2" s="13">
        <v>1758.42</v>
      </c>
      <c r="M2" s="13">
        <v>1958.71</v>
      </c>
      <c r="N2" s="13">
        <v>606.85</v>
      </c>
      <c r="O2" s="13">
        <v>907.52</v>
      </c>
      <c r="P2" s="13">
        <v>748.79</v>
      </c>
      <c r="Q2" s="13">
        <v>544.37</v>
      </c>
      <c r="R2" s="13">
        <v>405.85</v>
      </c>
      <c r="S2" s="13">
        <v>670.98</v>
      </c>
      <c r="T2" s="13">
        <v>1596.11</v>
      </c>
      <c r="U2" s="13">
        <v>2192.88</v>
      </c>
      <c r="V2">
        <f>SUMPRODUCT(B6:U6,$B$4:$U$4)</f>
        <v>29983972.8972</v>
      </c>
    </row>
    <row r="3" spans="1:22" x14ac:dyDescent="0.2">
      <c r="A3" s="10" t="s">
        <v>21</v>
      </c>
      <c r="B3" s="13">
        <v>578.48</v>
      </c>
      <c r="C3" s="13">
        <v>0</v>
      </c>
      <c r="D3" s="13">
        <v>359.92</v>
      </c>
      <c r="E3" s="13">
        <v>366.25</v>
      </c>
      <c r="F3" s="13">
        <v>607.01</v>
      </c>
      <c r="G3" s="13">
        <v>1214.0899999999999</v>
      </c>
      <c r="H3" s="13">
        <v>1508.89</v>
      </c>
      <c r="I3" s="13">
        <v>400.46</v>
      </c>
      <c r="J3" s="13">
        <v>2361.89</v>
      </c>
      <c r="K3" s="13">
        <v>1256.77</v>
      </c>
      <c r="L3" s="13">
        <v>2128.4299999999998</v>
      </c>
      <c r="M3" s="13">
        <v>2355.0700000000002</v>
      </c>
      <c r="N3" s="13">
        <v>959.47</v>
      </c>
      <c r="O3" s="13">
        <v>938.84</v>
      </c>
      <c r="P3" s="13">
        <v>170.12</v>
      </c>
      <c r="Q3" s="13">
        <v>34.78</v>
      </c>
      <c r="R3" s="13">
        <v>795.56</v>
      </c>
      <c r="S3" s="13">
        <v>92.76</v>
      </c>
      <c r="T3" s="13">
        <v>2018.99</v>
      </c>
      <c r="U3" s="13">
        <v>2389.0500000000002</v>
      </c>
      <c r="V3">
        <f>SUMPRODUCT(B7:U7,$B$4:$U$4)</f>
        <v>25650045.623600002</v>
      </c>
    </row>
    <row r="4" spans="1:22" x14ac:dyDescent="0.2">
      <c r="A4" s="10" t="s">
        <v>22</v>
      </c>
      <c r="B4" s="13">
        <v>939.87</v>
      </c>
      <c r="C4" s="13">
        <v>359.92</v>
      </c>
      <c r="D4" s="13">
        <v>0</v>
      </c>
      <c r="E4" s="13">
        <v>723.02</v>
      </c>
      <c r="F4" s="13">
        <v>855.2</v>
      </c>
      <c r="G4" s="13">
        <v>1558.65</v>
      </c>
      <c r="H4" s="13">
        <v>1775.27</v>
      </c>
      <c r="I4" s="13">
        <v>616.85</v>
      </c>
      <c r="J4" s="13">
        <v>2528.87</v>
      </c>
      <c r="K4" s="13">
        <v>1616.63</v>
      </c>
      <c r="L4" s="13">
        <v>2409.54</v>
      </c>
      <c r="M4" s="13">
        <v>2645.48</v>
      </c>
      <c r="N4" s="13">
        <v>1262.68</v>
      </c>
      <c r="O4" s="13">
        <v>1127.0899999999999</v>
      </c>
      <c r="P4" s="13">
        <v>190.11</v>
      </c>
      <c r="Q4" s="13">
        <v>393.9</v>
      </c>
      <c r="R4" s="13">
        <v>1121.54</v>
      </c>
      <c r="S4" s="13">
        <v>267.58999999999997</v>
      </c>
      <c r="T4" s="13">
        <v>2325.63</v>
      </c>
      <c r="U4" s="13">
        <v>2576.65</v>
      </c>
      <c r="V4">
        <f>SUMPRODUCT(B8:U8,$B$4:$U$4)</f>
        <v>22849944.301999997</v>
      </c>
    </row>
    <row r="5" spans="1:22" x14ac:dyDescent="0.2">
      <c r="A5" s="10" t="s">
        <v>23</v>
      </c>
      <c r="B5" s="13">
        <v>227.4</v>
      </c>
      <c r="C5" s="13">
        <v>366.25</v>
      </c>
      <c r="D5" s="13">
        <v>723.02</v>
      </c>
      <c r="E5" s="13">
        <v>0</v>
      </c>
      <c r="F5" s="13">
        <v>589.69000000000005</v>
      </c>
      <c r="G5" s="13">
        <v>929.22</v>
      </c>
      <c r="H5" s="13">
        <v>1357.39</v>
      </c>
      <c r="I5" s="13">
        <v>511.23</v>
      </c>
      <c r="J5" s="13">
        <v>2314.7600000000002</v>
      </c>
      <c r="K5" s="13">
        <v>928.69</v>
      </c>
      <c r="L5" s="13">
        <v>1939.26</v>
      </c>
      <c r="M5" s="13">
        <v>2149.61</v>
      </c>
      <c r="N5" s="13">
        <v>652.64</v>
      </c>
      <c r="O5" s="13">
        <v>942.03</v>
      </c>
      <c r="P5" s="13">
        <v>532.79999999999995</v>
      </c>
      <c r="Q5" s="13">
        <v>331.45</v>
      </c>
      <c r="R5" s="13">
        <v>464.27</v>
      </c>
      <c r="S5" s="13">
        <v>455.89</v>
      </c>
      <c r="T5" s="13">
        <v>1792.83</v>
      </c>
      <c r="U5" s="13">
        <v>2317.1</v>
      </c>
      <c r="V5">
        <f>SUMPRODUCT(B9:U9,$B$4:$U$4)</f>
        <v>33744929.669500008</v>
      </c>
    </row>
    <row r="6" spans="1:22" x14ac:dyDescent="0.2">
      <c r="A6" s="10" t="s">
        <v>24</v>
      </c>
      <c r="B6" s="13">
        <v>586.36</v>
      </c>
      <c r="C6" s="13">
        <v>607.01</v>
      </c>
      <c r="D6" s="13">
        <v>855.2</v>
      </c>
      <c r="E6" s="13">
        <v>589.69000000000005</v>
      </c>
      <c r="F6" s="13">
        <v>0</v>
      </c>
      <c r="G6" s="13">
        <v>800.65</v>
      </c>
      <c r="H6" s="13">
        <v>910.74</v>
      </c>
      <c r="I6" s="13">
        <v>237.71</v>
      </c>
      <c r="J6" s="13">
        <v>1746.26</v>
      </c>
      <c r="K6" s="13">
        <v>940.42</v>
      </c>
      <c r="L6" s="13">
        <v>1530.64</v>
      </c>
      <c r="M6" s="13">
        <v>1760.1</v>
      </c>
      <c r="N6" s="13">
        <v>1192.8399999999999</v>
      </c>
      <c r="O6" s="13">
        <v>353.84</v>
      </c>
      <c r="P6" s="13">
        <v>718.46</v>
      </c>
      <c r="Q6" s="13">
        <v>596.57000000000005</v>
      </c>
      <c r="R6" s="13">
        <v>990.01</v>
      </c>
      <c r="S6" s="13">
        <v>667.4</v>
      </c>
      <c r="T6" s="13">
        <v>1453.1</v>
      </c>
      <c r="U6" s="13">
        <v>1766.24</v>
      </c>
      <c r="V6">
        <f>SUMPRODUCT(B10:U10,$B$4:$U$4)</f>
        <v>32469213.041200001</v>
      </c>
    </row>
    <row r="7" spans="1:22" x14ac:dyDescent="0.2">
      <c r="A7" s="10" t="s">
        <v>25</v>
      </c>
      <c r="B7" s="13">
        <v>717.08</v>
      </c>
      <c r="C7" s="13">
        <v>1214.0899999999999</v>
      </c>
      <c r="D7" s="13">
        <v>1558.65</v>
      </c>
      <c r="E7" s="13">
        <v>929.22</v>
      </c>
      <c r="F7" s="13">
        <v>800.65</v>
      </c>
      <c r="G7" s="13">
        <v>0</v>
      </c>
      <c r="H7" s="13">
        <v>660.57</v>
      </c>
      <c r="I7" s="13">
        <v>999.94</v>
      </c>
      <c r="J7" s="13">
        <v>1693.96</v>
      </c>
      <c r="K7" s="13">
        <v>224.03</v>
      </c>
      <c r="L7" s="13">
        <v>1078.31</v>
      </c>
      <c r="M7" s="13">
        <v>1253.68</v>
      </c>
      <c r="N7" s="13">
        <v>1111.04</v>
      </c>
      <c r="O7" s="13">
        <v>863.15</v>
      </c>
      <c r="P7" s="13">
        <v>1378.08</v>
      </c>
      <c r="Q7" s="13">
        <v>1185.48</v>
      </c>
      <c r="R7" s="13">
        <v>963.48</v>
      </c>
      <c r="S7" s="13">
        <v>1304.26</v>
      </c>
      <c r="T7" s="13">
        <v>887.48</v>
      </c>
      <c r="U7" s="13">
        <v>1643.23</v>
      </c>
      <c r="V7">
        <f>SUMPRODUCT(B11:U11,$B$4:$U$4)</f>
        <v>28256485.619800001</v>
      </c>
    </row>
    <row r="8" spans="1:22" x14ac:dyDescent="0.2">
      <c r="A8" s="10" t="s">
        <v>26</v>
      </c>
      <c r="B8" s="13">
        <v>1206.94</v>
      </c>
      <c r="C8" s="13">
        <v>1508.89</v>
      </c>
      <c r="D8" s="13">
        <v>1775.27</v>
      </c>
      <c r="E8" s="13">
        <v>1357.39</v>
      </c>
      <c r="F8" s="13">
        <v>910.74</v>
      </c>
      <c r="G8" s="13">
        <v>660.57</v>
      </c>
      <c r="H8" s="13">
        <v>0</v>
      </c>
      <c r="I8" s="13">
        <v>1148.8900000000001</v>
      </c>
      <c r="J8" s="13">
        <v>1027.27</v>
      </c>
      <c r="K8" s="13">
        <v>876.34</v>
      </c>
      <c r="L8" s="13">
        <v>615.04999999999995</v>
      </c>
      <c r="M8" s="13">
        <v>844.12</v>
      </c>
      <c r="N8" s="13">
        <v>1732.2</v>
      </c>
      <c r="O8" s="13">
        <v>692.18</v>
      </c>
      <c r="P8" s="13">
        <v>1635.86</v>
      </c>
      <c r="Q8" s="13">
        <v>1492.02</v>
      </c>
      <c r="R8" s="13">
        <v>1555.93</v>
      </c>
      <c r="S8" s="13">
        <v>1579.54</v>
      </c>
      <c r="T8" s="13">
        <v>587.11</v>
      </c>
      <c r="U8" s="13">
        <v>987.76</v>
      </c>
      <c r="V8">
        <f>SUMPRODUCT(B12:U12,$B$4:$U$4)</f>
        <v>24754432.503200002</v>
      </c>
    </row>
    <row r="9" spans="1:22" x14ac:dyDescent="0.2">
      <c r="A9" s="10" t="s">
        <v>27</v>
      </c>
      <c r="B9" s="13">
        <v>600.45000000000005</v>
      </c>
      <c r="C9" s="13">
        <v>400.46</v>
      </c>
      <c r="D9" s="13">
        <v>616.85</v>
      </c>
      <c r="E9" s="13">
        <v>511.23</v>
      </c>
      <c r="F9" s="13">
        <v>237.71</v>
      </c>
      <c r="G9" s="13">
        <v>999.94</v>
      </c>
      <c r="H9" s="13">
        <v>1148.8900000000001</v>
      </c>
      <c r="I9" s="13">
        <v>0</v>
      </c>
      <c r="J9" s="13">
        <v>1948.98</v>
      </c>
      <c r="K9" s="13">
        <v>1110.2</v>
      </c>
      <c r="L9" s="13">
        <v>1772.6</v>
      </c>
      <c r="M9" s="13">
        <v>2004</v>
      </c>
      <c r="N9" s="13">
        <v>1162.74</v>
      </c>
      <c r="O9" s="13">
        <v>538.58000000000004</v>
      </c>
      <c r="P9" s="13">
        <v>488.37</v>
      </c>
      <c r="Q9" s="13">
        <v>398.84</v>
      </c>
      <c r="R9" s="13">
        <v>966.26</v>
      </c>
      <c r="S9" s="13">
        <v>445.56</v>
      </c>
      <c r="T9" s="13">
        <v>1694.63</v>
      </c>
      <c r="U9" s="13">
        <v>1979.33</v>
      </c>
      <c r="V9">
        <f>SUMPRODUCT(B13:U13,$B$4:$U$4)</f>
        <v>27914526.447199997</v>
      </c>
    </row>
    <row r="10" spans="1:22" x14ac:dyDescent="0.2">
      <c r="A10" s="10" t="s">
        <v>28</v>
      </c>
      <c r="B10" s="13">
        <v>2204.54</v>
      </c>
      <c r="C10" s="13">
        <v>2361.89</v>
      </c>
      <c r="D10" s="13">
        <v>2528.87</v>
      </c>
      <c r="E10" s="13">
        <v>2314.7600000000002</v>
      </c>
      <c r="F10" s="13">
        <v>1746.26</v>
      </c>
      <c r="G10" s="13">
        <v>1693.96</v>
      </c>
      <c r="H10" s="13">
        <v>1027.27</v>
      </c>
      <c r="I10" s="13">
        <v>1948.98</v>
      </c>
      <c r="J10" s="13">
        <v>0</v>
      </c>
      <c r="K10" s="13">
        <v>1906.95</v>
      </c>
      <c r="L10" s="13">
        <v>870.24</v>
      </c>
      <c r="M10" s="13">
        <v>957.86</v>
      </c>
      <c r="N10" s="13">
        <v>2784.09</v>
      </c>
      <c r="O10" s="13">
        <v>1399.32</v>
      </c>
      <c r="P10" s="13">
        <v>2443.61</v>
      </c>
      <c r="Q10" s="13">
        <v>2355.96</v>
      </c>
      <c r="R10" s="13">
        <v>2592.96</v>
      </c>
      <c r="S10" s="13">
        <v>2408.69</v>
      </c>
      <c r="T10" s="13">
        <v>1113.75</v>
      </c>
      <c r="U10" s="13">
        <v>144.47</v>
      </c>
      <c r="V10">
        <f>SUMPRODUCT(B14:U14,$B$4:$U$4)</f>
        <v>42683760.697100006</v>
      </c>
    </row>
    <row r="11" spans="1:22" x14ac:dyDescent="0.2">
      <c r="A11" s="10" t="s">
        <v>29</v>
      </c>
      <c r="B11" s="13">
        <v>701.32</v>
      </c>
      <c r="C11" s="13">
        <v>1256.77</v>
      </c>
      <c r="D11" s="13">
        <v>1616.63</v>
      </c>
      <c r="E11" s="13">
        <v>928.69</v>
      </c>
      <c r="F11" s="13">
        <v>940.42</v>
      </c>
      <c r="G11" s="13">
        <v>224.03</v>
      </c>
      <c r="H11" s="13">
        <v>876.34</v>
      </c>
      <c r="I11" s="13">
        <v>1110.2</v>
      </c>
      <c r="J11" s="13">
        <v>1906.95</v>
      </c>
      <c r="K11" s="13">
        <v>0</v>
      </c>
      <c r="L11" s="13">
        <v>1234.3900000000001</v>
      </c>
      <c r="M11" s="13">
        <v>1386.39</v>
      </c>
      <c r="N11" s="13">
        <v>969.58</v>
      </c>
      <c r="O11" s="13">
        <v>1058.98</v>
      </c>
      <c r="P11" s="13">
        <v>1427.54</v>
      </c>
      <c r="Q11" s="13">
        <v>1224.8699999999999</v>
      </c>
      <c r="R11" s="13">
        <v>851.76</v>
      </c>
      <c r="S11" s="13">
        <v>1350.22</v>
      </c>
      <c r="T11" s="13">
        <v>1016.48</v>
      </c>
      <c r="U11" s="13">
        <v>1848.48</v>
      </c>
      <c r="V11">
        <f>SUMPRODUCT(B15:U15,$B$4:$U$4)</f>
        <v>28407877.994499996</v>
      </c>
    </row>
    <row r="12" spans="1:22" x14ac:dyDescent="0.2">
      <c r="A12" s="10" t="s">
        <v>30</v>
      </c>
      <c r="B12" s="13">
        <v>1758.42</v>
      </c>
      <c r="C12" s="13">
        <v>2128.4299999999998</v>
      </c>
      <c r="D12" s="13">
        <v>2409.54</v>
      </c>
      <c r="E12" s="13">
        <v>1939.26</v>
      </c>
      <c r="F12" s="13">
        <v>1530.64</v>
      </c>
      <c r="G12" s="13">
        <v>1078.31</v>
      </c>
      <c r="H12" s="13">
        <v>615.04999999999995</v>
      </c>
      <c r="I12" s="13">
        <v>1772.6</v>
      </c>
      <c r="J12" s="13">
        <v>870.24</v>
      </c>
      <c r="K12" s="13">
        <v>1234.3900000000001</v>
      </c>
      <c r="L12" s="13">
        <v>0</v>
      </c>
      <c r="M12" s="13">
        <v>231.36</v>
      </c>
      <c r="N12" s="13">
        <v>2208.4699999999998</v>
      </c>
      <c r="O12" s="13">
        <v>1300.7</v>
      </c>
      <c r="P12" s="13">
        <v>2263.7399999999998</v>
      </c>
      <c r="Q12" s="13">
        <v>2109.15</v>
      </c>
      <c r="R12" s="13">
        <v>2057.09</v>
      </c>
      <c r="S12" s="13">
        <v>2203.89</v>
      </c>
      <c r="T12" s="13">
        <v>256.75</v>
      </c>
      <c r="U12" s="13">
        <v>753.11</v>
      </c>
      <c r="V12">
        <f>SUMPRODUCT(B16:U16,$B$4:$U$4)</f>
        <v>42782029.764399998</v>
      </c>
    </row>
    <row r="13" spans="1:22" x14ac:dyDescent="0.2">
      <c r="A13" s="10" t="s">
        <v>31</v>
      </c>
      <c r="B13" s="13">
        <v>1958.71</v>
      </c>
      <c r="C13" s="13">
        <v>2355.0700000000002</v>
      </c>
      <c r="D13" s="13">
        <v>2645.48</v>
      </c>
      <c r="E13" s="13">
        <v>2149.61</v>
      </c>
      <c r="F13" s="13">
        <v>1760.1</v>
      </c>
      <c r="G13" s="13">
        <v>1253.68</v>
      </c>
      <c r="H13" s="13">
        <v>844.12</v>
      </c>
      <c r="I13" s="13">
        <v>2004</v>
      </c>
      <c r="J13" s="13">
        <v>957.86</v>
      </c>
      <c r="K13" s="13">
        <v>1386.39</v>
      </c>
      <c r="L13" s="13">
        <v>231.36</v>
      </c>
      <c r="M13" s="13">
        <v>0</v>
      </c>
      <c r="N13" s="13">
        <v>2377.56</v>
      </c>
      <c r="O13" s="13">
        <v>1535.33</v>
      </c>
      <c r="P13" s="13">
        <v>2495.06</v>
      </c>
      <c r="Q13" s="13">
        <v>2334.5100000000002</v>
      </c>
      <c r="R13" s="13">
        <v>2236.7399999999998</v>
      </c>
      <c r="S13" s="13">
        <v>2433.1</v>
      </c>
      <c r="T13" s="13">
        <v>366.1</v>
      </c>
      <c r="U13" s="13">
        <v>822.45</v>
      </c>
      <c r="V13">
        <f>SUMPRODUCT(B17:U17,$B$4:$U$4)</f>
        <v>39141633.444500007</v>
      </c>
    </row>
    <row r="14" spans="1:22" x14ac:dyDescent="0.2">
      <c r="A14" s="10" t="s">
        <v>32</v>
      </c>
      <c r="B14" s="13">
        <v>606.85</v>
      </c>
      <c r="C14" s="13">
        <v>959.47</v>
      </c>
      <c r="D14" s="13">
        <v>1262.68</v>
      </c>
      <c r="E14" s="13">
        <v>652.64</v>
      </c>
      <c r="F14" s="13">
        <v>1192.8399999999999</v>
      </c>
      <c r="G14" s="13">
        <v>1111.04</v>
      </c>
      <c r="H14" s="13">
        <v>1732.2</v>
      </c>
      <c r="I14" s="13">
        <v>1162.74</v>
      </c>
      <c r="J14" s="13">
        <v>2784.09</v>
      </c>
      <c r="K14" s="13">
        <v>969.58</v>
      </c>
      <c r="L14" s="13">
        <v>2208.4699999999998</v>
      </c>
      <c r="M14" s="13">
        <v>2377.56</v>
      </c>
      <c r="N14" s="13">
        <v>0</v>
      </c>
      <c r="O14" s="13">
        <v>1520.42</v>
      </c>
      <c r="P14" s="13">
        <v>1093.4000000000001</v>
      </c>
      <c r="Q14" s="13">
        <v>928.03</v>
      </c>
      <c r="R14" s="13">
        <v>201.03</v>
      </c>
      <c r="S14" s="13">
        <v>1028.78</v>
      </c>
      <c r="T14" s="13">
        <v>1998.23</v>
      </c>
      <c r="U14" s="13">
        <v>2754.66</v>
      </c>
      <c r="V14">
        <f>SUMPRODUCT(B18:U18,$B$4:$U$4)</f>
        <v>38916416.993099995</v>
      </c>
    </row>
    <row r="15" spans="1:22" x14ac:dyDescent="0.2">
      <c r="A15" s="10" t="s">
        <v>33</v>
      </c>
      <c r="B15" s="13">
        <v>907.52</v>
      </c>
      <c r="C15" s="13">
        <v>938.84</v>
      </c>
      <c r="D15" s="13">
        <v>1127.0899999999999</v>
      </c>
      <c r="E15" s="13">
        <v>942.03</v>
      </c>
      <c r="F15" s="13">
        <v>353.84</v>
      </c>
      <c r="G15" s="13">
        <v>863.15</v>
      </c>
      <c r="H15" s="13">
        <v>692.18</v>
      </c>
      <c r="I15" s="13">
        <v>538.58000000000004</v>
      </c>
      <c r="J15" s="13">
        <v>1399.32</v>
      </c>
      <c r="K15" s="13">
        <v>1058.98</v>
      </c>
      <c r="L15" s="13">
        <v>1300.7</v>
      </c>
      <c r="M15" s="13">
        <v>1535.33</v>
      </c>
      <c r="N15" s="13">
        <v>1520.42</v>
      </c>
      <c r="O15" s="13">
        <v>0</v>
      </c>
      <c r="P15" s="13">
        <v>1023.54</v>
      </c>
      <c r="Q15" s="13">
        <v>933.83</v>
      </c>
      <c r="R15" s="13">
        <v>1317.1</v>
      </c>
      <c r="S15" s="13">
        <v>985.45</v>
      </c>
      <c r="T15" s="13">
        <v>1278.53</v>
      </c>
      <c r="U15" s="13">
        <v>1429.76</v>
      </c>
      <c r="V15">
        <f>SUMPRODUCT(B19:U19,$B$4:$U$4)</f>
        <v>41325694.468500003</v>
      </c>
    </row>
    <row r="16" spans="1:22" x14ac:dyDescent="0.2">
      <c r="A16" s="10" t="s">
        <v>34</v>
      </c>
      <c r="B16" s="13">
        <v>748.79</v>
      </c>
      <c r="C16" s="13">
        <v>170.12</v>
      </c>
      <c r="D16" s="13">
        <v>190.11</v>
      </c>
      <c r="E16" s="13">
        <v>532.79999999999995</v>
      </c>
      <c r="F16" s="13">
        <v>718.46</v>
      </c>
      <c r="G16" s="13">
        <v>1378.08</v>
      </c>
      <c r="H16" s="13">
        <v>1635.86</v>
      </c>
      <c r="I16" s="13">
        <v>488.37</v>
      </c>
      <c r="J16" s="13">
        <v>2443.61</v>
      </c>
      <c r="K16" s="13">
        <v>1427.54</v>
      </c>
      <c r="L16" s="13">
        <v>2263.7399999999998</v>
      </c>
      <c r="M16" s="13">
        <v>2495.06</v>
      </c>
      <c r="N16" s="13">
        <v>1093.4000000000001</v>
      </c>
      <c r="O16" s="13">
        <v>1023.54</v>
      </c>
      <c r="P16" s="13">
        <v>0</v>
      </c>
      <c r="Q16" s="13">
        <v>203.78</v>
      </c>
      <c r="R16" s="13">
        <v>942.4</v>
      </c>
      <c r="S16" s="13">
        <v>77.510000000000005</v>
      </c>
      <c r="T16" s="13">
        <v>2166.14</v>
      </c>
      <c r="U16" s="13">
        <v>2480.62</v>
      </c>
      <c r="V16">
        <f>SUMPRODUCT(B20:U20,$B$4:$U$4)</f>
        <v>24680484.926600002</v>
      </c>
    </row>
    <row r="17" spans="1:22" x14ac:dyDescent="0.2">
      <c r="A17" s="10" t="s">
        <v>35</v>
      </c>
      <c r="B17" s="13">
        <v>544.37</v>
      </c>
      <c r="C17" s="13">
        <v>34.78</v>
      </c>
      <c r="D17" s="13">
        <v>393.9</v>
      </c>
      <c r="E17" s="13">
        <v>331.45</v>
      </c>
      <c r="F17" s="13">
        <v>596.57000000000005</v>
      </c>
      <c r="G17" s="13">
        <v>1185.48</v>
      </c>
      <c r="H17" s="13">
        <v>1492.02</v>
      </c>
      <c r="I17" s="13">
        <v>398.84</v>
      </c>
      <c r="J17" s="13">
        <v>2355.96</v>
      </c>
      <c r="K17" s="13">
        <v>1224.8699999999999</v>
      </c>
      <c r="L17" s="13">
        <v>2109.15</v>
      </c>
      <c r="M17" s="13">
        <v>2334.5100000000002</v>
      </c>
      <c r="N17" s="13">
        <v>928.03</v>
      </c>
      <c r="O17" s="13">
        <v>933.83</v>
      </c>
      <c r="P17" s="13">
        <v>203.78</v>
      </c>
      <c r="Q17" s="13">
        <v>0</v>
      </c>
      <c r="R17" s="13">
        <v>762.38</v>
      </c>
      <c r="S17" s="13">
        <v>126.26</v>
      </c>
      <c r="T17" s="13">
        <v>1996.3</v>
      </c>
      <c r="U17" s="13">
        <v>2380.8200000000002</v>
      </c>
      <c r="V17">
        <f>SUMPRODUCT(B21:U21,$B$4:$U$4)</f>
        <v>31354520.484000001</v>
      </c>
    </row>
    <row r="18" spans="1:22" x14ac:dyDescent="0.2">
      <c r="A18" s="10" t="s">
        <v>36</v>
      </c>
      <c r="B18" s="13">
        <v>405.85</v>
      </c>
      <c r="C18" s="13">
        <v>795.56</v>
      </c>
      <c r="D18" s="13">
        <v>1121.54</v>
      </c>
      <c r="E18" s="13">
        <v>464.27</v>
      </c>
      <c r="F18" s="13">
        <v>990.01</v>
      </c>
      <c r="G18" s="13">
        <v>963.48</v>
      </c>
      <c r="H18" s="13">
        <v>1555.93</v>
      </c>
      <c r="I18" s="13">
        <v>966.26</v>
      </c>
      <c r="J18" s="13">
        <v>2592.96</v>
      </c>
      <c r="K18" s="13">
        <v>851.76</v>
      </c>
      <c r="L18" s="13">
        <v>2057.09</v>
      </c>
      <c r="M18" s="13">
        <v>2236.7399999999998</v>
      </c>
      <c r="N18" s="13">
        <v>201.03</v>
      </c>
      <c r="O18" s="13">
        <v>1317.1</v>
      </c>
      <c r="P18" s="13">
        <v>942.4</v>
      </c>
      <c r="Q18" s="13">
        <v>762.38</v>
      </c>
      <c r="R18" s="13">
        <v>0</v>
      </c>
      <c r="S18" s="13">
        <v>872.6</v>
      </c>
      <c r="T18" s="13">
        <v>1860.39</v>
      </c>
      <c r="U18" s="13">
        <v>2569.36</v>
      </c>
      <c r="V18">
        <f>SUMPRODUCT(B22:U22,$B$4:$U$4)</f>
        <v>0</v>
      </c>
    </row>
    <row r="19" spans="1:22" x14ac:dyDescent="0.2">
      <c r="A19" s="10" t="s">
        <v>37</v>
      </c>
      <c r="B19" s="13">
        <v>670.98</v>
      </c>
      <c r="C19" s="13">
        <v>92.76</v>
      </c>
      <c r="D19" s="13">
        <v>267.58999999999997</v>
      </c>
      <c r="E19" s="13">
        <v>455.89</v>
      </c>
      <c r="F19" s="13">
        <v>667.4</v>
      </c>
      <c r="G19" s="13">
        <v>1304.26</v>
      </c>
      <c r="H19" s="13">
        <v>1579.54</v>
      </c>
      <c r="I19" s="13">
        <v>445.56</v>
      </c>
      <c r="J19" s="13">
        <v>2408.69</v>
      </c>
      <c r="K19" s="13">
        <v>1350.22</v>
      </c>
      <c r="L19" s="13">
        <v>2203.89</v>
      </c>
      <c r="M19" s="13">
        <v>2433.1</v>
      </c>
      <c r="N19" s="13">
        <v>1028.78</v>
      </c>
      <c r="O19" s="13">
        <v>985.45</v>
      </c>
      <c r="P19" s="13">
        <v>77.510000000000005</v>
      </c>
      <c r="Q19" s="13">
        <v>126.26</v>
      </c>
      <c r="R19" s="13">
        <v>872.6</v>
      </c>
      <c r="S19" s="13">
        <v>0</v>
      </c>
      <c r="T19" s="13">
        <v>2100.67</v>
      </c>
      <c r="U19" s="13">
        <v>2441.19</v>
      </c>
      <c r="V19">
        <f>SUMPRODUCT(B23:U23,$B$4:$U$4)</f>
        <v>0</v>
      </c>
    </row>
    <row r="20" spans="1:22" x14ac:dyDescent="0.2">
      <c r="A20" s="10" t="s">
        <v>38</v>
      </c>
      <c r="B20" s="13">
        <v>1596.11</v>
      </c>
      <c r="C20" s="13">
        <v>2018.99</v>
      </c>
      <c r="D20" s="13">
        <v>2325.63</v>
      </c>
      <c r="E20" s="13">
        <v>1792.83</v>
      </c>
      <c r="F20" s="13">
        <v>1453.1</v>
      </c>
      <c r="G20" s="13">
        <v>887.48</v>
      </c>
      <c r="H20" s="13">
        <v>587.11</v>
      </c>
      <c r="I20" s="13">
        <v>1694.63</v>
      </c>
      <c r="J20" s="13">
        <v>1113.75</v>
      </c>
      <c r="K20" s="13">
        <v>1016.48</v>
      </c>
      <c r="L20" s="13">
        <v>256.75</v>
      </c>
      <c r="M20" s="13">
        <v>366.1</v>
      </c>
      <c r="N20" s="13">
        <v>1998.23</v>
      </c>
      <c r="O20" s="13">
        <v>1278.53</v>
      </c>
      <c r="P20" s="13">
        <v>2166.14</v>
      </c>
      <c r="Q20" s="13">
        <v>1996.3</v>
      </c>
      <c r="R20" s="13">
        <v>1860.39</v>
      </c>
      <c r="S20" s="13">
        <v>2100.67</v>
      </c>
      <c r="T20" s="13">
        <v>0</v>
      </c>
      <c r="U20" s="13">
        <v>1003.62</v>
      </c>
      <c r="V20">
        <f>SUMPRODUCT(B24:U24,$B$4:$U$4)</f>
        <v>0</v>
      </c>
    </row>
    <row r="21" spans="1:22" x14ac:dyDescent="0.2">
      <c r="A21" s="10" t="s">
        <v>39</v>
      </c>
      <c r="B21" s="13">
        <v>2192.88</v>
      </c>
      <c r="C21" s="13">
        <v>2389.0500000000002</v>
      </c>
      <c r="D21" s="13">
        <v>2576.65</v>
      </c>
      <c r="E21" s="13">
        <v>2317.1</v>
      </c>
      <c r="F21" s="13">
        <v>1766.24</v>
      </c>
      <c r="G21" s="13">
        <v>1643.23</v>
      </c>
      <c r="H21" s="13">
        <v>987.76</v>
      </c>
      <c r="I21" s="13">
        <v>1979.33</v>
      </c>
      <c r="J21" s="13">
        <v>144.47</v>
      </c>
      <c r="K21" s="13">
        <v>1848.48</v>
      </c>
      <c r="L21" s="13">
        <v>753.11</v>
      </c>
      <c r="M21" s="13">
        <v>822.45</v>
      </c>
      <c r="N21" s="13">
        <v>2754.66</v>
      </c>
      <c r="O21" s="13">
        <v>1429.76</v>
      </c>
      <c r="P21" s="13">
        <v>2480.62</v>
      </c>
      <c r="Q21" s="13">
        <v>2380.8200000000002</v>
      </c>
      <c r="R21" s="13">
        <v>2569.36</v>
      </c>
      <c r="S21" s="13">
        <v>2441.19</v>
      </c>
      <c r="T21" s="13">
        <v>1003.62</v>
      </c>
      <c r="U21" s="13">
        <v>0</v>
      </c>
      <c r="V21">
        <f>SUMPRODUCT(B25:U25,$B$4:$U$4)</f>
        <v>0</v>
      </c>
    </row>
    <row r="28" spans="1:22" x14ac:dyDescent="0.2">
      <c r="U28" t="s">
        <v>94</v>
      </c>
      <c r="V28">
        <f>SUMPRODUCT(B26:U26,B4:U4)</f>
        <v>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30500-E8BA-4779-92B4-8CBAE3B6B7B1}">
  <sheetPr codeName="Sheet8"/>
  <dimension ref="A1:V25"/>
  <sheetViews>
    <sheetView workbookViewId="0">
      <selection activeCell="H25" sqref="H25"/>
    </sheetView>
  </sheetViews>
  <sheetFormatPr baseColWidth="10" defaultColWidth="8.83203125" defaultRowHeight="15" x14ac:dyDescent="0.2"/>
  <cols>
    <col min="1" max="1" width="9" style="13" bestFit="1" customWidth="1"/>
    <col min="2" max="2" width="12.1640625" style="13" bestFit="1" customWidth="1"/>
    <col min="3" max="3" width="12.6640625" style="13" bestFit="1" customWidth="1"/>
    <col min="4" max="4" width="3.6640625" style="13" bestFit="1" customWidth="1"/>
    <col min="5" max="5" width="5.33203125" style="13" bestFit="1" customWidth="1"/>
    <col min="6" max="6" width="9.83203125" style="13" bestFit="1" customWidth="1"/>
    <col min="7" max="7" width="8.6640625" style="13" bestFit="1" customWidth="1"/>
    <col min="8" max="8" width="12.1640625" style="13" bestFit="1" customWidth="1"/>
    <col min="9" max="20" width="8.83203125" style="13"/>
    <col min="21" max="21" width="1.6640625" style="13" customWidth="1"/>
    <col min="22" max="16384" width="8.83203125" style="13"/>
  </cols>
  <sheetData>
    <row r="1" spans="1:22" x14ac:dyDescent="0.2">
      <c r="A1" s="53"/>
      <c r="B1" s="53"/>
      <c r="C1" s="53"/>
      <c r="D1" s="53"/>
      <c r="E1" s="53"/>
      <c r="F1" s="53"/>
      <c r="G1" s="53"/>
    </row>
    <row r="2" spans="1:22" x14ac:dyDescent="0.2">
      <c r="A2" s="53"/>
      <c r="B2" s="53"/>
      <c r="C2" s="53"/>
      <c r="D2" s="53"/>
      <c r="E2" s="53"/>
      <c r="F2" s="53"/>
      <c r="G2" s="53"/>
    </row>
    <row r="3" spans="1:22" x14ac:dyDescent="0.2">
      <c r="A3" s="53"/>
      <c r="B3" s="53"/>
      <c r="C3" s="53"/>
      <c r="D3" s="53"/>
      <c r="E3" s="53"/>
      <c r="F3" s="53"/>
      <c r="G3" s="53"/>
    </row>
    <row r="4" spans="1:22" x14ac:dyDescent="0.2">
      <c r="A4" s="53"/>
      <c r="B4" s="6" t="s">
        <v>41</v>
      </c>
      <c r="C4" s="6"/>
      <c r="D4" s="6"/>
      <c r="E4" s="6" t="s">
        <v>42</v>
      </c>
      <c r="F4" s="6"/>
      <c r="G4" s="6"/>
    </row>
    <row r="5" spans="1:22" ht="16" thickBot="1" x14ac:dyDescent="0.25">
      <c r="A5" s="7" t="s">
        <v>43</v>
      </c>
      <c r="B5" s="7" t="s">
        <v>44</v>
      </c>
      <c r="C5" s="7" t="s">
        <v>45</v>
      </c>
      <c r="D5" s="7" t="s">
        <v>46</v>
      </c>
      <c r="E5" s="7" t="s">
        <v>44</v>
      </c>
      <c r="F5" s="7" t="s">
        <v>45</v>
      </c>
      <c r="G5" s="7" t="s">
        <v>46</v>
      </c>
      <c r="H5" s="6" t="s">
        <v>94</v>
      </c>
      <c r="V5" s="54"/>
    </row>
    <row r="6" spans="1:22" x14ac:dyDescent="0.2">
      <c r="A6" s="6">
        <v>1</v>
      </c>
      <c r="B6" s="13">
        <v>2.9999999105930351</v>
      </c>
      <c r="C6" s="13">
        <v>2.9090909489915373</v>
      </c>
      <c r="D6" s="13">
        <v>3.9999999999999996</v>
      </c>
      <c r="E6" s="8">
        <v>13</v>
      </c>
      <c r="F6" s="8">
        <v>9</v>
      </c>
      <c r="G6" s="8">
        <v>10</v>
      </c>
      <c r="H6" s="13">
        <f>SUMPRODUCT(B6:D6,E6:G6)</f>
        <v>105.1818173786333</v>
      </c>
    </row>
    <row r="7" spans="1:22" ht="16" thickBot="1" x14ac:dyDescent="0.25">
      <c r="A7" s="7">
        <v>2</v>
      </c>
      <c r="B7" s="7">
        <v>0</v>
      </c>
      <c r="C7" s="7">
        <v>4.0909091013498573</v>
      </c>
      <c r="D7" s="7">
        <v>0</v>
      </c>
      <c r="E7" s="9">
        <v>11</v>
      </c>
      <c r="F7" s="9">
        <v>12</v>
      </c>
      <c r="G7" s="9">
        <v>8</v>
      </c>
      <c r="H7" s="13">
        <f>SUMPRODUCT(B7:D7,E7:G7)</f>
        <v>49.090909216198284</v>
      </c>
    </row>
    <row r="8" spans="1:22" x14ac:dyDescent="0.2">
      <c r="A8" s="6" t="s">
        <v>47</v>
      </c>
      <c r="B8" s="13">
        <f>B6+B7</f>
        <v>2.9999999105930351</v>
      </c>
      <c r="C8" s="13">
        <f t="shared" ref="C8:D8" si="0">C6+C7</f>
        <v>7.0000000503413951</v>
      </c>
      <c r="D8" s="13">
        <f t="shared" si="0"/>
        <v>3.9999999999999996</v>
      </c>
      <c r="E8" s="53"/>
      <c r="F8" s="53"/>
      <c r="G8" s="53"/>
    </row>
    <row r="9" spans="1:22" x14ac:dyDescent="0.2">
      <c r="A9" s="6" t="s">
        <v>48</v>
      </c>
      <c r="B9" s="19">
        <v>3</v>
      </c>
      <c r="C9" s="19">
        <v>7</v>
      </c>
      <c r="D9" s="19">
        <v>4</v>
      </c>
      <c r="E9" s="53"/>
      <c r="F9" s="53"/>
      <c r="G9" s="53"/>
    </row>
    <row r="10" spans="1:22" x14ac:dyDescent="0.2">
      <c r="A10" s="6"/>
      <c r="B10" s="20"/>
      <c r="C10" s="20"/>
      <c r="D10" s="20"/>
      <c r="E10" s="53"/>
      <c r="F10" s="53"/>
      <c r="G10" s="53"/>
    </row>
    <row r="11" spans="1:22" x14ac:dyDescent="0.2">
      <c r="A11" s="53"/>
      <c r="B11" s="6" t="s">
        <v>49</v>
      </c>
      <c r="C11" s="6"/>
      <c r="D11" s="6"/>
      <c r="E11" s="6" t="s">
        <v>50</v>
      </c>
      <c r="F11" s="6"/>
      <c r="G11" s="6"/>
    </row>
    <row r="12" spans="1:22" ht="16" thickBot="1" x14ac:dyDescent="0.25">
      <c r="A12" s="7" t="s">
        <v>43</v>
      </c>
      <c r="B12" s="7" t="s">
        <v>44</v>
      </c>
      <c r="C12" s="7" t="s">
        <v>45</v>
      </c>
      <c r="D12" s="7" t="s">
        <v>46</v>
      </c>
      <c r="E12" s="7" t="s">
        <v>44</v>
      </c>
      <c r="F12" s="7" t="s">
        <v>45</v>
      </c>
      <c r="G12" s="7" t="s">
        <v>46</v>
      </c>
      <c r="H12" s="6" t="s">
        <v>94</v>
      </c>
    </row>
    <row r="13" spans="1:22" x14ac:dyDescent="0.2">
      <c r="A13" s="6">
        <v>1</v>
      </c>
      <c r="B13" s="13">
        <v>1</v>
      </c>
      <c r="C13" s="13">
        <v>1</v>
      </c>
      <c r="D13" s="13">
        <v>1</v>
      </c>
      <c r="E13" s="8">
        <v>55</v>
      </c>
      <c r="F13" s="8">
        <v>93</v>
      </c>
      <c r="G13" s="8">
        <v>60</v>
      </c>
      <c r="H13" s="13">
        <f>SUMPRODUCT(B13:D13,E13:G13)</f>
        <v>208</v>
      </c>
    </row>
    <row r="14" spans="1:22" ht="16" thickBot="1" x14ac:dyDescent="0.25">
      <c r="A14" s="7">
        <v>2</v>
      </c>
      <c r="B14" s="7">
        <v>0</v>
      </c>
      <c r="C14" s="7">
        <v>1</v>
      </c>
      <c r="D14" s="7">
        <v>0</v>
      </c>
      <c r="E14" s="9">
        <v>65</v>
      </c>
      <c r="F14" s="9">
        <v>58</v>
      </c>
      <c r="G14" s="9">
        <v>75</v>
      </c>
      <c r="H14" s="13">
        <f>SUMPRODUCT(B14:D14,E14:G14)</f>
        <v>58</v>
      </c>
    </row>
    <row r="15" spans="1:22" x14ac:dyDescent="0.2">
      <c r="A15" s="6"/>
      <c r="B15" s="20"/>
      <c r="C15" s="20"/>
      <c r="D15" s="20"/>
      <c r="E15" s="53"/>
      <c r="F15" s="53"/>
      <c r="G15" s="53"/>
    </row>
    <row r="16" spans="1:22" x14ac:dyDescent="0.2">
      <c r="A16" s="53"/>
      <c r="B16" s="6" t="s">
        <v>51</v>
      </c>
      <c r="C16" s="6"/>
      <c r="D16" s="6"/>
      <c r="E16" s="53"/>
      <c r="F16" s="53"/>
      <c r="G16" s="53"/>
    </row>
    <row r="17" spans="1:7" ht="16" thickBot="1" x14ac:dyDescent="0.25">
      <c r="A17" s="7" t="s">
        <v>43</v>
      </c>
      <c r="B17" s="7" t="s">
        <v>44</v>
      </c>
      <c r="C17" s="7" t="s">
        <v>45</v>
      </c>
      <c r="D17" s="7" t="s">
        <v>46</v>
      </c>
      <c r="E17" s="7" t="s">
        <v>52</v>
      </c>
      <c r="F17" s="7" t="s">
        <v>53</v>
      </c>
      <c r="G17" s="53"/>
    </row>
    <row r="18" spans="1:7" x14ac:dyDescent="0.2">
      <c r="A18" s="6">
        <v>1</v>
      </c>
      <c r="B18" s="21">
        <v>0.4</v>
      </c>
      <c r="C18" s="21">
        <v>1.1000000000000001</v>
      </c>
      <c r="D18" s="21">
        <v>0.9</v>
      </c>
      <c r="E18" s="23">
        <f>SUMPRODUCT(B6:D6,B18:D18)</f>
        <v>8.0000000081279055</v>
      </c>
      <c r="F18" s="6">
        <v>8</v>
      </c>
      <c r="G18" s="53"/>
    </row>
    <row r="19" spans="1:7" ht="16" thickBot="1" x14ac:dyDescent="0.25">
      <c r="A19" s="7">
        <v>2</v>
      </c>
      <c r="B19" s="22">
        <v>0.5</v>
      </c>
      <c r="C19" s="22">
        <v>1.2</v>
      </c>
      <c r="D19" s="22">
        <v>1.3</v>
      </c>
      <c r="E19" s="24">
        <f>SUMPRODUCT(B7:D7,B19:D19)</f>
        <v>4.9090909216198284</v>
      </c>
      <c r="F19" s="7">
        <v>6</v>
      </c>
      <c r="G19" s="53"/>
    </row>
    <row r="20" spans="1:7" x14ac:dyDescent="0.2">
      <c r="A20" s="53"/>
      <c r="B20" s="53"/>
      <c r="C20" s="53"/>
      <c r="D20" s="53"/>
      <c r="E20" s="53"/>
      <c r="F20" s="53"/>
      <c r="G20" s="53"/>
    </row>
    <row r="21" spans="1:7" x14ac:dyDescent="0.2">
      <c r="A21" s="53"/>
      <c r="B21" s="6" t="s">
        <v>54</v>
      </c>
      <c r="C21" s="6"/>
      <c r="D21" s="6"/>
      <c r="E21" s="53"/>
      <c r="F21" s="53"/>
      <c r="G21" s="53"/>
    </row>
    <row r="22" spans="1:7" ht="16" thickBot="1" x14ac:dyDescent="0.25">
      <c r="A22" s="7" t="s">
        <v>43</v>
      </c>
      <c r="B22" s="7" t="s">
        <v>44</v>
      </c>
      <c r="C22" s="7" t="s">
        <v>45</v>
      </c>
      <c r="D22" s="7" t="s">
        <v>46</v>
      </c>
      <c r="E22" s="53"/>
      <c r="F22" s="53"/>
      <c r="G22" s="53"/>
    </row>
    <row r="23" spans="1:7" x14ac:dyDescent="0.2">
      <c r="A23" s="6">
        <v>1</v>
      </c>
      <c r="B23" s="13">
        <f>B6-$B$9*B13</f>
        <v>-8.9406964942639888E-8</v>
      </c>
      <c r="C23" s="13">
        <f>C6-$C$9*C13</f>
        <v>-4.0909090510084631</v>
      </c>
      <c r="D23" s="13">
        <f>D6-$D$9*D13</f>
        <v>0</v>
      </c>
      <c r="E23" s="53"/>
      <c r="F23" s="53"/>
      <c r="G23" s="53"/>
    </row>
    <row r="24" spans="1:7" ht="16" thickBot="1" x14ac:dyDescent="0.25">
      <c r="A24" s="7">
        <v>2</v>
      </c>
      <c r="B24" s="13">
        <f>B7-$B$9*B14</f>
        <v>0</v>
      </c>
      <c r="C24" s="13">
        <f>C7-$C$9*C14</f>
        <v>-2.9090908986501427</v>
      </c>
      <c r="D24" s="13">
        <f>D7-$D$9*D14</f>
        <v>0</v>
      </c>
      <c r="E24" s="53"/>
      <c r="F24" s="53"/>
      <c r="G24" s="53"/>
    </row>
    <row r="25" spans="1:7" x14ac:dyDescent="0.2">
      <c r="A25" s="53"/>
      <c r="B25" s="53"/>
      <c r="C25" s="53"/>
      <c r="D25" s="53"/>
      <c r="E25" s="53"/>
      <c r="F25" s="55" t="s">
        <v>94</v>
      </c>
      <c r="G25" s="55">
        <f>H6+H7+H13+H14</f>
        <v>420.27272659483157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8689D-D036-4BE5-B359-BA36A0C18F06}">
  <sheetPr codeName="Sheet9"/>
  <dimension ref="A5:V34"/>
  <sheetViews>
    <sheetView topLeftCell="A5" zoomScale="119" zoomScaleNormal="96" workbookViewId="0">
      <selection activeCell="D15" sqref="D15"/>
    </sheetView>
  </sheetViews>
  <sheetFormatPr baseColWidth="10" defaultColWidth="8.83203125" defaultRowHeight="15" x14ac:dyDescent="0.2"/>
  <cols>
    <col min="2" max="2" width="10.1640625" bestFit="1" customWidth="1"/>
    <col min="10" max="10" width="5.83203125" bestFit="1" customWidth="1"/>
    <col min="11" max="11" width="19.83203125" bestFit="1" customWidth="1"/>
    <col min="13" max="13" width="12.1640625" bestFit="1" customWidth="1"/>
    <col min="15" max="15" width="14.83203125" bestFit="1" customWidth="1"/>
    <col min="16" max="16" width="16.6640625" bestFit="1" customWidth="1"/>
  </cols>
  <sheetData>
    <row r="5" spans="1:22" x14ac:dyDescent="0.2">
      <c r="V5" s="34" t="s">
        <v>95</v>
      </c>
    </row>
    <row r="6" spans="1:22" x14ac:dyDescent="0.2">
      <c r="V6">
        <f>SUMPRODUCT(B6:U6,$B$4:$U$4)</f>
        <v>0</v>
      </c>
    </row>
    <row r="7" spans="1:22" x14ac:dyDescent="0.2">
      <c r="V7">
        <f t="shared" ref="V7:V26" si="0">SUMPRODUCT(B7:U7,$B$4:$U$4)</f>
        <v>0</v>
      </c>
    </row>
    <row r="8" spans="1:22" x14ac:dyDescent="0.2">
      <c r="V8">
        <f t="shared" si="0"/>
        <v>0</v>
      </c>
    </row>
    <row r="9" spans="1:22" x14ac:dyDescent="0.2">
      <c r="V9">
        <f t="shared" si="0"/>
        <v>0</v>
      </c>
    </row>
    <row r="10" spans="1:22" x14ac:dyDescent="0.2">
      <c r="V10">
        <f t="shared" si="0"/>
        <v>0</v>
      </c>
    </row>
    <row r="11" spans="1:22" x14ac:dyDescent="0.2">
      <c r="V11">
        <f t="shared" si="0"/>
        <v>0</v>
      </c>
    </row>
    <row r="12" spans="1:22" x14ac:dyDescent="0.2">
      <c r="B12" t="s">
        <v>96</v>
      </c>
      <c r="C12" t="s">
        <v>6</v>
      </c>
      <c r="D12" t="s">
        <v>97</v>
      </c>
      <c r="E12" t="s">
        <v>98</v>
      </c>
      <c r="V12">
        <f t="shared" si="0"/>
        <v>0</v>
      </c>
    </row>
    <row r="13" spans="1:22" x14ac:dyDescent="0.2">
      <c r="A13" t="s">
        <v>75</v>
      </c>
      <c r="B13" s="39">
        <v>0</v>
      </c>
      <c r="C13">
        <v>6</v>
      </c>
      <c r="D13">
        <v>6</v>
      </c>
      <c r="E13">
        <v>2</v>
      </c>
      <c r="V13">
        <f t="shared" si="0"/>
        <v>0</v>
      </c>
    </row>
    <row r="14" spans="1:22" x14ac:dyDescent="0.2">
      <c r="A14" t="s">
        <v>76</v>
      </c>
      <c r="B14" s="39">
        <v>3</v>
      </c>
      <c r="C14">
        <v>8</v>
      </c>
      <c r="D14">
        <v>3</v>
      </c>
      <c r="E14">
        <v>3</v>
      </c>
      <c r="V14">
        <f t="shared" si="0"/>
        <v>0</v>
      </c>
    </row>
    <row r="15" spans="1:22" x14ac:dyDescent="0.2">
      <c r="A15" t="s">
        <v>10</v>
      </c>
      <c r="B15" s="40">
        <f>SUMPRODUCT($B$13:$B$14,C13:C14)</f>
        <v>24</v>
      </c>
      <c r="D15" s="39">
        <f>SUMPRODUCT($B$13:$B$14,D13:D14)</f>
        <v>9</v>
      </c>
      <c r="E15" s="39">
        <f>SUMPRODUCT(B13:B14,E13:E14)</f>
        <v>9</v>
      </c>
      <c r="V15">
        <f t="shared" si="0"/>
        <v>0</v>
      </c>
    </row>
    <row r="16" spans="1:22" x14ac:dyDescent="0.2">
      <c r="D16">
        <v>18</v>
      </c>
      <c r="E16">
        <v>9</v>
      </c>
      <c r="V16">
        <f t="shared" si="0"/>
        <v>0</v>
      </c>
    </row>
    <row r="17" spans="1:22" x14ac:dyDescent="0.2">
      <c r="M17" s="35"/>
      <c r="N17" s="35"/>
      <c r="O17" s="35"/>
      <c r="P17" s="35"/>
    </row>
    <row r="18" spans="1:22" x14ac:dyDescent="0.2">
      <c r="M18" s="36"/>
      <c r="N18" s="36"/>
      <c r="O18" s="36"/>
      <c r="P18" s="36"/>
      <c r="V18">
        <f t="shared" si="0"/>
        <v>0</v>
      </c>
    </row>
    <row r="19" spans="1:22" x14ac:dyDescent="0.2">
      <c r="M19" s="36"/>
      <c r="N19" s="36"/>
      <c r="O19" s="36"/>
      <c r="P19" s="36"/>
      <c r="V19">
        <f t="shared" si="0"/>
        <v>0</v>
      </c>
    </row>
    <row r="20" spans="1:22" x14ac:dyDescent="0.2">
      <c r="E20" s="41" t="s">
        <v>99</v>
      </c>
      <c r="F20" s="41"/>
      <c r="M20" s="36"/>
      <c r="N20" s="36"/>
      <c r="O20" s="36"/>
      <c r="P20" s="36"/>
      <c r="V20">
        <f t="shared" si="0"/>
        <v>0</v>
      </c>
    </row>
    <row r="21" spans="1:22" x14ac:dyDescent="0.2">
      <c r="E21" s="42" t="s">
        <v>75</v>
      </c>
      <c r="F21" s="42">
        <v>2.5</v>
      </c>
      <c r="K21" s="41" t="s">
        <v>100</v>
      </c>
      <c r="L21" s="41"/>
      <c r="M21" s="36"/>
      <c r="N21" s="36"/>
      <c r="O21" s="36"/>
      <c r="P21" s="36"/>
      <c r="V21">
        <f t="shared" si="0"/>
        <v>0</v>
      </c>
    </row>
    <row r="22" spans="1:22" x14ac:dyDescent="0.2">
      <c r="A22" s="43" t="s">
        <v>101</v>
      </c>
      <c r="B22" s="43"/>
      <c r="E22" s="42" t="s">
        <v>76</v>
      </c>
      <c r="F22" s="42">
        <v>1</v>
      </c>
      <c r="K22" s="42" t="s">
        <v>75</v>
      </c>
      <c r="L22" s="42">
        <v>2</v>
      </c>
      <c r="V22">
        <f>SUMPRODUCT(B22:U22,$B$4:$U$4)</f>
        <v>0</v>
      </c>
    </row>
    <row r="23" spans="1:22" x14ac:dyDescent="0.2">
      <c r="A23" s="42" t="s">
        <v>75</v>
      </c>
      <c r="B23" s="42">
        <v>2.2500000000000009</v>
      </c>
      <c r="E23" s="42" t="s">
        <v>10</v>
      </c>
      <c r="F23" s="42">
        <v>23</v>
      </c>
      <c r="K23" s="42" t="s">
        <v>76</v>
      </c>
      <c r="L23" s="42">
        <v>1.6666666666666665</v>
      </c>
      <c r="V23">
        <f t="shared" si="0"/>
        <v>0</v>
      </c>
    </row>
    <row r="24" spans="1:22" x14ac:dyDescent="0.2">
      <c r="A24" s="42" t="s">
        <v>76</v>
      </c>
      <c r="B24" s="42">
        <v>1.4999999999999989</v>
      </c>
      <c r="H24" s="44" t="s">
        <v>102</v>
      </c>
      <c r="I24" s="45"/>
      <c r="K24" s="42" t="s">
        <v>10</v>
      </c>
      <c r="L24" s="42">
        <v>25.333333333333332</v>
      </c>
      <c r="V24">
        <f t="shared" si="0"/>
        <v>0</v>
      </c>
    </row>
    <row r="25" spans="1:22" x14ac:dyDescent="0.2">
      <c r="A25" s="42" t="s">
        <v>10</v>
      </c>
      <c r="B25" s="42">
        <v>25.499999999999996</v>
      </c>
      <c r="H25" s="42" t="s">
        <v>75</v>
      </c>
      <c r="I25" s="42">
        <v>1</v>
      </c>
      <c r="V25">
        <f t="shared" si="0"/>
        <v>0</v>
      </c>
    </row>
    <row r="26" spans="1:22" x14ac:dyDescent="0.2">
      <c r="E26" s="41" t="s">
        <v>103</v>
      </c>
      <c r="F26" s="41"/>
      <c r="H26" s="42" t="s">
        <v>76</v>
      </c>
      <c r="I26" s="42">
        <v>2.3333333333333335</v>
      </c>
      <c r="V26">
        <f t="shared" si="0"/>
        <v>0</v>
      </c>
    </row>
    <row r="27" spans="1:22" x14ac:dyDescent="0.2">
      <c r="E27" s="42" t="s">
        <v>75</v>
      </c>
      <c r="F27" s="42">
        <v>1.5000000000000002</v>
      </c>
      <c r="H27" s="42" t="s">
        <v>10</v>
      </c>
      <c r="I27" s="42">
        <v>24.666666666666668</v>
      </c>
      <c r="K27" s="46" t="s">
        <v>104</v>
      </c>
      <c r="L27" s="46"/>
    </row>
    <row r="28" spans="1:22" x14ac:dyDescent="0.2">
      <c r="E28" s="42" t="s">
        <v>76</v>
      </c>
      <c r="F28" s="42">
        <v>2</v>
      </c>
      <c r="K28" s="47" t="s">
        <v>75</v>
      </c>
      <c r="L28" s="47">
        <v>0</v>
      </c>
    </row>
    <row r="29" spans="1:22" x14ac:dyDescent="0.2">
      <c r="E29" s="42" t="s">
        <v>10</v>
      </c>
      <c r="F29" s="42">
        <v>25</v>
      </c>
      <c r="K29" s="47" t="s">
        <v>76</v>
      </c>
      <c r="L29" s="47">
        <v>3</v>
      </c>
      <c r="U29" t="s">
        <v>94</v>
      </c>
      <c r="V29">
        <f>SUMPRODUCT(B27:U27,B4:U4)</f>
        <v>0</v>
      </c>
    </row>
    <row r="30" spans="1:22" x14ac:dyDescent="0.2">
      <c r="H30" s="48" t="s">
        <v>105</v>
      </c>
      <c r="I30" s="49"/>
      <c r="K30" s="47" t="s">
        <v>10</v>
      </c>
      <c r="L30" s="47">
        <v>24</v>
      </c>
    </row>
    <row r="31" spans="1:22" x14ac:dyDescent="0.2">
      <c r="H31" s="50" t="s">
        <v>75</v>
      </c>
      <c r="I31" s="50">
        <v>2</v>
      </c>
    </row>
    <row r="32" spans="1:22" x14ac:dyDescent="0.2">
      <c r="H32" s="50" t="s">
        <v>76</v>
      </c>
      <c r="I32" s="50">
        <v>2</v>
      </c>
    </row>
    <row r="33" spans="1:12" x14ac:dyDescent="0.2">
      <c r="H33" s="50" t="s">
        <v>10</v>
      </c>
      <c r="I33" s="50">
        <v>28</v>
      </c>
    </row>
    <row r="34" spans="1:12" x14ac:dyDescent="0.2">
      <c r="A34" s="51"/>
      <c r="B34" s="51"/>
      <c r="C34" s="51"/>
      <c r="D34" s="51"/>
      <c r="E34" s="51"/>
      <c r="F34" s="51"/>
      <c r="G34" s="51"/>
      <c r="H34" s="51"/>
      <c r="I34" s="51"/>
      <c r="J34" s="51"/>
      <c r="K34" s="51"/>
      <c r="L34" s="51"/>
    </row>
  </sheetData>
  <mergeCells count="7">
    <mergeCell ref="E20:F20"/>
    <mergeCell ref="K21:L21"/>
    <mergeCell ref="A22:B22"/>
    <mergeCell ref="H24:I24"/>
    <mergeCell ref="E26:F26"/>
    <mergeCell ref="K27:L27"/>
    <mergeCell ref="H30:I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#0</vt:lpstr>
      <vt:lpstr>#0 b)</vt:lpstr>
      <vt:lpstr>#1</vt:lpstr>
      <vt:lpstr>#2</vt:lpstr>
      <vt:lpstr>3</vt:lpstr>
      <vt:lpstr>4</vt:lpstr>
      <vt:lpstr>Miles</vt:lpstr>
      <vt:lpstr>#5</vt:lpstr>
      <vt:lpstr>6</vt:lpstr>
    </vt:vector>
  </TitlesOfParts>
  <Company>Quinnipiac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Ceccucci, Wendy A. Prof.</dc:creator>
  <cp:lastModifiedBy>Khanna, Dhruva Navin</cp:lastModifiedBy>
  <dcterms:created xsi:type="dcterms:W3CDTF">2025-10-23T15:17:57Z</dcterms:created>
  <dcterms:modified xsi:type="dcterms:W3CDTF">2025-11-04T18:50:07Z</dcterms:modified>
</cp:coreProperties>
</file>