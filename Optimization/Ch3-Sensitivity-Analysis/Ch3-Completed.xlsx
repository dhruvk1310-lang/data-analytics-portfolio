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codeName="ThisWorkbook" defaultThemeVersion="202300"/>
  <mc:AlternateContent xmlns:mc="http://schemas.openxmlformats.org/markup-compatibility/2006">
    <mc:Choice Requires="x15">
      <x15ac:absPath xmlns:x15ac="http://schemas.microsoft.com/office/spreadsheetml/2010/11/ac" url="/Users/dhruv/Downloads/"/>
    </mc:Choice>
  </mc:AlternateContent>
  <xr:revisionPtr revIDLastSave="0" documentId="13_ncr:1_{D3F2DC1D-293C-7D4F-8617-340CA6E6325E}" xr6:coauthVersionLast="47" xr6:coauthVersionMax="47" xr10:uidLastSave="{00000000-0000-0000-0000-000000000000}"/>
  <bookViews>
    <workbookView xWindow="0" yWindow="740" windowWidth="29400" windowHeight="18380" activeTab="4" xr2:uid="{2FE087E4-6A4E-422E-AA7D-EEA1D420B28D}"/>
  </bookViews>
  <sheets>
    <sheet name="#0" sheetId="4" r:id="rId1"/>
    <sheet name="#1" sheetId="1" r:id="rId2"/>
    <sheet name="#2" sheetId="2" r:id="rId3"/>
    <sheet name="#3" sheetId="3" r:id="rId4"/>
    <sheet name="#4" sheetId="5" r:id="rId5"/>
  </sheets>
  <definedNames>
    <definedName name="solver_adj" localSheetId="0" hidden="1">'#0'!$B$23:$E$23</definedName>
    <definedName name="solver_adj" localSheetId="1" hidden="1">'#1'!$D$35:$D$40</definedName>
    <definedName name="solver_adj" localSheetId="2" hidden="1">'#2'!$B$14:$H$17</definedName>
    <definedName name="solver_adj" localSheetId="3" hidden="1">'#3'!$B$10:$G$12</definedName>
    <definedName name="solver_adj" localSheetId="4" hidden="1">'#4'!$B$5:$B$12</definedName>
    <definedName name="solver_cvg" localSheetId="0" hidden="1">0.0001</definedName>
    <definedName name="solver_cvg" localSheetId="1" hidden="1">0.0001</definedName>
    <definedName name="solver_cvg" localSheetId="2" hidden="1">0.0001</definedName>
    <definedName name="solver_cvg" localSheetId="3" hidden="1">0.0001</definedName>
    <definedName name="solver_cvg" localSheetId="4" hidden="1">0.0001</definedName>
    <definedName name="solver_drv" localSheetId="0" hidden="1">1</definedName>
    <definedName name="solver_drv" localSheetId="1" hidden="1">1</definedName>
    <definedName name="solver_drv" localSheetId="2" hidden="1">1</definedName>
    <definedName name="solver_drv" localSheetId="3" hidden="1">1</definedName>
    <definedName name="solver_drv" localSheetId="4" hidden="1">1</definedName>
    <definedName name="solver_eng" localSheetId="0" hidden="1">2</definedName>
    <definedName name="solver_eng" localSheetId="1" hidden="1">2</definedName>
    <definedName name="solver_eng" localSheetId="2" hidden="1">2</definedName>
    <definedName name="solver_eng" localSheetId="3" hidden="1">2</definedName>
    <definedName name="solver_eng" localSheetId="4" hidden="1">2</definedName>
    <definedName name="solver_itr" localSheetId="0" hidden="1">2147483647</definedName>
    <definedName name="solver_itr" localSheetId="1" hidden="1">2147483647</definedName>
    <definedName name="solver_itr" localSheetId="2" hidden="1">2147483647</definedName>
    <definedName name="solver_itr" localSheetId="3" hidden="1">2147483647</definedName>
    <definedName name="solver_itr" localSheetId="4" hidden="1">2147483647</definedName>
    <definedName name="solver_lhs1" localSheetId="0" hidden="1">'#0'!$F$18:$F$19</definedName>
    <definedName name="solver_lhs1" localSheetId="1" hidden="1">'#1'!$B$42</definedName>
    <definedName name="solver_lhs1" localSheetId="2" hidden="1">'#2'!$B$20:$H$20</definedName>
    <definedName name="solver_lhs1" localSheetId="3" hidden="1">'#3'!$B$10:$G$12</definedName>
    <definedName name="solver_lhs1" localSheetId="4" hidden="1">'#4'!$B$5:$B$12</definedName>
    <definedName name="solver_lhs10" localSheetId="2" hidden="1">'#2'!$F$24</definedName>
    <definedName name="solver_lhs11" localSheetId="2" hidden="1">'#2'!$G$24</definedName>
    <definedName name="solver_lhs12" localSheetId="2" hidden="1">'#2'!$G$24</definedName>
    <definedName name="solver_lhs13" localSheetId="2" hidden="1">'#2'!$H$24</definedName>
    <definedName name="solver_lhs14" localSheetId="2" hidden="1">'#2'!$H$24</definedName>
    <definedName name="solver_lhs15" localSheetId="2" hidden="1">'#2'!$H$25</definedName>
    <definedName name="solver_lhs16" localSheetId="2" hidden="1">'#2'!$I$20</definedName>
    <definedName name="solver_lhs17" localSheetId="2" hidden="1">'#2'!$I$21</definedName>
    <definedName name="solver_lhs18" localSheetId="2" hidden="1">'#2'!$I$22</definedName>
    <definedName name="solver_lhs19" localSheetId="2" hidden="1">'#2'!$I$23</definedName>
    <definedName name="solver_lhs2" localSheetId="0" hidden="1">'#0'!$F$9:$F$17</definedName>
    <definedName name="solver_lhs2" localSheetId="1" hidden="1">'#1'!$B$43</definedName>
    <definedName name="solver_lhs2" localSheetId="2" hidden="1">'#2'!$B$20:$H$20</definedName>
    <definedName name="solver_lhs2" localSheetId="3" hidden="1">'#3'!$B$12:$G$12</definedName>
    <definedName name="solver_lhs2" localSheetId="4" hidden="1">'#4'!$B$5:$B$12</definedName>
    <definedName name="solver_lhs3" localSheetId="1" hidden="1">'#1'!$B$44</definedName>
    <definedName name="solver_lhs3" localSheetId="2" hidden="1">'#2'!$K$14:$K$17</definedName>
    <definedName name="solver_lhs3" localSheetId="3" hidden="1">'#3'!$B$13:$G$13</definedName>
    <definedName name="solver_lhs3" localSheetId="4" hidden="1">'#4'!$E$13:$G$13</definedName>
    <definedName name="solver_lhs4" localSheetId="1" hidden="1">'#1'!$B$45:$B$47</definedName>
    <definedName name="solver_lhs4" localSheetId="2" hidden="1">'#2'!$L$16:$L$19</definedName>
    <definedName name="solver_lhs4" localSheetId="3" hidden="1">'#3'!$B$13:$G$13</definedName>
    <definedName name="solver_lhs5" localSheetId="1" hidden="1">'#1'!$B$48</definedName>
    <definedName name="solver_lhs5" localSheetId="2" hidden="1">'#2'!$D$24</definedName>
    <definedName name="solver_lhs5" localSheetId="3" hidden="1">'#3'!$B$13:$G$13</definedName>
    <definedName name="solver_lhs6" localSheetId="1" hidden="1">'#1'!$B$49</definedName>
    <definedName name="solver_lhs6" localSheetId="2" hidden="1">'#2'!$D$24</definedName>
    <definedName name="solver_lhs7" localSheetId="1" hidden="1">'#1'!$B$50</definedName>
    <definedName name="solver_lhs7" localSheetId="2" hidden="1">'#2'!$E$24</definedName>
    <definedName name="solver_lhs8" localSheetId="2" hidden="1">'#2'!$E$24</definedName>
    <definedName name="solver_lhs9" localSheetId="2" hidden="1">'#2'!$F$24</definedName>
    <definedName name="solver_lin" localSheetId="0" hidden="1">1</definedName>
    <definedName name="solver_lin" localSheetId="1" hidden="1">1</definedName>
    <definedName name="solver_lin" localSheetId="2" hidden="1">1</definedName>
    <definedName name="solver_lin" localSheetId="3" hidden="1">1</definedName>
    <definedName name="solver_lin" localSheetId="4" hidden="1">1</definedName>
    <definedName name="solver_mip" localSheetId="0" hidden="1">2147483647</definedName>
    <definedName name="solver_mip" localSheetId="1" hidden="1">2147483647</definedName>
    <definedName name="solver_mip" localSheetId="2" hidden="1">2147483647</definedName>
    <definedName name="solver_mip" localSheetId="3" hidden="1">2147483647</definedName>
    <definedName name="solver_mip" localSheetId="4" hidden="1">2147483647</definedName>
    <definedName name="solver_mni" localSheetId="0" hidden="1">30</definedName>
    <definedName name="solver_mni" localSheetId="1" hidden="1">30</definedName>
    <definedName name="solver_mni" localSheetId="2" hidden="1">30</definedName>
    <definedName name="solver_mni" localSheetId="3" hidden="1">30</definedName>
    <definedName name="solver_mni" localSheetId="4" hidden="1">30</definedName>
    <definedName name="solver_mrt" localSheetId="0" hidden="1">0.075</definedName>
    <definedName name="solver_mrt" localSheetId="1" hidden="1">0.075</definedName>
    <definedName name="solver_mrt" localSheetId="2" hidden="1">0.075</definedName>
    <definedName name="solver_mrt" localSheetId="3" hidden="1">0.075</definedName>
    <definedName name="solver_mrt" localSheetId="4" hidden="1">0.075</definedName>
    <definedName name="solver_msl" localSheetId="0" hidden="1">2</definedName>
    <definedName name="solver_msl" localSheetId="1" hidden="1">2</definedName>
    <definedName name="solver_msl" localSheetId="2" hidden="1">2</definedName>
    <definedName name="solver_msl" localSheetId="3" hidden="1">2</definedName>
    <definedName name="solver_msl" localSheetId="4" hidden="1">2</definedName>
    <definedName name="solver_neg" localSheetId="0" hidden="1">1</definedName>
    <definedName name="solver_neg" localSheetId="1" hidden="1">1</definedName>
    <definedName name="solver_neg" localSheetId="2" hidden="1">1</definedName>
    <definedName name="solver_neg" localSheetId="3" hidden="1">1</definedName>
    <definedName name="solver_neg" localSheetId="4" hidden="1">1</definedName>
    <definedName name="solver_nod" localSheetId="0" hidden="1">2147483647</definedName>
    <definedName name="solver_nod" localSheetId="1" hidden="1">2147483647</definedName>
    <definedName name="solver_nod" localSheetId="2" hidden="1">2147483647</definedName>
    <definedName name="solver_nod" localSheetId="3" hidden="1">2147483647</definedName>
    <definedName name="solver_nod" localSheetId="4" hidden="1">2147483647</definedName>
    <definedName name="solver_num" localSheetId="0" hidden="1">2</definedName>
    <definedName name="solver_num" localSheetId="1" hidden="1">7</definedName>
    <definedName name="solver_num" localSheetId="2" hidden="1">3</definedName>
    <definedName name="solver_num" localSheetId="3" hidden="1">4</definedName>
    <definedName name="solver_num" localSheetId="4" hidden="1">3</definedName>
    <definedName name="solver_opt" localSheetId="0" hidden="1">'#0'!$F$21</definedName>
    <definedName name="solver_opt" localSheetId="1" hidden="1">'#1'!$G$43</definedName>
    <definedName name="solver_opt" localSheetId="2" hidden="1">'#2'!$C$25</definedName>
    <definedName name="solver_opt" localSheetId="3" hidden="1">'#3'!$D$25</definedName>
    <definedName name="solver_opt" localSheetId="4" hidden="1">'#4'!$H$13</definedName>
    <definedName name="solver_pre" localSheetId="0" hidden="1">0.000001</definedName>
    <definedName name="solver_pre" localSheetId="1" hidden="1">0.000001</definedName>
    <definedName name="solver_pre" localSheetId="2" hidden="1">0.000001</definedName>
    <definedName name="solver_pre" localSheetId="3" hidden="1">0.000001</definedName>
    <definedName name="solver_pre" localSheetId="4" hidden="1">0.000001</definedName>
    <definedName name="solver_rbv" localSheetId="0" hidden="1">1</definedName>
    <definedName name="solver_rbv" localSheetId="1" hidden="1">1</definedName>
    <definedName name="solver_rbv" localSheetId="2" hidden="1">1</definedName>
    <definedName name="solver_rbv" localSheetId="3" hidden="1">1</definedName>
    <definedName name="solver_rbv" localSheetId="4" hidden="1">1</definedName>
    <definedName name="solver_rel1" localSheetId="0" hidden="1">3</definedName>
    <definedName name="solver_rel1" localSheetId="1" hidden="1">2</definedName>
    <definedName name="solver_rel1" localSheetId="2" hidden="1">1</definedName>
    <definedName name="solver_rel1" localSheetId="3" hidden="1">3</definedName>
    <definedName name="solver_rel1" localSheetId="4" hidden="1">1</definedName>
    <definedName name="solver_rel10" localSheetId="2" hidden="1">3</definedName>
    <definedName name="solver_rel11" localSheetId="2" hidden="1">2</definedName>
    <definedName name="solver_rel12" localSheetId="2" hidden="1">3</definedName>
    <definedName name="solver_rel13" localSheetId="2" hidden="1">2</definedName>
    <definedName name="solver_rel14" localSheetId="2" hidden="1">3</definedName>
    <definedName name="solver_rel15" localSheetId="2" hidden="1">3</definedName>
    <definedName name="solver_rel16" localSheetId="2" hidden="1">1</definedName>
    <definedName name="solver_rel17" localSheetId="2" hidden="1">1</definedName>
    <definedName name="solver_rel18" localSheetId="2" hidden="1">1</definedName>
    <definedName name="solver_rel19" localSheetId="2" hidden="1">1</definedName>
    <definedName name="solver_rel2" localSheetId="0" hidden="1">1</definedName>
    <definedName name="solver_rel2" localSheetId="1" hidden="1">2</definedName>
    <definedName name="solver_rel2" localSheetId="2" hidden="1">3</definedName>
    <definedName name="solver_rel2" localSheetId="3" hidden="1">1</definedName>
    <definedName name="solver_rel2" localSheetId="4" hidden="1">3</definedName>
    <definedName name="solver_rel3" localSheetId="1" hidden="1">2</definedName>
    <definedName name="solver_rel3" localSheetId="2" hidden="1">2</definedName>
    <definedName name="solver_rel3" localSheetId="3" hidden="1">1</definedName>
    <definedName name="solver_rel3" localSheetId="4" hidden="1">2</definedName>
    <definedName name="solver_rel4" localSheetId="1" hidden="1">1</definedName>
    <definedName name="solver_rel4" localSheetId="2" hidden="1">1</definedName>
    <definedName name="solver_rel4" localSheetId="3" hidden="1">3</definedName>
    <definedName name="solver_rel5" localSheetId="1" hidden="1">1</definedName>
    <definedName name="solver_rel5" localSheetId="2" hidden="1">2</definedName>
    <definedName name="solver_rel5" localSheetId="3" hidden="1">3</definedName>
    <definedName name="solver_rel6" localSheetId="1" hidden="1">1</definedName>
    <definedName name="solver_rel6" localSheetId="2" hidden="1">3</definedName>
    <definedName name="solver_rel7" localSheetId="1" hidden="1">1</definedName>
    <definedName name="solver_rel7" localSheetId="2" hidden="1">2</definedName>
    <definedName name="solver_rel8" localSheetId="2" hidden="1">3</definedName>
    <definedName name="solver_rel9" localSheetId="2" hidden="1">2</definedName>
    <definedName name="solver_rhs1" localSheetId="0" hidden="1">'#0'!$G$18:$G$19</definedName>
    <definedName name="solver_rhs1" localSheetId="1" hidden="1">'#1'!$D$42</definedName>
    <definedName name="solver_rhs1" localSheetId="2" hidden="1">'#2'!$B$19:$H$19</definedName>
    <definedName name="solver_rhs1" localSheetId="3" hidden="1">0</definedName>
    <definedName name="solver_rhs1" localSheetId="4" hidden="1">'#4'!$D$5:$D$12</definedName>
    <definedName name="solver_rhs10" localSheetId="2" hidden="1">'#2'!$F$25</definedName>
    <definedName name="solver_rhs11" localSheetId="2" hidden="1">'#2'!$G$26</definedName>
    <definedName name="solver_rhs12" localSheetId="2" hidden="1">'#2'!$G$25</definedName>
    <definedName name="solver_rhs13" localSheetId="2" hidden="1">'#2'!$H$26</definedName>
    <definedName name="solver_rhs14" localSheetId="2" hidden="1">'#2'!$H$25</definedName>
    <definedName name="solver_rhs15" localSheetId="2" hidden="1">'#2'!$H$25</definedName>
    <definedName name="solver_rhs16" localSheetId="2" hidden="1">'#2'!$J$20</definedName>
    <definedName name="solver_rhs17" localSheetId="2" hidden="1">'#2'!$J$21</definedName>
    <definedName name="solver_rhs18" localSheetId="2" hidden="1">'#2'!$J$22</definedName>
    <definedName name="solver_rhs19" localSheetId="2" hidden="1">'#2'!$J$23</definedName>
    <definedName name="solver_rhs2" localSheetId="0" hidden="1">'#0'!$G$9:$G$17</definedName>
    <definedName name="solver_rhs2" localSheetId="1" hidden="1">'#1'!$D$43</definedName>
    <definedName name="solver_rhs2" localSheetId="2" hidden="1">'#2'!$B$18:$H$18</definedName>
    <definedName name="solver_rhs2" localSheetId="3" hidden="1">'#3'!$B$11:$G$11</definedName>
    <definedName name="solver_rhs2" localSheetId="4" hidden="1">'#4'!$C$5:$C$12</definedName>
    <definedName name="solver_rhs3" localSheetId="1" hidden="1">'#1'!$D$44</definedName>
    <definedName name="solver_rhs3" localSheetId="2" hidden="1">'#2'!$L$14:$L$17</definedName>
    <definedName name="solver_rhs3" localSheetId="3" hidden="1">400</definedName>
    <definedName name="solver_rhs3" localSheetId="4" hidden="1">'#4'!$E$14:$G$14</definedName>
    <definedName name="solver_rhs4" localSheetId="1" hidden="1">'#1'!$D$45:$D$47</definedName>
    <definedName name="solver_rhs4" localSheetId="2" hidden="1">'#2'!$L$16:$L$19</definedName>
    <definedName name="solver_rhs4" localSheetId="3" hidden="1">0</definedName>
    <definedName name="solver_rhs5" localSheetId="1" hidden="1">'#1'!$D$48</definedName>
    <definedName name="solver_rhs5" localSheetId="2" hidden="1">'#2'!$D$26</definedName>
    <definedName name="solver_rhs5" localSheetId="3" hidden="1">0</definedName>
    <definedName name="solver_rhs6" localSheetId="1" hidden="1">'#1'!$D$49</definedName>
    <definedName name="solver_rhs6" localSheetId="2" hidden="1">'#2'!$D$25</definedName>
    <definedName name="solver_rhs7" localSheetId="1" hidden="1">'#1'!$D$50</definedName>
    <definedName name="solver_rhs7" localSheetId="2" hidden="1">'#2'!$E$26</definedName>
    <definedName name="solver_rhs8" localSheetId="2" hidden="1">'#2'!$E$25</definedName>
    <definedName name="solver_rhs9" localSheetId="2" hidden="1">'#2'!$F$26</definedName>
    <definedName name="solver_rlx" localSheetId="0" hidden="1">2</definedName>
    <definedName name="solver_rlx" localSheetId="1" hidden="1">2</definedName>
    <definedName name="solver_rlx" localSheetId="2" hidden="1">2</definedName>
    <definedName name="solver_rlx" localSheetId="3" hidden="1">1</definedName>
    <definedName name="solver_rlx" localSheetId="4" hidden="1">2</definedName>
    <definedName name="solver_rsd" localSheetId="0" hidden="1">0</definedName>
    <definedName name="solver_rsd" localSheetId="1" hidden="1">0</definedName>
    <definedName name="solver_rsd" localSheetId="2" hidden="1">0</definedName>
    <definedName name="solver_rsd" localSheetId="3" hidden="1">0</definedName>
    <definedName name="solver_rsd" localSheetId="4" hidden="1">0</definedName>
    <definedName name="solver_scl" localSheetId="0" hidden="1">1</definedName>
    <definedName name="solver_scl" localSheetId="1" hidden="1">1</definedName>
    <definedName name="solver_scl" localSheetId="2" hidden="1">1</definedName>
    <definedName name="solver_scl" localSheetId="3" hidden="1">2</definedName>
    <definedName name="solver_scl" localSheetId="4" hidden="1">1</definedName>
    <definedName name="solver_sho" localSheetId="0" hidden="1">2</definedName>
    <definedName name="solver_sho" localSheetId="1" hidden="1">2</definedName>
    <definedName name="solver_sho" localSheetId="2" hidden="1">2</definedName>
    <definedName name="solver_sho" localSheetId="3" hidden="1">2</definedName>
    <definedName name="solver_sho" localSheetId="4" hidden="1">2</definedName>
    <definedName name="solver_ssz" localSheetId="0" hidden="1">100</definedName>
    <definedName name="solver_ssz" localSheetId="1" hidden="1">100</definedName>
    <definedName name="solver_ssz" localSheetId="2" hidden="1">100</definedName>
    <definedName name="solver_ssz" localSheetId="3" hidden="1">100</definedName>
    <definedName name="solver_ssz" localSheetId="4" hidden="1">100</definedName>
    <definedName name="solver_tim" localSheetId="0" hidden="1">2147483647</definedName>
    <definedName name="solver_tim" localSheetId="1" hidden="1">2147483647</definedName>
    <definedName name="solver_tim" localSheetId="2" hidden="1">2147483647</definedName>
    <definedName name="solver_tim" localSheetId="3" hidden="1">2147483647</definedName>
    <definedName name="solver_tim" localSheetId="4" hidden="1">2147483647</definedName>
    <definedName name="solver_tol" localSheetId="0" hidden="1">0.01</definedName>
    <definedName name="solver_tol" localSheetId="1" hidden="1">0.01</definedName>
    <definedName name="solver_tol" localSheetId="2" hidden="1">0.01</definedName>
    <definedName name="solver_tol" localSheetId="3" hidden="1">0.01</definedName>
    <definedName name="solver_tol" localSheetId="4" hidden="1">0.01</definedName>
    <definedName name="solver_typ" localSheetId="0" hidden="1">1</definedName>
    <definedName name="solver_typ" localSheetId="1" hidden="1">2</definedName>
    <definedName name="solver_typ" localSheetId="2" hidden="1">2</definedName>
    <definedName name="solver_typ" localSheetId="3" hidden="1">1</definedName>
    <definedName name="solver_typ" localSheetId="4" hidden="1">1</definedName>
    <definedName name="solver_val" localSheetId="0" hidden="1">0</definedName>
    <definedName name="solver_val" localSheetId="1" hidden="1">0</definedName>
    <definedName name="solver_val" localSheetId="2" hidden="1">0</definedName>
    <definedName name="solver_val" localSheetId="3" hidden="1">0</definedName>
    <definedName name="solver_val" localSheetId="4" hidden="1">0</definedName>
    <definedName name="solver_ver" localSheetId="0" hidden="1">2</definedName>
    <definedName name="solver_ver" localSheetId="1" hidden="1">2</definedName>
    <definedName name="solver_ver" localSheetId="2" hidden="1">2</definedName>
    <definedName name="solver_ver" localSheetId="3" hidden="1">2</definedName>
    <definedName name="solver_ver" localSheetId="4"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5" l="1"/>
  <c r="F13" i="5"/>
  <c r="H13" i="5"/>
  <c r="E13" i="5"/>
  <c r="K20" i="2"/>
  <c r="H20" i="2"/>
  <c r="G20" i="2"/>
  <c r="F20" i="2"/>
  <c r="E20" i="2"/>
  <c r="D20" i="2"/>
  <c r="C20" i="2"/>
  <c r="B20" i="2"/>
  <c r="H19" i="2"/>
  <c r="G19" i="2"/>
  <c r="F19" i="2"/>
  <c r="E19" i="2"/>
  <c r="D19" i="2"/>
  <c r="C19" i="2"/>
  <c r="B19" i="2"/>
  <c r="H18" i="2"/>
  <c r="G18" i="2"/>
  <c r="F18" i="2"/>
  <c r="E18" i="2"/>
  <c r="D18" i="2"/>
  <c r="C18" i="2"/>
  <c r="B18" i="2"/>
  <c r="L17" i="2"/>
  <c r="K17" i="2"/>
  <c r="I17" i="2"/>
  <c r="L16" i="2"/>
  <c r="K16" i="2"/>
  <c r="J16" i="2" s="1"/>
  <c r="I16" i="2"/>
  <c r="L15" i="2"/>
  <c r="K15" i="2"/>
  <c r="I15" i="2"/>
  <c r="L14" i="2"/>
  <c r="K14" i="2"/>
  <c r="J14" i="2" s="1"/>
  <c r="I14" i="2"/>
  <c r="J17" i="2" l="1"/>
  <c r="J15" i="2"/>
  <c r="K21" i="2"/>
  <c r="C25" i="2" s="1"/>
  <c r="J18" i="2"/>
  <c r="B42" i="1" l="1"/>
  <c r="C9" i="3"/>
  <c r="B25" i="3"/>
  <c r="A25" i="3"/>
  <c r="C18" i="3"/>
  <c r="D18" i="3"/>
  <c r="E18" i="3"/>
  <c r="F18" i="3"/>
  <c r="G18" i="3"/>
  <c r="C19" i="3"/>
  <c r="D19" i="3"/>
  <c r="E19" i="3"/>
  <c r="F19" i="3"/>
  <c r="G19" i="3"/>
  <c r="B18" i="3"/>
  <c r="D9" i="3"/>
  <c r="D13" i="3" s="1"/>
  <c r="D20" i="3" s="1"/>
  <c r="E9" i="3"/>
  <c r="E13" i="3" s="1"/>
  <c r="F9" i="3"/>
  <c r="F13" i="3" s="1"/>
  <c r="G9" i="3"/>
  <c r="G13" i="3" s="1"/>
  <c r="B13" i="3"/>
  <c r="B19" i="3"/>
  <c r="G20" i="3" l="1"/>
  <c r="E20" i="3"/>
  <c r="F20" i="3"/>
  <c r="G22" i="3" s="1"/>
  <c r="E22" i="3"/>
  <c r="F22" i="3"/>
  <c r="C13" i="3"/>
  <c r="C20" i="3" s="1"/>
  <c r="D22" i="3" s="1"/>
  <c r="B20" i="3"/>
  <c r="G43" i="1"/>
  <c r="B50" i="1"/>
  <c r="B49" i="1"/>
  <c r="B48" i="1"/>
  <c r="B47" i="1"/>
  <c r="B45" i="1"/>
  <c r="B44" i="1"/>
  <c r="B43" i="1"/>
  <c r="B46" i="1"/>
  <c r="C22" i="3" l="1"/>
  <c r="C25" i="3"/>
  <c r="D25" i="3" s="1"/>
  <c r="F21" i="4"/>
  <c r="F19" i="4"/>
  <c r="F9" i="4"/>
  <c r="F10" i="4"/>
  <c r="F11" i="4"/>
  <c r="F12" i="4"/>
  <c r="F13" i="4"/>
  <c r="F14" i="4"/>
  <c r="F18" i="4"/>
  <c r="F15" i="4"/>
  <c r="F16" i="4"/>
  <c r="F17" i="4"/>
  <c r="B21" i="4"/>
  <c r="C21" i="4"/>
  <c r="D21" i="4"/>
  <c r="E21" i="4"/>
</calcChain>
</file>

<file path=xl/sharedStrings.xml><?xml version="1.0" encoding="utf-8"?>
<sst xmlns="http://schemas.openxmlformats.org/spreadsheetml/2006/main" count="195" uniqueCount="143">
  <si>
    <t>Cost to</t>
  </si>
  <si>
    <t xml:space="preserve">  Make</t>
  </si>
  <si>
    <t xml:space="preserve">  Buy</t>
  </si>
  <si>
    <t>White</t>
  </si>
  <si>
    <t>Hours Required</t>
  </si>
  <si>
    <t xml:space="preserve">  Cutting (sec)</t>
  </si>
  <si>
    <t>Sewing (sec)</t>
  </si>
  <si>
    <t>Printing (sec)</t>
  </si>
  <si>
    <t>Unit Shipping Costs to</t>
  </si>
  <si>
    <t>Unit</t>
  </si>
  <si>
    <t>Distribution Center in:</t>
  </si>
  <si>
    <t>Production</t>
  </si>
  <si>
    <t>Plants</t>
  </si>
  <si>
    <t>Tacoma</t>
  </si>
  <si>
    <t>San Diego</t>
  </si>
  <si>
    <t>Dallas</t>
  </si>
  <si>
    <t>Denver</t>
  </si>
  <si>
    <t>St. Louis</t>
  </si>
  <si>
    <t>Tampa</t>
  </si>
  <si>
    <t>Baltimore</t>
  </si>
  <si>
    <t>Cost</t>
  </si>
  <si>
    <t>Macon</t>
  </si>
  <si>
    <t>Louisville</t>
  </si>
  <si>
    <t>Detroit</t>
  </si>
  <si>
    <t>Phoenix</t>
  </si>
  <si>
    <t>Capacity</t>
  </si>
  <si>
    <t>Whole</t>
  </si>
  <si>
    <t>Cluster</t>
  </si>
  <si>
    <t>Crunch</t>
  </si>
  <si>
    <t>Roasted</t>
  </si>
  <si>
    <t>Unit Selling Price</t>
  </si>
  <si>
    <t>Unit Variable Cost</t>
  </si>
  <si>
    <t>Machine Use</t>
  </si>
  <si>
    <t>Minutes required per pound</t>
  </si>
  <si>
    <t>Investment</t>
  </si>
  <si>
    <t>A</t>
  </si>
  <si>
    <t>B</t>
  </si>
  <si>
    <t>&lt;------------&gt;</t>
  </si>
  <si>
    <t>C</t>
  </si>
  <si>
    <t>&lt;-------------</t>
  </si>
  <si>
    <t>-------------&gt;</t>
  </si>
  <si>
    <t>D</t>
  </si>
  <si>
    <t>E</t>
  </si>
  <si>
    <t>M o n t h</t>
  </si>
  <si>
    <t>Price per Ton</t>
  </si>
  <si>
    <t>Demand</t>
  </si>
  <si>
    <t>Profit</t>
  </si>
  <si>
    <t>Used</t>
  </si>
  <si>
    <t xml:space="preserve">Total Profit . </t>
  </si>
  <si>
    <t xml:space="preserve">Available Minutes </t>
  </si>
  <si>
    <t>Chocolate</t>
  </si>
  <si>
    <t>Macadamia</t>
  </si>
  <si>
    <t>Hulling</t>
  </si>
  <si>
    <t>Roasting</t>
  </si>
  <si>
    <t>Coating</t>
  </si>
  <si>
    <t>Packaging</t>
  </si>
  <si>
    <t>Lbs Optimal Solution</t>
  </si>
  <si>
    <t>Variable</t>
  </si>
  <si>
    <t>Represents</t>
  </si>
  <si>
    <t>X₁</t>
  </si>
  <si>
    <t>Blue shirts to Make</t>
  </si>
  <si>
    <t>X₂</t>
  </si>
  <si>
    <t>Gold shirts to Make</t>
  </si>
  <si>
    <t>X₃</t>
  </si>
  <si>
    <t>White shirts to Make</t>
  </si>
  <si>
    <t>X₄</t>
  </si>
  <si>
    <t>Blue shirts to Outsource</t>
  </si>
  <si>
    <t>X₅</t>
  </si>
  <si>
    <t>Gold shirts to Outsource</t>
  </si>
  <si>
    <t>X₆</t>
  </si>
  <si>
    <t>White shirts to Outsource</t>
  </si>
  <si>
    <t>C₁</t>
  </si>
  <si>
    <t>Cost to Make 1 blue shirt</t>
  </si>
  <si>
    <t>C₂</t>
  </si>
  <si>
    <t>Cost to Make 1 gold shirt</t>
  </si>
  <si>
    <t>C₃</t>
  </si>
  <si>
    <t>Cost to Make 1 white shirt</t>
  </si>
  <si>
    <t>C₄</t>
  </si>
  <si>
    <t>Cost to Outsource 1 blue shirt</t>
  </si>
  <si>
    <t>C₅</t>
  </si>
  <si>
    <t>Cost to Outsource 1 gold shirt</t>
  </si>
  <si>
    <t>C₆</t>
  </si>
  <si>
    <t>Cost to Outsource 1 white shirt</t>
  </si>
  <si>
    <t>CT</t>
  </si>
  <si>
    <t>ST</t>
  </si>
  <si>
    <t>PT</t>
  </si>
  <si>
    <t>Cut Time</t>
  </si>
  <si>
    <t xml:space="preserve">Sew Time </t>
  </si>
  <si>
    <t>Print Time</t>
  </si>
  <si>
    <t>Cost Coefficient</t>
  </si>
  <si>
    <t>Gold</t>
  </si>
  <si>
    <t>Blue</t>
  </si>
  <si>
    <t>Action</t>
  </si>
  <si>
    <t>Color</t>
  </si>
  <si>
    <t>Units (Changing)</t>
  </si>
  <si>
    <t>Cost/Shirt</t>
  </si>
  <si>
    <t>Cutting (sec)</t>
  </si>
  <si>
    <t>Make</t>
  </si>
  <si>
    <t>Buy</t>
  </si>
  <si>
    <t>Constraint</t>
  </si>
  <si>
    <t>Resources Used (LHS)</t>
  </si>
  <si>
    <t>Relation</t>
  </si>
  <si>
    <t>Limit (RHS)</t>
  </si>
  <si>
    <t>Demand: Blue</t>
  </si>
  <si>
    <t>=</t>
  </si>
  <si>
    <t>Demand: Gold</t>
  </si>
  <si>
    <t>Demand: White</t>
  </si>
  <si>
    <t>Outsource: Blue</t>
  </si>
  <si>
    <t>&lt;=</t>
  </si>
  <si>
    <t>Outsource: Gold</t>
  </si>
  <si>
    <t>Outsource: White</t>
  </si>
  <si>
    <t>Capacity: Cutting</t>
  </si>
  <si>
    <t>Capacity: Sewing</t>
  </si>
  <si>
    <t>Capacity: Printing</t>
  </si>
  <si>
    <t>Cost Total</t>
  </si>
  <si>
    <t>Month</t>
  </si>
  <si>
    <t>Beginning Inventory</t>
  </si>
  <si>
    <t>Financials</t>
  </si>
  <si>
    <t>Sales Revenue</t>
  </si>
  <si>
    <t>Purchase Cost</t>
  </si>
  <si>
    <t>Storage Cost</t>
  </si>
  <si>
    <t>Monthly Profit</t>
  </si>
  <si>
    <r>
      <t>Tons Bought (</t>
    </r>
    <r>
      <rPr>
        <sz val="10"/>
        <color theme="1"/>
        <rFont val="Arial"/>
        <family val="2"/>
      </rPr>
      <t>B_i</t>
    </r>
    <r>
      <rPr>
        <sz val="10"/>
        <color theme="1"/>
        <rFont val="Arial"/>
        <family val="2"/>
      </rPr>
      <t>)</t>
    </r>
  </si>
  <si>
    <r>
      <t>Tons Sold (</t>
    </r>
    <r>
      <rPr>
        <sz val="10"/>
        <color theme="1"/>
        <rFont val="Arial"/>
        <family val="2"/>
      </rPr>
      <t>S_i</t>
    </r>
    <r>
      <rPr>
        <sz val="10"/>
        <color theme="1"/>
        <rFont val="Arial"/>
        <family val="2"/>
      </rPr>
      <t>)</t>
    </r>
  </si>
  <si>
    <r>
      <t>Ending Inventory (</t>
    </r>
    <r>
      <rPr>
        <sz val="10"/>
        <color theme="1"/>
        <rFont val="Arial"/>
        <family val="2"/>
      </rPr>
      <t>I_i</t>
    </r>
    <r>
      <rPr>
        <sz val="10"/>
        <color theme="1"/>
        <rFont val="Arial"/>
        <family val="2"/>
      </rPr>
      <t>)</t>
    </r>
  </si>
  <si>
    <t>Total Revenue</t>
  </si>
  <si>
    <t>Total Purchase Cost</t>
  </si>
  <si>
    <t>Total Storage Cost</t>
  </si>
  <si>
    <t>TOTAL PROFIT (Objective Function)</t>
  </si>
  <si>
    <t>Avialable to sell</t>
  </si>
  <si>
    <t>Cost 2</t>
  </si>
  <si>
    <t>Produced</t>
  </si>
  <si>
    <t>Shipping Cost</t>
  </si>
  <si>
    <t>Production cost</t>
  </si>
  <si>
    <t>Total Cost</t>
  </si>
  <si>
    <t>M1</t>
  </si>
  <si>
    <t>M2</t>
  </si>
  <si>
    <t>M3</t>
  </si>
  <si>
    <t>Amt</t>
  </si>
  <si>
    <t>Min</t>
  </si>
  <si>
    <t>Max</t>
  </si>
  <si>
    <t>Total</t>
  </si>
  <si>
    <t>Reqd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</si>
</sst>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quot;$&quot;#,##0.00"/>
  </numFmts>
  <fonts count="27" x14ac:knownFonts="1">
    <font>
      <sz val="11"/>
      <color theme="1"/>
      <name val="Aptos Narrow"/>
      <family val="2"/>
      <scheme val="minor"/>
    </font>
    <font>
      <b/>
      <sz val="14"/>
      <color theme="1"/>
      <name val="Arial"/>
      <family val="2"/>
    </font>
    <font>
      <b/>
      <sz val="12"/>
      <color theme="1"/>
      <name val="Arial"/>
      <family val="2"/>
    </font>
    <font>
      <b/>
      <sz val="10"/>
      <name val="Arial"/>
      <family val="2"/>
    </font>
    <font>
      <b/>
      <sz val="12"/>
      <name val="Arial"/>
      <family val="2"/>
    </font>
    <font>
      <sz val="10"/>
      <name val="Arial"/>
      <family val="2"/>
    </font>
    <font>
      <sz val="11"/>
      <color theme="1"/>
      <name val="Aptos Narrow"/>
      <family val="2"/>
      <scheme val="minor"/>
    </font>
    <font>
      <b/>
      <sz val="12"/>
      <color theme="8"/>
      <name val="Arial"/>
      <family val="2"/>
    </font>
    <font>
      <sz val="11"/>
      <color theme="8"/>
      <name val="Aptos Narrow"/>
      <family val="2"/>
      <scheme val="minor"/>
    </font>
    <font>
      <b/>
      <sz val="11"/>
      <name val="Arial"/>
      <family val="2"/>
    </font>
    <font>
      <sz val="12"/>
      <name val="Arial"/>
      <family val="2"/>
    </font>
    <font>
      <b/>
      <sz val="12"/>
      <color theme="1"/>
      <name val="Aptos Narrow"/>
      <scheme val="minor"/>
    </font>
    <font>
      <sz val="11"/>
      <name val="Arial"/>
      <family val="2"/>
    </font>
    <font>
      <sz val="11"/>
      <color rgb="FFFF0000"/>
      <name val="Arial"/>
      <family val="2"/>
    </font>
    <font>
      <b/>
      <sz val="12"/>
      <color theme="9" tint="0.79998168889431442"/>
      <name val="Arial"/>
      <family val="2"/>
    </font>
    <font>
      <b/>
      <sz val="11"/>
      <color theme="9" tint="0.79998168889431442"/>
      <name val="Aptos Narrow"/>
      <scheme val="minor"/>
    </font>
    <font>
      <b/>
      <sz val="11"/>
      <color theme="5" tint="0.79998168889431442"/>
      <name val="Aptos Narrow"/>
      <scheme val="minor"/>
    </font>
    <font>
      <sz val="9.6"/>
      <color theme="1"/>
      <name val="Helvetica Neue"/>
      <family val="2"/>
    </font>
    <font>
      <sz val="9.6"/>
      <color theme="1"/>
      <name val="Helvetica Neue"/>
      <family val="2"/>
    </font>
    <font>
      <sz val="9.6"/>
      <color theme="1"/>
      <name val="Helvetica Neue"/>
      <family val="2"/>
    </font>
    <font>
      <sz val="12"/>
      <color theme="1"/>
      <name val="Arial"/>
      <family val="2"/>
    </font>
    <font>
      <sz val="9.6"/>
      <color theme="1"/>
      <name val="Courier New"/>
      <family val="1"/>
    </font>
    <font>
      <sz val="11"/>
      <color theme="9" tint="-0.499984740745262"/>
      <name val="Aptos Narrow"/>
      <family val="2"/>
      <scheme val="minor"/>
    </font>
    <font>
      <sz val="14"/>
      <color theme="9" tint="-0.499984740745262"/>
      <name val="Courier New"/>
      <family val="1"/>
    </font>
    <font>
      <sz val="10"/>
      <color theme="1"/>
      <name val="Arial"/>
      <family val="2"/>
    </font>
    <font>
      <sz val="10"/>
      <color theme="1"/>
      <name val="Arial"/>
      <family val="2"/>
    </font>
    <font>
      <sz val="10"/>
      <color theme="1"/>
      <name val="Arial"/>
      <family val="2"/>
    </font>
  </fonts>
  <fills count="11">
    <fill>
      <patternFill patternType="none"/>
    </fill>
    <fill>
      <patternFill patternType="gray125"/>
    </fill>
    <fill>
      <patternFill patternType="solid">
        <fgColor theme="3" tint="0.749992370372631"/>
        <bgColor indexed="64"/>
      </patternFill>
    </fill>
    <fill>
      <patternFill patternType="solid">
        <fgColor theme="9"/>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theme="8" tint="0.59999389629810485"/>
        <bgColor indexed="64"/>
      </patternFill>
    </fill>
  </fills>
  <borders count="7">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44" fontId="6" fillId="0" borderId="0" applyFont="0" applyFill="0" applyBorder="0" applyAlignment="0" applyProtection="0"/>
    <xf numFmtId="9" fontId="6" fillId="0" borderId="0" applyFont="0" applyFill="0" applyBorder="0" applyAlignment="0" applyProtection="0"/>
  </cellStyleXfs>
  <cellXfs count="79">
    <xf numFmtId="0" fontId="0" fillId="0" borderId="0" xfId="0"/>
    <xf numFmtId="0" fontId="0" fillId="0" borderId="0" xfId="0" applyAlignment="1">
      <alignment horizontal="center"/>
    </xf>
    <xf numFmtId="0" fontId="3" fillId="0" borderId="0" xfId="0" applyFont="1" applyAlignment="1">
      <alignment horizontal="centerContinuous"/>
    </xf>
    <xf numFmtId="0" fontId="3" fillId="0" borderId="1" xfId="0" applyFont="1" applyBorder="1" applyAlignment="1">
      <alignment horizontal="center"/>
    </xf>
    <xf numFmtId="0" fontId="3" fillId="0" borderId="0" xfId="0" applyFont="1"/>
    <xf numFmtId="0" fontId="4" fillId="0" borderId="0" xfId="0" applyFont="1"/>
    <xf numFmtId="0" fontId="4" fillId="0" borderId="0" xfId="0" applyFont="1" applyAlignment="1">
      <alignment horizontal="center"/>
    </xf>
    <xf numFmtId="164" fontId="4" fillId="0" borderId="0" xfId="0" applyNumberFormat="1" applyFont="1" applyAlignment="1">
      <alignment horizontal="center"/>
    </xf>
    <xf numFmtId="2" fontId="4" fillId="0" borderId="0" xfId="0" applyNumberFormat="1" applyFont="1" applyAlignment="1">
      <alignment horizontal="center"/>
    </xf>
    <xf numFmtId="0" fontId="3" fillId="0" borderId="1" xfId="1" applyFont="1" applyBorder="1" applyAlignment="1">
      <alignment horizontal="center"/>
    </xf>
    <xf numFmtId="0" fontId="3" fillId="0" borderId="0" xfId="1" applyFont="1" applyAlignment="1">
      <alignment horizontal="center"/>
    </xf>
    <xf numFmtId="0" fontId="0" fillId="0" borderId="1" xfId="0" applyBorder="1"/>
    <xf numFmtId="6" fontId="3" fillId="0" borderId="0" xfId="0" applyNumberFormat="1" applyFont="1" applyAlignment="1">
      <alignment horizontal="center"/>
    </xf>
    <xf numFmtId="0" fontId="8" fillId="0" borderId="0" xfId="0" applyFont="1"/>
    <xf numFmtId="2" fontId="0" fillId="0" borderId="0" xfId="3" applyNumberFormat="1" applyFont="1" applyAlignment="1">
      <alignment horizontal="center" vertical="center"/>
    </xf>
    <xf numFmtId="2" fontId="0" fillId="0" borderId="0" xfId="0" applyNumberFormat="1" applyAlignment="1">
      <alignment horizontal="center" vertical="center"/>
    </xf>
    <xf numFmtId="2" fontId="10" fillId="0" borderId="0" xfId="0" applyNumberFormat="1" applyFont="1" applyAlignment="1">
      <alignment horizontal="center"/>
    </xf>
    <xf numFmtId="1" fontId="10" fillId="0" borderId="0" xfId="0" applyNumberFormat="1" applyFont="1" applyAlignment="1">
      <alignment horizontal="center"/>
    </xf>
    <xf numFmtId="0" fontId="10" fillId="0" borderId="0" xfId="0" applyFont="1" applyAlignment="1">
      <alignment horizontal="center"/>
    </xf>
    <xf numFmtId="0" fontId="4" fillId="0" borderId="0" xfId="0" applyFont="1" applyAlignment="1">
      <alignment horizontal="left"/>
    </xf>
    <xf numFmtId="0" fontId="4" fillId="0" borderId="0" xfId="0" applyFont="1" applyAlignment="1">
      <alignment wrapText="1"/>
    </xf>
    <xf numFmtId="2" fontId="4" fillId="0" borderId="0" xfId="0" applyNumberFormat="1" applyFont="1" applyAlignment="1">
      <alignment horizontal="center" vertical="center"/>
    </xf>
    <xf numFmtId="0" fontId="0" fillId="0" borderId="0" xfId="0" applyAlignment="1">
      <alignment vertical="center"/>
    </xf>
    <xf numFmtId="1" fontId="11" fillId="2" borderId="3" xfId="0" applyNumberFormat="1" applyFont="1" applyFill="1" applyBorder="1" applyAlignment="1">
      <alignment horizontal="center" vertical="center"/>
    </xf>
    <xf numFmtId="1" fontId="11" fillId="2" borderId="4" xfId="0" applyNumberFormat="1" applyFont="1" applyFill="1" applyBorder="1" applyAlignment="1">
      <alignment horizontal="center" vertical="center"/>
    </xf>
    <xf numFmtId="1" fontId="11" fillId="2" borderId="5" xfId="0" applyNumberFormat="1" applyFont="1" applyFill="1" applyBorder="1" applyAlignment="1">
      <alignment horizontal="center" vertical="center"/>
    </xf>
    <xf numFmtId="0" fontId="9" fillId="0" borderId="0" xfId="0" applyFont="1"/>
    <xf numFmtId="0" fontId="14" fillId="3" borderId="0" xfId="0" applyFont="1" applyFill="1" applyAlignment="1">
      <alignment horizontal="center"/>
    </xf>
    <xf numFmtId="44" fontId="15" fillId="3" borderId="2" xfId="2" applyFont="1" applyFill="1" applyBorder="1"/>
    <xf numFmtId="0" fontId="16" fillId="4" borderId="0" xfId="0" applyFont="1" applyFill="1"/>
    <xf numFmtId="0" fontId="7" fillId="5" borderId="0" xfId="0" applyFont="1" applyFill="1"/>
    <xf numFmtId="164" fontId="7" fillId="5" borderId="0" xfId="0" applyNumberFormat="1" applyFont="1" applyFill="1" applyAlignment="1">
      <alignment horizontal="center" vertical="center"/>
    </xf>
    <xf numFmtId="0" fontId="1" fillId="0" borderId="0" xfId="0" applyFont="1"/>
    <xf numFmtId="0" fontId="2" fillId="0" borderId="0" xfId="0" applyFont="1" applyAlignment="1">
      <alignment horizontal="center"/>
    </xf>
    <xf numFmtId="164" fontId="0" fillId="0" borderId="0" xfId="0" applyNumberFormat="1" applyAlignment="1">
      <alignment horizontal="center"/>
    </xf>
    <xf numFmtId="0" fontId="12" fillId="0" borderId="0" xfId="0" applyFont="1"/>
    <xf numFmtId="44" fontId="13" fillId="0" borderId="0" xfId="2" applyFont="1" applyFill="1"/>
    <xf numFmtId="0" fontId="17" fillId="0" borderId="0" xfId="0" applyFont="1"/>
    <xf numFmtId="0" fontId="19" fillId="0" borderId="0" xfId="0" applyFont="1"/>
    <xf numFmtId="0" fontId="18" fillId="0" borderId="0" xfId="0" applyFont="1"/>
    <xf numFmtId="0" fontId="20" fillId="0" borderId="0" xfId="0" applyFont="1"/>
    <xf numFmtId="0" fontId="19" fillId="0" borderId="6" xfId="0" applyFont="1" applyBorder="1"/>
    <xf numFmtId="0" fontId="18" fillId="0" borderId="6" xfId="0" applyFont="1" applyBorder="1"/>
    <xf numFmtId="8" fontId="18" fillId="0" borderId="6" xfId="0" applyNumberFormat="1" applyFont="1" applyBorder="1"/>
    <xf numFmtId="0" fontId="21" fillId="0" borderId="6" xfId="0" applyFont="1" applyBorder="1"/>
    <xf numFmtId="3" fontId="18" fillId="0" borderId="6" xfId="0" applyNumberFormat="1" applyFont="1" applyBorder="1"/>
    <xf numFmtId="0" fontId="22" fillId="7" borderId="3" xfId="0" applyFont="1" applyFill="1" applyBorder="1"/>
    <xf numFmtId="44" fontId="23" fillId="7" borderId="5" xfId="2" applyFont="1" applyFill="1" applyBorder="1"/>
    <xf numFmtId="44" fontId="0" fillId="0" borderId="0" xfId="2" applyFont="1"/>
    <xf numFmtId="6" fontId="18" fillId="0" borderId="0" xfId="0" applyNumberFormat="1" applyFont="1"/>
    <xf numFmtId="44" fontId="21" fillId="0" borderId="0" xfId="2" applyFont="1"/>
    <xf numFmtId="0" fontId="24" fillId="0" borderId="0" xfId="0" applyFont="1"/>
    <xf numFmtId="0" fontId="25" fillId="0" borderId="0" xfId="0" applyFont="1"/>
    <xf numFmtId="0" fontId="26" fillId="0" borderId="0" xfId="0" applyFont="1"/>
    <xf numFmtId="44" fontId="0" fillId="7" borderId="0" xfId="2" applyFont="1" applyFill="1" applyAlignment="1">
      <alignment horizontal="center"/>
    </xf>
    <xf numFmtId="0" fontId="20" fillId="7" borderId="0" xfId="0" applyFont="1" applyFill="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24" fillId="0" borderId="6" xfId="0" applyFont="1" applyBorder="1" applyAlignment="1">
      <alignment horizontal="center"/>
    </xf>
    <xf numFmtId="0" fontId="5" fillId="0" borderId="6" xfId="0" applyFont="1" applyBorder="1" applyAlignment="1">
      <alignment horizontal="center"/>
    </xf>
    <xf numFmtId="0" fontId="5" fillId="8" borderId="6" xfId="0" applyFont="1" applyFill="1" applyBorder="1" applyAlignment="1">
      <alignment horizontal="center"/>
    </xf>
    <xf numFmtId="164" fontId="5" fillId="0" borderId="6" xfId="0" applyNumberFormat="1" applyFont="1" applyBorder="1" applyAlignment="1">
      <alignment horizontal="center"/>
    </xf>
    <xf numFmtId="0" fontId="24" fillId="0" borderId="0" xfId="0" applyFont="1" applyAlignment="1">
      <alignment horizontal="center"/>
    </xf>
    <xf numFmtId="44" fontId="24" fillId="0" borderId="0" xfId="2" applyFont="1" applyFill="1" applyBorder="1" applyAlignment="1">
      <alignment horizontal="center"/>
    </xf>
    <xf numFmtId="0" fontId="24" fillId="7" borderId="0" xfId="0" applyFont="1" applyFill="1" applyAlignment="1">
      <alignment horizontal="center"/>
    </xf>
    <xf numFmtId="44" fontId="24" fillId="7" borderId="0" xfId="2" applyFont="1" applyFill="1" applyAlignment="1">
      <alignment horizontal="center"/>
    </xf>
    <xf numFmtId="9" fontId="5" fillId="9" borderId="6" xfId="0" applyNumberFormat="1" applyFont="1" applyFill="1" applyBorder="1" applyAlignment="1">
      <alignment horizontal="center"/>
    </xf>
    <xf numFmtId="0" fontId="5" fillId="9" borderId="6" xfId="0" applyFont="1" applyFill="1" applyBorder="1" applyAlignment="1">
      <alignment horizontal="center"/>
    </xf>
    <xf numFmtId="0" fontId="24" fillId="10" borderId="6" xfId="0" applyFont="1" applyFill="1" applyBorder="1" applyAlignment="1">
      <alignment horizontal="center"/>
    </xf>
    <xf numFmtId="0" fontId="5" fillId="10" borderId="6" xfId="0" applyFont="1" applyFill="1" applyBorder="1" applyAlignment="1">
      <alignment horizontal="center"/>
    </xf>
    <xf numFmtId="0" fontId="24" fillId="6" borderId="6" xfId="0" applyFont="1" applyFill="1" applyBorder="1" applyAlignment="1">
      <alignment horizontal="center"/>
    </xf>
    <xf numFmtId="44" fontId="24" fillId="6" borderId="6" xfId="2" applyFont="1" applyFill="1" applyBorder="1" applyAlignment="1">
      <alignment horizontal="center"/>
    </xf>
    <xf numFmtId="0" fontId="3" fillId="0" borderId="0" xfId="1" quotePrefix="1" applyFont="1" applyAlignment="1">
      <alignment horizontal="center"/>
    </xf>
    <xf numFmtId="44" fontId="0" fillId="0" borderId="0" xfId="2" applyFont="1" applyAlignment="1">
      <alignment horizontal="center"/>
    </xf>
    <xf numFmtId="0" fontId="0" fillId="0" borderId="0" xfId="2" applyNumberFormat="1" applyFont="1" applyAlignment="1">
      <alignment horizontal="center"/>
    </xf>
    <xf numFmtId="0" fontId="4" fillId="0" borderId="0" xfId="0" applyFont="1" applyAlignment="1">
      <alignment horizontal="center"/>
    </xf>
    <xf numFmtId="0" fontId="4" fillId="0" borderId="0" xfId="0" applyFont="1" applyAlignment="1">
      <alignment horizontal="center" vertical="center"/>
    </xf>
    <xf numFmtId="0" fontId="0" fillId="6" borderId="0" xfId="0" applyFill="1" applyAlignment="1">
      <alignment horizontal="center"/>
    </xf>
    <xf numFmtId="0" fontId="5" fillId="0" borderId="0" xfId="0" applyFont="1" applyAlignment="1">
      <alignment horizontal="center"/>
    </xf>
  </cellXfs>
  <cellStyles count="4">
    <cellStyle name="Currency" xfId="2" builtinId="4"/>
    <cellStyle name="Normal" xfId="0" builtinId="0"/>
    <cellStyle name="Normal 2" xfId="1" xr:uid="{0D520552-3EC7-485D-B07E-6C4092BB3D3C}"/>
    <cellStyle name="Percent" xfId="3" builtinId="5"/>
  </cellStyles>
  <dxfs count="0"/>
  <tableStyles count="0" defaultTableStyle="TableStyleMedium2" defaultPivotStyle="PivotStyleLight16"/>
  <colors>
    <mruColors>
      <color rgb="FFFFAD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8</xdr:col>
      <xdr:colOff>22225</xdr:colOff>
      <xdr:row>0</xdr:row>
      <xdr:rowOff>8948</xdr:rowOff>
    </xdr:from>
    <xdr:to>
      <xdr:col>18</xdr:col>
      <xdr:colOff>531091</xdr:colOff>
      <xdr:row>12</xdr:row>
      <xdr:rowOff>103909</xdr:rowOff>
    </xdr:to>
    <xdr:sp macro="" textlink="">
      <xdr:nvSpPr>
        <xdr:cNvPr id="2" name="TextBox 1">
          <a:extLst>
            <a:ext uri="{FF2B5EF4-FFF2-40B4-BE49-F238E27FC236}">
              <a16:creationId xmlns:a16="http://schemas.microsoft.com/office/drawing/2014/main" id="{DEE44263-F930-653B-5AB0-E9D9F6CBE69E}"/>
            </a:ext>
          </a:extLst>
        </xdr:cNvPr>
        <xdr:cNvSpPr txBox="1"/>
      </xdr:nvSpPr>
      <xdr:spPr>
        <a:xfrm>
          <a:off x="5864225" y="8948"/>
          <a:ext cx="7205230" cy="2969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Molokai Nut Company (MNC) makes four different products from macadamia nuts grown in the Hawaiian Islands: chocolate-coated whole nuts (Whole), chocolate-coated nut clusters (Cluster), chocolate-coated nut crunch bars (Crunch), and plain roasted nuts (Roasted). The company is barely able to keep up with the increasing demand for these products. </a:t>
          </a:r>
        </a:p>
        <a:p>
          <a:r>
            <a:rPr lang="en-US" sz="1100"/>
            <a:t>However, increasing raw material prices and foreign competition are forcing MNC to watch its margins to ensure it is operating in the most efficient manner possible.</a:t>
          </a:r>
        </a:p>
        <a:p>
          <a:endParaRPr lang="en-US" sz="1100"/>
        </a:p>
        <a:p>
          <a:r>
            <a:rPr lang="en-US" sz="1100"/>
            <a:t> To meet marketing demands for the coming week, MNC needs to produce at least 1,000 pounds of the Whole product, between 400 and 500 pounds of the Cluster product, no more than 150 pounds of the Crunch product, and no more than 200 pounds of the Roasted product. Each pound of the Whole, Cluster, Crunch, and Roasted product contains, respectively, 60%, 40%, 20%, and 100% macadamia nuts with the remaining weight made up of chocolate coating.</a:t>
          </a:r>
        </a:p>
        <a:p>
          <a:endParaRPr lang="en-US" sz="1100"/>
        </a:p>
        <a:p>
          <a:r>
            <a:rPr lang="en-US" sz="1100"/>
            <a:t> The company has 1100 pounds of nuts and 800 pounds of chocolate available for use in the next week. The various products are made using four different machines that hull the nuts, roast the nuts, coat the nuts in chocolate (if needed), and package the products. The following table summarizes the time required by each product on each machine. Each machine has 60 hours of time available in the coming week.</a:t>
          </a:r>
          <a:br>
            <a:rPr lang="en-US" sz="1100"/>
          </a:br>
          <a:r>
            <a:rPr lang="en-US" sz="1100"/>
            <a:t>The selling price and variable cost associated with each pound of product is summarized in the  table</a:t>
          </a:r>
          <a:br>
            <a:rPr lang="en-US" sz="1100"/>
          </a:br>
          <a:r>
            <a:rPr lang="en-US" sz="1100" baseline="0">
              <a:solidFill>
                <a:schemeClr val="dk1"/>
              </a:solidFill>
              <a:effectLst/>
              <a:latin typeface="+mn-lt"/>
              <a:ea typeface="+mn-ea"/>
              <a:cs typeface="+mn-cs"/>
            </a:rPr>
            <a:t>A) Formulate the LP model.</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B) Implement the model and solve it.  Clearly indicate (Highlight) the optimal solution and the cost.</a:t>
          </a:r>
          <a:endParaRPr lang="en-US" sz="1100"/>
        </a:p>
      </xdr:txBody>
    </xdr:sp>
    <xdr:clientData/>
  </xdr:twoCellAnchor>
  <xdr:twoCellAnchor>
    <xdr:from>
      <xdr:col>1</xdr:col>
      <xdr:colOff>57150</xdr:colOff>
      <xdr:row>0</xdr:row>
      <xdr:rowOff>66675</xdr:rowOff>
    </xdr:from>
    <xdr:to>
      <xdr:col>4</xdr:col>
      <xdr:colOff>714375</xdr:colOff>
      <xdr:row>2</xdr:row>
      <xdr:rowOff>76200</xdr:rowOff>
    </xdr:to>
    <xdr:sp macro="" textlink="">
      <xdr:nvSpPr>
        <xdr:cNvPr id="4" name="Text 12">
          <a:extLst>
            <a:ext uri="{FF2B5EF4-FFF2-40B4-BE49-F238E27FC236}">
              <a16:creationId xmlns:a16="http://schemas.microsoft.com/office/drawing/2014/main" id="{05389FF3-EEC8-4361-B967-76A3AD08900B}"/>
            </a:ext>
          </a:extLst>
        </xdr:cNvPr>
        <xdr:cNvSpPr>
          <a:spLocks noChangeArrowheads="1"/>
        </xdr:cNvSpPr>
      </xdr:nvSpPr>
      <xdr:spPr bwMode="auto">
        <a:xfrm>
          <a:off x="2419350" y="66675"/>
          <a:ext cx="2943225" cy="409575"/>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1">
          <a:solidFill>
            <a:srgbClr xmlns:mc="http://schemas.openxmlformats.org/markup-compatibility/2006" xmlns:a14="http://schemas.microsoft.com/office/drawing/2010/main" val="000000" mc:Ignorable="a14" a14:legacySpreadsheetColorIndex="64"/>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Molokai Nut Company</a:t>
          </a:r>
        </a:p>
      </xdr:txBody>
    </xdr:sp>
    <xdr:clientData/>
  </xdr:twoCellAnchor>
  <xdr:twoCellAnchor>
    <xdr:from>
      <xdr:col>8</xdr:col>
      <xdr:colOff>23091</xdr:colOff>
      <xdr:row>13</xdr:row>
      <xdr:rowOff>46183</xdr:rowOff>
    </xdr:from>
    <xdr:to>
      <xdr:col>17</xdr:col>
      <xdr:colOff>658091</xdr:colOff>
      <xdr:row>38</xdr:row>
      <xdr:rowOff>161636</xdr:rowOff>
    </xdr:to>
    <xdr:sp macro="" textlink="">
      <xdr:nvSpPr>
        <xdr:cNvPr id="3" name="TextBox 2">
          <a:extLst>
            <a:ext uri="{FF2B5EF4-FFF2-40B4-BE49-F238E27FC236}">
              <a16:creationId xmlns:a16="http://schemas.microsoft.com/office/drawing/2014/main" id="{DE2D95E2-21DB-E776-0ED4-730BA44174C7}"/>
            </a:ext>
          </a:extLst>
        </xdr:cNvPr>
        <xdr:cNvSpPr txBox="1"/>
      </xdr:nvSpPr>
      <xdr:spPr>
        <a:xfrm>
          <a:off x="7689273" y="2736274"/>
          <a:ext cx="6661727" cy="57958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 Define</a:t>
          </a:r>
          <a:r>
            <a:rPr lang="en-US" sz="1100" b="1" baseline="0"/>
            <a:t> variables</a:t>
          </a:r>
        </a:p>
        <a:p>
          <a:r>
            <a:rPr lang="en-US" sz="1100" baseline="0"/>
            <a:t>X1= lbs of whole</a:t>
          </a:r>
        </a:p>
        <a:p>
          <a:r>
            <a:rPr lang="en-US" sz="1100" baseline="0"/>
            <a:t>X2 = lbs of cluster</a:t>
          </a:r>
        </a:p>
        <a:p>
          <a:r>
            <a:rPr lang="en-US" sz="1100" baseline="0"/>
            <a:t>X3= lbs of crunch</a:t>
          </a:r>
        </a:p>
        <a:p>
          <a:r>
            <a:rPr lang="en-US" sz="1100" baseline="0"/>
            <a:t>X4= lbs of roasted</a:t>
          </a:r>
        </a:p>
        <a:p>
          <a:endParaRPr lang="en-US" sz="1100" baseline="0"/>
        </a:p>
        <a:p>
          <a:r>
            <a:rPr lang="en-US" sz="1100" baseline="0"/>
            <a:t>Hrs into Minutes - 3,600</a:t>
          </a:r>
        </a:p>
        <a:p>
          <a:endParaRPr lang="en-US" sz="1100" baseline="0"/>
        </a:p>
        <a:p>
          <a:r>
            <a:rPr lang="en-US" sz="1100" b="1" baseline="0"/>
            <a:t>2. Objective function </a:t>
          </a:r>
        </a:p>
        <a:p>
          <a:r>
            <a:rPr lang="en-US" sz="1100" baseline="0"/>
            <a:t>MAX 1.85 X1+ 1.40 X2 + 1.04X3 + 1.40 X4</a:t>
          </a:r>
        </a:p>
        <a:p>
          <a:endParaRPr lang="en-US" sz="1100" baseline="0"/>
        </a:p>
        <a:p>
          <a:r>
            <a:rPr lang="en-US" sz="1100" b="1" baseline="0"/>
            <a:t>3. Constraints</a:t>
          </a:r>
        </a:p>
        <a:p>
          <a:endParaRPr lang="en-US" sz="1100" b="1" baseline="0"/>
        </a:p>
        <a:p>
          <a:r>
            <a:rPr lang="en-US" sz="1100" b="1" baseline="0"/>
            <a:t>X1 &lt;= 1000</a:t>
          </a:r>
          <a:br>
            <a:rPr lang="en-US" sz="1100" b="1" baseline="0"/>
          </a:br>
          <a:r>
            <a:rPr lang="en-US" sz="1100" b="1" baseline="0"/>
            <a:t>X2 &gt;= 400 </a:t>
          </a:r>
        </a:p>
        <a:p>
          <a:r>
            <a:rPr lang="en-US" sz="1100" b="1" baseline="0"/>
            <a:t>X2 &lt;=500</a:t>
          </a:r>
        </a:p>
        <a:p>
          <a:r>
            <a:rPr lang="en-US" sz="1100" b="1" baseline="0"/>
            <a:t>X3&lt;= 150</a:t>
          </a:r>
        </a:p>
        <a:p>
          <a:r>
            <a:rPr lang="en-US" sz="1100" b="1" baseline="0"/>
            <a:t>X4 &lt;= 200</a:t>
          </a:r>
        </a:p>
        <a:p>
          <a:endParaRPr lang="en-US" sz="1100" b="1" baseline="0"/>
        </a:p>
        <a:p>
          <a:r>
            <a:rPr lang="en-US" sz="1100" b="1" baseline="0"/>
            <a:t>MATERIAL CONSTRAINTS </a:t>
          </a:r>
        </a:p>
        <a:p>
          <a:endParaRPr lang="en-US" sz="1100" b="1" baseline="0"/>
        </a:p>
        <a:p>
          <a:r>
            <a:rPr lang="en-US" sz="1100" b="1" baseline="0"/>
            <a:t>Macadamia: </a:t>
          </a:r>
          <a:r>
            <a:rPr lang="en-US" sz="1100" b="0" baseline="0"/>
            <a:t>0.6X1+0.4X2+0.2X3+1.0X4 &lt;= 1100</a:t>
          </a:r>
        </a:p>
        <a:p>
          <a:r>
            <a:rPr lang="en-US" sz="1100" b="1" baseline="0"/>
            <a:t>Chocolate:  </a:t>
          </a:r>
          <a:r>
            <a:rPr lang="en-US" sz="1100" b="0" baseline="0"/>
            <a:t>0.4x1+0.6x2+ 0.8x3+0.0 &lt;= 800</a:t>
          </a:r>
        </a:p>
        <a:p>
          <a:endParaRPr lang="en-US" sz="1100" b="1" baseline="0"/>
        </a:p>
        <a:p>
          <a:r>
            <a:rPr lang="en-US" sz="1100" b="1" baseline="0"/>
            <a:t>Machine</a:t>
          </a:r>
        </a:p>
        <a:p>
          <a:r>
            <a:rPr lang="en-US" sz="1100" b="1" baseline="0"/>
            <a:t>Hulling: </a:t>
          </a:r>
          <a:r>
            <a:rPr lang="en-US" sz="1100" b="0" baseline="0"/>
            <a:t>1x1 + 1x2 + 1x3 +1x4 &lt;= 3600</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t>Roasting: </a:t>
          </a:r>
          <a:r>
            <a:rPr lang="en-US" sz="1100" b="0" baseline="0"/>
            <a:t>2X1 + 1.50X2 +1X3+ 1.75X4 &lt;= 3600</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t>Coating:</a:t>
          </a:r>
          <a:r>
            <a:rPr lang="en-US" sz="1100" b="0" baseline="0"/>
            <a:t> 1x1 + 0.70x2 +0.20x3 &lt;= 3600</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t>Packaging: </a:t>
          </a:r>
          <a:r>
            <a:rPr lang="en-US" sz="1100" b="0" baseline="0"/>
            <a:t>2.50x1 + 1.60x2 + 1.25x3+ 1x4 &lt;= 3600</a:t>
          </a:r>
        </a:p>
        <a:p>
          <a:endParaRPr lang="en-US" sz="1100" b="1" baseline="0"/>
        </a:p>
        <a:p>
          <a:r>
            <a:rPr lang="en-US" sz="1100" b="1" baseline="0"/>
            <a:t>non negativity constraints</a:t>
          </a:r>
        </a:p>
        <a:p>
          <a:r>
            <a:rPr lang="en-US" sz="1100" b="1" baseline="0"/>
            <a:t>X1+X2+X3+X4 &gt;= 0</a:t>
          </a:r>
        </a:p>
        <a:p>
          <a:endParaRPr lang="en-US" sz="1100" b="1" baseline="0"/>
        </a:p>
        <a:p>
          <a:endParaRPr lang="en-US" sz="1100" b="1" baseline="0"/>
        </a:p>
        <a:p>
          <a:endParaRPr lang="en-US" sz="1100" b="1" baseline="0"/>
        </a:p>
        <a:p>
          <a:endParaRPr lang="en-US" sz="1100" b="1" baseline="0"/>
        </a:p>
        <a:p>
          <a:r>
            <a:rPr lang="en-US" sz="1100" b="1" baseline="0"/>
            <a:t> </a:t>
          </a:r>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50800</xdr:colOff>
      <xdr:row>9</xdr:row>
      <xdr:rowOff>1</xdr:rowOff>
    </xdr:from>
    <xdr:to>
      <xdr:col>17</xdr:col>
      <xdr:colOff>9566423</xdr:colOff>
      <xdr:row>16</xdr:row>
      <xdr:rowOff>169334</xdr:rowOff>
    </xdr:to>
    <xdr:sp macro="" textlink="">
      <xdr:nvSpPr>
        <xdr:cNvPr id="2" name="TextBox 1">
          <a:extLst>
            <a:ext uri="{FF2B5EF4-FFF2-40B4-BE49-F238E27FC236}">
              <a16:creationId xmlns:a16="http://schemas.microsoft.com/office/drawing/2014/main" id="{6B684AFF-6021-FC00-DCEF-A0B657393BB6}"/>
            </a:ext>
          </a:extLst>
        </xdr:cNvPr>
        <xdr:cNvSpPr txBox="1"/>
      </xdr:nvSpPr>
      <xdr:spPr>
        <a:xfrm>
          <a:off x="8974667" y="2302934"/>
          <a:ext cx="114062023" cy="15917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Your company makes custom t-shirts for fans college</a:t>
          </a:r>
          <a:r>
            <a:rPr lang="en-US" sz="1100" baseline="0"/>
            <a:t> fans.  The company is trying to fulfill an order from Qunippiac University. </a:t>
          </a:r>
        </a:p>
        <a:p>
          <a:r>
            <a:rPr lang="en-US" sz="1100" baseline="0"/>
            <a:t> The official colors of the university are blue and gold.  However, one home game each year is designated as "white out" games where all students are encouraged to where white.  </a:t>
          </a:r>
        </a:p>
        <a:p>
          <a:r>
            <a:rPr lang="en-US" sz="1100" baseline="0"/>
            <a:t>QU has placed an order for 50,000 blue shirst, 43,000 gold shirts and 30,000 white shirts.  Under the contract your company can outsource as many as 25,000 of each the shirt s from a competing company.  Your company can make shirts are given on the left.</a:t>
          </a:r>
        </a:p>
        <a:p>
          <a:r>
            <a:rPr lang="en-US" sz="1100" baseline="0"/>
            <a:t>The company handling the outsourcing has agreend to make up to 25,000 of each shirt color at a cost given on the left.</a:t>
          </a:r>
          <a:br>
            <a:rPr lang="en-US" sz="1100" baseline="0"/>
          </a:br>
          <a:r>
            <a:rPr lang="en-US" sz="1100" baseline="0"/>
            <a:t>The table on the left summarizes the amount of time in seconds it takes your production department to make each shirt color.  Your company has 200 hours of cutting capacity, 85 hours of sewing and 140hrs of printing.  </a:t>
          </a:r>
          <a:br>
            <a:rPr lang="en-US" sz="1100" baseline="0"/>
          </a:br>
          <a:r>
            <a:rPr lang="en-US" sz="1100" baseline="0"/>
            <a:t>You want to determine the optimal way of filling the order for QU.</a:t>
          </a:r>
          <a:br>
            <a:rPr lang="en-US" sz="1100" baseline="0"/>
          </a:br>
          <a:r>
            <a:rPr lang="en-US" sz="1100" baseline="0"/>
            <a:t>A) Formulate the LP model.</a:t>
          </a:r>
          <a:br>
            <a:rPr lang="en-US" sz="1100" baseline="0"/>
          </a:br>
          <a:r>
            <a:rPr lang="en-US" sz="1100" baseline="0"/>
            <a:t>B) Implement the model and solve it.  Clearly indicate (Highlight) the optimal solution and the cost.</a:t>
          </a:r>
          <a:br>
            <a:rPr lang="en-US" sz="1100" baseline="0"/>
          </a:br>
          <a:br>
            <a:rPr lang="en-US" sz="1100" baseline="0"/>
          </a:br>
          <a:endParaRPr lang="en-US" sz="1100" baseline="0"/>
        </a:p>
      </xdr:txBody>
    </xdr:sp>
    <xdr:clientData/>
  </xdr:twoCellAnchor>
  <xdr:twoCellAnchor>
    <xdr:from>
      <xdr:col>2</xdr:col>
      <xdr:colOff>272142</xdr:colOff>
      <xdr:row>0</xdr:row>
      <xdr:rowOff>0</xdr:rowOff>
    </xdr:from>
    <xdr:to>
      <xdr:col>6</xdr:col>
      <xdr:colOff>155509</xdr:colOff>
      <xdr:row>0</xdr:row>
      <xdr:rowOff>369337</xdr:rowOff>
    </xdr:to>
    <xdr:sp macro="" textlink="">
      <xdr:nvSpPr>
        <xdr:cNvPr id="3" name="Text 2">
          <a:extLst>
            <a:ext uri="{FF2B5EF4-FFF2-40B4-BE49-F238E27FC236}">
              <a16:creationId xmlns:a16="http://schemas.microsoft.com/office/drawing/2014/main" id="{C937CC93-A5C0-4A45-88FF-870E6E771665}"/>
            </a:ext>
          </a:extLst>
        </xdr:cNvPr>
        <xdr:cNvSpPr>
          <a:spLocks noChangeArrowheads="1"/>
        </xdr:cNvSpPr>
      </xdr:nvSpPr>
      <xdr:spPr bwMode="auto">
        <a:xfrm>
          <a:off x="1496785" y="0"/>
          <a:ext cx="2332653" cy="369337"/>
        </a:xfrm>
        <a:prstGeom prst="roundRect">
          <a:avLst>
            <a:gd name="adj" fmla="val 16667"/>
          </a:avLst>
        </a:prstGeom>
        <a:solidFill>
          <a:srgbClr val="00FFFF"/>
        </a:solidFill>
        <a:ln w="9525">
          <a:solidFill>
            <a:srgbClr val="000000"/>
          </a:solidFill>
          <a:round/>
          <a:headEnd/>
          <a:tailEnd/>
        </a:ln>
        <a:effectLst>
          <a:outerShdw blurRad="63500" dist="35921" dir="2700000" algn="ctr" rotWithShape="0">
            <a:srgbClr val="000000"/>
          </a:outerShdw>
        </a:effectLst>
        <a:extLst>
          <a:ext uri="{53640926-AAD7-44d8-BBD7-CCE9431645EC}">
            <a14:shadowObscured xmlns:a14="http://schemas.microsoft.com/office/drawing/2007/7/7/main" xmlns="" val="1"/>
          </a:ext>
        </a:extLst>
      </xdr:spPr>
      <xdr:txBody>
        <a:bodyPr vertOverflow="clip" wrap="square" lIns="27432" tIns="22860" rIns="27432" bIns="22860" anchor="ctr" upright="1"/>
        <a:lstStyle/>
        <a:p>
          <a:pPr algn="ctr" rtl="0">
            <a:defRPr sz="1000"/>
          </a:pPr>
          <a:r>
            <a:rPr lang="en-US" sz="1600" b="1" i="0" u="none" strike="noStrike" baseline="0">
              <a:solidFill>
                <a:srgbClr val="000000"/>
              </a:solidFill>
              <a:latin typeface="Arial"/>
              <a:cs typeface="Arial"/>
            </a:rPr>
            <a:t>Game Day Fashions</a:t>
          </a:r>
        </a:p>
      </xdr:txBody>
    </xdr:sp>
    <xdr:clientData/>
  </xdr:twoCellAnchor>
  <xdr:twoCellAnchor>
    <xdr:from>
      <xdr:col>2</xdr:col>
      <xdr:colOff>17971</xdr:colOff>
      <xdr:row>9</xdr:row>
      <xdr:rowOff>34040</xdr:rowOff>
    </xdr:from>
    <xdr:to>
      <xdr:col>7</xdr:col>
      <xdr:colOff>1</xdr:colOff>
      <xdr:row>24</xdr:row>
      <xdr:rowOff>141515</xdr:rowOff>
    </xdr:to>
    <xdr:sp macro="" textlink="">
      <xdr:nvSpPr>
        <xdr:cNvPr id="4" name="TextBox 3">
          <a:extLst>
            <a:ext uri="{FF2B5EF4-FFF2-40B4-BE49-F238E27FC236}">
              <a16:creationId xmlns:a16="http://schemas.microsoft.com/office/drawing/2014/main" id="{F6479115-3914-E301-04A2-A239815FADA9}"/>
            </a:ext>
          </a:extLst>
        </xdr:cNvPr>
        <xdr:cNvSpPr txBox="1"/>
      </xdr:nvSpPr>
      <xdr:spPr>
        <a:xfrm>
          <a:off x="3946504" y="2336973"/>
          <a:ext cx="4977364" cy="3155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u="sng">
              <a:solidFill>
                <a:schemeClr val="dk1"/>
              </a:solidFill>
              <a:effectLst/>
              <a:latin typeface="+mn-lt"/>
              <a:ea typeface="+mn-ea"/>
              <a:cs typeface="+mn-cs"/>
            </a:rPr>
            <a:t>Demand Constraints (Meet the Order)</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Total blue shirts must be 50,000.</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X₁ + X₄ = 50,000</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Total gold shirts must be 43,000.</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X₂ + X₅ = 43,000</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Total white shirts must be 30,000.</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X₃ + X₆ = 30,000</a:t>
          </a:r>
          <a:br>
            <a:rPr lang="en-US" sz="1100" b="0" i="0">
              <a:solidFill>
                <a:schemeClr val="dk1"/>
              </a:solidFill>
              <a:effectLst/>
              <a:latin typeface="+mn-lt"/>
              <a:ea typeface="+mn-ea"/>
              <a:cs typeface="+mn-cs"/>
            </a:rPr>
          </a:br>
          <a:r>
            <a:rPr lang="en-US" sz="1100" b="1" i="1" u="sng">
              <a:solidFill>
                <a:schemeClr val="dk1"/>
              </a:solidFill>
              <a:effectLst/>
              <a:latin typeface="+mn-lt"/>
              <a:ea typeface="+mn-ea"/>
              <a:cs typeface="+mn-cs"/>
            </a:rPr>
            <a:t>Outsourcing Constraints (Cannot exceed 25,000 per color)</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X₄ ≤ 25,000                                                               Limit on outsourced blue shirts.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X₅ ≤ 25,000                                                               Limit on outsourced gold shirts.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X₆ ≤ 25,000                                                               Limit on outsourced white shirts.</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u="sng">
              <a:solidFill>
                <a:schemeClr val="dk1"/>
              </a:solidFill>
              <a:effectLst/>
              <a:latin typeface="+mn-lt"/>
              <a:ea typeface="+mn-ea"/>
              <a:cs typeface="+mn-cs"/>
            </a:rPr>
            <a:t>Capacity</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(CT₁*X₁) + (CT₂*X₂) + (CT₃*X₃) ≤ 720,000. Total cutting time available (200 hrs).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(ST₁*X₁) + (ST₂*X₂) + (ST₃*X₃) ≤ 306,000.   Total sewing time available (85 hrs).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(PT₁*X₁) + (PT₂*X₂) + (PT₃*X₃) ≤ 504,000.   Total printing time available (140 hr).</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u="sng">
              <a:solidFill>
                <a:schemeClr val="dk1"/>
              </a:solidFill>
              <a:effectLst/>
              <a:latin typeface="+mn-lt"/>
              <a:ea typeface="+mn-ea"/>
              <a:cs typeface="+mn-cs"/>
            </a:rPr>
            <a:t>Non-Negativity</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dk1"/>
              </a:solidFill>
              <a:effectLst/>
              <a:latin typeface="+mn-lt"/>
              <a:ea typeface="+mn-ea"/>
              <a:cs typeface="+mn-cs"/>
            </a:rPr>
            <a:t>X₁, X₂, X₃, X₄, X₅, X₆ ≥ 0                                          Cannot produce a negative number of shirts.</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21526</xdr:colOff>
      <xdr:row>0</xdr:row>
      <xdr:rowOff>0</xdr:rowOff>
    </xdr:from>
    <xdr:to>
      <xdr:col>21</xdr:col>
      <xdr:colOff>542925</xdr:colOff>
      <xdr:row>13</xdr:row>
      <xdr:rowOff>0</xdr:rowOff>
    </xdr:to>
    <xdr:sp macro="" textlink="">
      <xdr:nvSpPr>
        <xdr:cNvPr id="4" name="TextBox 3">
          <a:extLst>
            <a:ext uri="{FF2B5EF4-FFF2-40B4-BE49-F238E27FC236}">
              <a16:creationId xmlns:a16="http://schemas.microsoft.com/office/drawing/2014/main" id="{B615DBD3-DAEA-4208-92D1-6F0FF169E982}"/>
            </a:ext>
          </a:extLst>
        </xdr:cNvPr>
        <xdr:cNvSpPr txBox="1"/>
      </xdr:nvSpPr>
      <xdr:spPr>
        <a:xfrm>
          <a:off x="10848814" y="0"/>
          <a:ext cx="6623857" cy="2518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Sentry Lock corp.</a:t>
          </a:r>
          <a:r>
            <a:rPr lang="en-US" sz="1100" baseline="0"/>
            <a:t> makes a security locks at plants in Macon, Louisville, Detroit, and Phoenix.  The per unit cost of production at each plant  is given in the table on the left.</a:t>
          </a:r>
          <a:br>
            <a:rPr lang="en-US" sz="1100" baseline="0"/>
          </a:br>
          <a:r>
            <a:rPr lang="en-US" sz="1100" baseline="0"/>
            <a:t>The annual production capacity is given in the last column of the table,</a:t>
          </a:r>
        </a:p>
        <a:p>
          <a:r>
            <a:rPr lang="en-US" sz="1100" baseline="0"/>
            <a:t>Sentry Locks are sold to retailers through wholesale distributors location in seven ciites across the U.S.  </a:t>
          </a:r>
          <a:br>
            <a:rPr lang="en-US" sz="1100" baseline="0"/>
          </a:br>
          <a:r>
            <a:rPr lang="en-US" sz="1100" baseline="0"/>
            <a:t>The unit cost to of shipping from each plant to each distributor is summarized in the table along with the forecasted demand from each distributor for the upcoming year.</a:t>
          </a:r>
        </a:p>
        <a:p>
          <a:br>
            <a:rPr lang="en-US" sz="1100" baseline="0"/>
          </a:br>
          <a:r>
            <a:rPr lang="en-US" sz="1100" baseline="0"/>
            <a:t>Sentry wants to determine the least expenisve way of manufacturing and shipping locks from its plants to the distributors.  Because the total demand from distributors exceeds the total production capacity for all the plants, Sentry realizes it will not be able to satisfy all the demand for its locks, but wants to make sure each distributor will have the opportunity to fill at least 80% of the orders received. </a:t>
          </a:r>
        </a:p>
        <a:p>
          <a:br>
            <a:rPr lang="en-US" sz="1100" baseline="0"/>
          </a:br>
          <a:r>
            <a:rPr lang="en-US" sz="1100" baseline="0">
              <a:solidFill>
                <a:schemeClr val="dk1"/>
              </a:solidFill>
              <a:effectLst/>
              <a:latin typeface="+mn-lt"/>
              <a:ea typeface="+mn-ea"/>
              <a:cs typeface="+mn-cs"/>
            </a:rPr>
            <a:t>A) Formulate the LP model.</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B) Implement the model and solve it.  Clearly indicate (Highlight) the optimal solution and the cost.</a:t>
          </a:r>
          <a:br>
            <a:rPr lang="en-US" sz="1100" baseline="0">
              <a:solidFill>
                <a:schemeClr val="dk1"/>
              </a:solidFill>
              <a:effectLst/>
              <a:latin typeface="+mn-lt"/>
              <a:ea typeface="+mn-ea"/>
              <a:cs typeface="+mn-cs"/>
            </a:rPr>
          </a:br>
          <a:endParaRPr lang="en-US" sz="1100" baseline="0"/>
        </a:p>
        <a:p>
          <a:br>
            <a:rPr lang="en-US" sz="1100" baseline="0"/>
          </a:br>
          <a:endParaRPr lang="en-US" sz="1100"/>
        </a:p>
      </xdr:txBody>
    </xdr:sp>
    <xdr:clientData/>
  </xdr:twoCellAnchor>
  <xdr:twoCellAnchor>
    <xdr:from>
      <xdr:col>2</xdr:col>
      <xdr:colOff>457200</xdr:colOff>
      <xdr:row>0</xdr:row>
      <xdr:rowOff>66675</xdr:rowOff>
    </xdr:from>
    <xdr:to>
      <xdr:col>5</xdr:col>
      <xdr:colOff>590550</xdr:colOff>
      <xdr:row>1</xdr:row>
      <xdr:rowOff>114300</xdr:rowOff>
    </xdr:to>
    <xdr:sp macro="" textlink="">
      <xdr:nvSpPr>
        <xdr:cNvPr id="3" name="Text 1">
          <a:extLst>
            <a:ext uri="{FF2B5EF4-FFF2-40B4-BE49-F238E27FC236}">
              <a16:creationId xmlns:a16="http://schemas.microsoft.com/office/drawing/2014/main" id="{F37EAE4C-64AC-6E43-B9E7-7B8395DF44AC}"/>
            </a:ext>
          </a:extLst>
        </xdr:cNvPr>
        <xdr:cNvSpPr>
          <a:spLocks noChangeArrowheads="1"/>
        </xdr:cNvSpPr>
      </xdr:nvSpPr>
      <xdr:spPr bwMode="auto">
        <a:xfrm>
          <a:off x="2349500" y="66675"/>
          <a:ext cx="3041650" cy="212725"/>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1">
          <a:solidFill>
            <a:srgbClr xmlns:mc="http://schemas.openxmlformats.org/markup-compatibility/2006" xmlns:a14="http://schemas.microsoft.com/office/drawing/2010/main" val="000000" mc:Ignorable="a14" a14:legacySpreadsheetColorIndex="8"/>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Sentry Lock Corp.</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50800</xdr:colOff>
      <xdr:row>0</xdr:row>
      <xdr:rowOff>177799</xdr:rowOff>
    </xdr:from>
    <xdr:to>
      <xdr:col>21</xdr:col>
      <xdr:colOff>15875</xdr:colOff>
      <xdr:row>13</xdr:row>
      <xdr:rowOff>114300</xdr:rowOff>
    </xdr:to>
    <xdr:sp macro="" textlink="">
      <xdr:nvSpPr>
        <xdr:cNvPr id="2" name="TextBox 1">
          <a:extLst>
            <a:ext uri="{FF2B5EF4-FFF2-40B4-BE49-F238E27FC236}">
              <a16:creationId xmlns:a16="http://schemas.microsoft.com/office/drawing/2014/main" id="{E3E98750-6ED8-779C-7E9A-7415D0BED947}"/>
            </a:ext>
          </a:extLst>
        </xdr:cNvPr>
        <xdr:cNvSpPr txBox="1"/>
      </xdr:nvSpPr>
      <xdr:spPr>
        <a:xfrm>
          <a:off x="10033000" y="177799"/>
          <a:ext cx="6696075" cy="2425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Carter Enterprises is involved in the soybean business in South Carolina, Alabama, and Georgia. The president of the company, Earl Carter, goes to a commodity sale once a month where he buys and sells soybeans in bulk. Carter uses a local warehouse for storing his soybean inventory. This warehouse charges $10 per average ton of soybeans stored per month (based on the average of the beginning and ending inventory each month). The warehouse guarantees Carter the capacity to store up to 400 tons of soybeans at the end of each month. Carter has estimated what he believes the price per ton of soybeans will be during each of the next six months. These prices are summarized in the following table.</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t>Assume Carter currently has 70 tons of soybeans stored in the warehouse. How many tons of soybeans should Carter buy and sell during each of the next six months to maximize his profit trading soybeans?</a:t>
          </a:r>
          <a:br>
            <a:rPr lang="en-US" sz="1100"/>
          </a:br>
          <a:br>
            <a:rPr lang="en-US" sz="1100"/>
          </a:br>
          <a:r>
            <a:rPr lang="en-US" sz="1100" baseline="0">
              <a:solidFill>
                <a:schemeClr val="dk1"/>
              </a:solidFill>
              <a:effectLst/>
              <a:latin typeface="+mn-lt"/>
              <a:ea typeface="+mn-ea"/>
              <a:cs typeface="+mn-cs"/>
            </a:rPr>
            <a:t>A) Formulate the LP model.</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B) Implement the model and solve it.  Clearly indicate (Highlight) the optimal solution and the cost.</a:t>
          </a:r>
          <a:br>
            <a:rPr lang="en-US" sz="1100" baseline="0">
              <a:solidFill>
                <a:schemeClr val="dk1"/>
              </a:solidFill>
              <a:effectLst/>
              <a:latin typeface="+mn-lt"/>
              <a:ea typeface="+mn-ea"/>
              <a:cs typeface="+mn-cs"/>
            </a:rPr>
          </a:br>
          <a:endParaRPr lang="en-US">
            <a:effectLst/>
          </a:endParaRPr>
        </a:p>
        <a:p>
          <a:endParaRPr lang="en-US" sz="1100"/>
        </a:p>
      </xdr:txBody>
    </xdr:sp>
    <xdr:clientData/>
  </xdr:twoCellAnchor>
  <xdr:twoCellAnchor>
    <xdr:from>
      <xdr:col>2</xdr:col>
      <xdr:colOff>247650</xdr:colOff>
      <xdr:row>0</xdr:row>
      <xdr:rowOff>57150</xdr:rowOff>
    </xdr:from>
    <xdr:to>
      <xdr:col>5</xdr:col>
      <xdr:colOff>466725</xdr:colOff>
      <xdr:row>1</xdr:row>
      <xdr:rowOff>104775</xdr:rowOff>
    </xdr:to>
    <xdr:sp macro="" textlink="">
      <xdr:nvSpPr>
        <xdr:cNvPr id="3" name="Text 2">
          <a:extLst>
            <a:ext uri="{FF2B5EF4-FFF2-40B4-BE49-F238E27FC236}">
              <a16:creationId xmlns:a16="http://schemas.microsoft.com/office/drawing/2014/main" id="{0DAD1F18-C829-418B-B368-24B5442DD69E}"/>
            </a:ext>
          </a:extLst>
        </xdr:cNvPr>
        <xdr:cNvSpPr>
          <a:spLocks noChangeArrowheads="1"/>
        </xdr:cNvSpPr>
      </xdr:nvSpPr>
      <xdr:spPr bwMode="auto">
        <a:xfrm>
          <a:off x="2143125" y="57150"/>
          <a:ext cx="2047875" cy="209550"/>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1">
          <a:solidFill>
            <a:srgbClr xmlns:mc="http://schemas.openxmlformats.org/markup-compatibility/2006" xmlns:a14="http://schemas.microsoft.com/office/drawing/2010/main" val="000000" mc:Ignorable="a14" a14:legacySpreadsheetColorIndex="8"/>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Carter Enterprises</a:t>
          </a:r>
        </a:p>
      </xdr:txBody>
    </xdr:sp>
    <xdr:clientData/>
  </xdr:twoCellAnchor>
  <xdr:twoCellAnchor>
    <xdr:from>
      <xdr:col>11</xdr:col>
      <xdr:colOff>38100</xdr:colOff>
      <xdr:row>14</xdr:row>
      <xdr:rowOff>12700</xdr:rowOff>
    </xdr:from>
    <xdr:to>
      <xdr:col>20</xdr:col>
      <xdr:colOff>660400</xdr:colOff>
      <xdr:row>34</xdr:row>
      <xdr:rowOff>88900</xdr:rowOff>
    </xdr:to>
    <xdr:sp macro="" textlink="">
      <xdr:nvSpPr>
        <xdr:cNvPr id="4" name="TextBox 3">
          <a:extLst>
            <a:ext uri="{FF2B5EF4-FFF2-40B4-BE49-F238E27FC236}">
              <a16:creationId xmlns:a16="http://schemas.microsoft.com/office/drawing/2014/main" id="{0FFE1A3B-E4C4-6256-A6DE-4CEEB15F2246}"/>
            </a:ext>
          </a:extLst>
        </xdr:cNvPr>
        <xdr:cNvSpPr txBox="1"/>
      </xdr:nvSpPr>
      <xdr:spPr>
        <a:xfrm>
          <a:off x="10020300" y="2692400"/>
          <a:ext cx="6680200" cy="388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 LP Model Formulation</a:t>
          </a:r>
        </a:p>
        <a:p>
          <a:r>
            <a:rPr lang="en-US" sz="1100" b="0" i="0">
              <a:solidFill>
                <a:schemeClr val="dk1"/>
              </a:solidFill>
              <a:effectLst/>
              <a:latin typeface="+mn-lt"/>
              <a:ea typeface="+mn-ea"/>
              <a:cs typeface="+mn-cs"/>
            </a:rPr>
            <a:t>1. Decision Variables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Let the variables for each month</a:t>
          </a:r>
          <a:r>
            <a:rPr lang="en-US" sz="1100" b="0" i="0" baseline="0">
              <a:solidFill>
                <a:schemeClr val="dk1"/>
              </a:solidFill>
              <a:effectLst/>
              <a:latin typeface="+mn-lt"/>
              <a:ea typeface="+mn-ea"/>
              <a:cs typeface="+mn-cs"/>
            </a:rPr>
            <a:t> be</a:t>
          </a:r>
          <a:r>
            <a:rPr lang="en-US" sz="1100" b="0" i="0">
              <a:solidFill>
                <a:schemeClr val="dk1"/>
              </a:solidFill>
              <a:effectLst/>
              <a:latin typeface="+mn-lt"/>
              <a:ea typeface="+mn-ea"/>
              <a:cs typeface="+mn-cs"/>
            </a:rPr>
            <a:t> i (where i = 1, 2, 3, 4, 5, 6) be:</a:t>
          </a:r>
        </a:p>
        <a:p>
          <a:r>
            <a:rPr lang="en-US" sz="1100" b="0" i="0">
              <a:solidFill>
                <a:schemeClr val="dk1"/>
              </a:solidFill>
              <a:effectLst/>
              <a:latin typeface="+mn-lt"/>
              <a:ea typeface="+mn-ea"/>
              <a:cs typeface="+mn-cs"/>
            </a:rPr>
            <a:t>B_i = Tons of soybeans to BUY in month i</a:t>
          </a:r>
        </a:p>
        <a:p>
          <a:r>
            <a:rPr lang="en-US" sz="1100" b="0" i="0">
              <a:solidFill>
                <a:schemeClr val="dk1"/>
              </a:solidFill>
              <a:effectLst/>
              <a:latin typeface="+mn-lt"/>
              <a:ea typeface="+mn-ea"/>
              <a:cs typeface="+mn-cs"/>
            </a:rPr>
            <a:t>S_i = Tons of soybeans to SELL in month i</a:t>
          </a:r>
        </a:p>
        <a:p>
          <a:r>
            <a:rPr lang="en-US" sz="1100" b="0" i="0">
              <a:solidFill>
                <a:schemeClr val="dk1"/>
              </a:solidFill>
              <a:effectLst/>
              <a:latin typeface="+mn-lt"/>
              <a:ea typeface="+mn-ea"/>
              <a:cs typeface="+mn-cs"/>
            </a:rPr>
            <a:t>I_i = Tons of soybeans in INVENTORY at the end of month i</a:t>
          </a:r>
        </a:p>
        <a:p>
          <a:r>
            <a:rPr lang="en-US" sz="1100" b="0" i="0">
              <a:solidFill>
                <a:schemeClr val="dk1"/>
              </a:solidFill>
              <a:effectLst/>
              <a:latin typeface="+mn-lt"/>
              <a:ea typeface="+mn-ea"/>
              <a:cs typeface="+mn-cs"/>
            </a:rPr>
            <a:t>given :</a:t>
          </a:r>
        </a:p>
        <a:p>
          <a:r>
            <a:rPr lang="en-US" sz="1100" b="0" i="0">
              <a:solidFill>
                <a:schemeClr val="dk1"/>
              </a:solidFill>
              <a:effectLst/>
              <a:latin typeface="+mn-lt"/>
              <a:ea typeface="+mn-ea"/>
              <a:cs typeface="+mn-cs"/>
            </a:rPr>
            <a:t>I_0 = 70 tons (initial inventory) </a:t>
          </a:r>
        </a:p>
        <a:p>
          <a:pPr algn="l"/>
          <a:br>
            <a:rPr lang="en-US" sz="1100"/>
          </a:br>
          <a:r>
            <a:rPr lang="en-US" sz="1100" b="0" i="0">
              <a:solidFill>
                <a:schemeClr val="dk1"/>
              </a:solidFill>
              <a:effectLst/>
              <a:latin typeface="+mn-lt"/>
              <a:ea typeface="+mn-ea"/>
              <a:cs typeface="+mn-cs"/>
            </a:rPr>
            <a:t>2. Objective Function</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Maximize Z = (Revenue from Sales) - (Cost of Purchases) - (Cost of Storage)</a:t>
          </a:r>
        </a:p>
        <a:p>
          <a:pPr algn="l"/>
          <a:r>
            <a:rPr lang="en-US" sz="1100" b="0" i="0">
              <a:solidFill>
                <a:schemeClr val="dk1"/>
              </a:solidFill>
              <a:effectLst/>
              <a:latin typeface="+mn-lt"/>
              <a:ea typeface="+mn-ea"/>
              <a:cs typeface="+mn-cs"/>
            </a:rPr>
            <a:t>Revenue from Sales = 135*S₁ + 110*S₂ + 150*S₃ + 175*S₄ + 130*S₅ + 145*S₆</a:t>
          </a:r>
        </a:p>
        <a:p>
          <a:pPr algn="l"/>
          <a:r>
            <a:rPr lang="en-US" sz="1100" b="0" i="0">
              <a:solidFill>
                <a:schemeClr val="dk1"/>
              </a:solidFill>
              <a:effectLst/>
              <a:latin typeface="+mn-lt"/>
              <a:ea typeface="+mn-ea"/>
              <a:cs typeface="+mn-cs"/>
            </a:rPr>
            <a:t>Cost of Purchases = 135*B₁ + 110*B₂ + 150*B₃ + 175*B₄ + 130*B₅ + 145*B₆</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pPr algn="l"/>
          <a:r>
            <a:rPr lang="en-US" sz="1100" b="0" i="0">
              <a:solidFill>
                <a:schemeClr val="dk1"/>
              </a:solidFill>
              <a:effectLst/>
              <a:latin typeface="+mn-lt"/>
              <a:ea typeface="+mn-ea"/>
              <a:cs typeface="+mn-cs"/>
            </a:rPr>
            <a:t>Cost of Storage = Storage cost is $10 per average ton per month. The average inventory for month i is (I_(i-1) + I_i) / 2.</a:t>
          </a:r>
        </a:p>
        <a:p>
          <a:pPr lvl="0" algn="l"/>
          <a:r>
            <a:rPr lang="en-US" sz="1100" b="0" i="0">
              <a:solidFill>
                <a:schemeClr val="dk1"/>
              </a:solidFill>
              <a:effectLst/>
              <a:latin typeface="+mn-lt"/>
              <a:ea typeface="+mn-ea"/>
              <a:cs typeface="+mn-cs"/>
            </a:rPr>
            <a:t>Total Storage Cost = 10 * [(I₀+I₁)/2 + (I₁+I₂)/2 + (I₂+I₃)/2 + (I₃+I₄)/2 + (I₄+I₅)/2 + (I₅+I₆)/2]</a:t>
          </a:r>
        </a:p>
        <a:p>
          <a:pPr lvl="0" algn="l"/>
          <a:r>
            <a:rPr lang="en-US" sz="1100" b="0" i="0">
              <a:solidFill>
                <a:schemeClr val="dk1"/>
              </a:solidFill>
              <a:effectLst/>
              <a:latin typeface="+mn-lt"/>
              <a:ea typeface="+mn-ea"/>
              <a:cs typeface="+mn-cs"/>
            </a:rPr>
            <a:t>Substituting I₀ = 70, this simplifies to: 350 + 10*I₁ + 10*I₂ + 10*I₃ + 10*I₄ + 10*I₅ + 5*I₆</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pPr algn="l"/>
          <a:r>
            <a:rPr lang="en-US" sz="1100" b="0" i="0">
              <a:solidFill>
                <a:schemeClr val="dk1"/>
              </a:solidFill>
              <a:effectLst/>
              <a:latin typeface="+mn-lt"/>
              <a:ea typeface="+mn-ea"/>
              <a:cs typeface="+mn-cs"/>
            </a:rPr>
            <a:t>Combining these components, the final objective function is:</a:t>
          </a:r>
        </a:p>
        <a:p>
          <a:pPr algn="l"/>
          <a:r>
            <a:rPr lang="en-US" sz="1100" b="0" i="0">
              <a:solidFill>
                <a:schemeClr val="dk1"/>
              </a:solidFill>
              <a:effectLst/>
              <a:latin typeface="+mn-lt"/>
              <a:ea typeface="+mn-ea"/>
              <a:cs typeface="+mn-cs"/>
            </a:rPr>
            <a:t>Maximize Z = (135*S₁ - 135*B₁) + (110*S₂ - 110*B₂) + (150*S₃ - 150*B₃) + (175*S₄ - 175*B₄) + (130*S₅ - 130*B₅) + (145*S₆ - 145*B₆) - (350 + 10*I₁ + 10*I₂ + 10*I₃ + 10*I₄ + 10*I₅ + 5*I₆)</a:t>
          </a:r>
        </a:p>
        <a:p>
          <a:endParaRPr lang="en-US" sz="1100"/>
        </a:p>
      </xdr:txBody>
    </xdr:sp>
    <xdr:clientData/>
  </xdr:twoCellAnchor>
  <xdr:twoCellAnchor>
    <xdr:from>
      <xdr:col>21</xdr:col>
      <xdr:colOff>25400</xdr:colOff>
      <xdr:row>13</xdr:row>
      <xdr:rowOff>177800</xdr:rowOff>
    </xdr:from>
    <xdr:to>
      <xdr:col>30</xdr:col>
      <xdr:colOff>660400</xdr:colOff>
      <xdr:row>35</xdr:row>
      <xdr:rowOff>127000</xdr:rowOff>
    </xdr:to>
    <xdr:sp macro="" textlink="">
      <xdr:nvSpPr>
        <xdr:cNvPr id="5" name="TextBox 4">
          <a:extLst>
            <a:ext uri="{FF2B5EF4-FFF2-40B4-BE49-F238E27FC236}">
              <a16:creationId xmlns:a16="http://schemas.microsoft.com/office/drawing/2014/main" id="{D5512A7B-941C-CFBA-AEFB-F5C0C236D11B}"/>
            </a:ext>
          </a:extLst>
        </xdr:cNvPr>
        <xdr:cNvSpPr txBox="1"/>
      </xdr:nvSpPr>
      <xdr:spPr>
        <a:xfrm>
          <a:off x="16738600" y="2667000"/>
          <a:ext cx="6692900" cy="414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decisions are subject to the following limitations:</a:t>
          </a:r>
        </a:p>
        <a:p>
          <a:r>
            <a:rPr lang="en-US" sz="1100" b="0" i="0">
              <a:solidFill>
                <a:schemeClr val="dk1"/>
              </a:solidFill>
              <a:effectLst/>
              <a:latin typeface="+mn-lt"/>
              <a:ea typeface="+mn-ea"/>
              <a:cs typeface="+mn-cs"/>
            </a:rPr>
            <a:t>Inventory Balance Constraints: </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The inventory at the end of each month =</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the beginning inventory plus any soybeans bought - any soybeans sold.</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pPr lvl="0"/>
          <a:r>
            <a:rPr lang="en-US" sz="1100" b="0" i="0">
              <a:solidFill>
                <a:schemeClr val="dk1"/>
              </a:solidFill>
              <a:effectLst/>
              <a:latin typeface="+mn-lt"/>
              <a:ea typeface="+mn-ea"/>
              <a:cs typeface="+mn-cs"/>
            </a:rPr>
            <a:t>Month 1: I₁ = 70 + B₁ - S₁</a:t>
          </a:r>
        </a:p>
        <a:p>
          <a:pPr lvl="0"/>
          <a:r>
            <a:rPr lang="en-US" sz="1100" b="0" i="0">
              <a:solidFill>
                <a:schemeClr val="dk1"/>
              </a:solidFill>
              <a:effectLst/>
              <a:latin typeface="+mn-lt"/>
              <a:ea typeface="+mn-ea"/>
              <a:cs typeface="+mn-cs"/>
            </a:rPr>
            <a:t>Month 2: I₂ = I₁ + B₂ - S₂</a:t>
          </a:r>
        </a:p>
        <a:p>
          <a:pPr lvl="0"/>
          <a:r>
            <a:rPr lang="en-US" sz="1100" b="0" i="0">
              <a:solidFill>
                <a:schemeClr val="dk1"/>
              </a:solidFill>
              <a:effectLst/>
              <a:latin typeface="+mn-lt"/>
              <a:ea typeface="+mn-ea"/>
              <a:cs typeface="+mn-cs"/>
            </a:rPr>
            <a:t>Month 3: I₃ = I₂ + B₃ - S₃</a:t>
          </a:r>
        </a:p>
        <a:p>
          <a:pPr lvl="0"/>
          <a:r>
            <a:rPr lang="en-US" sz="1100" b="0" i="0">
              <a:solidFill>
                <a:schemeClr val="dk1"/>
              </a:solidFill>
              <a:effectLst/>
              <a:latin typeface="+mn-lt"/>
              <a:ea typeface="+mn-ea"/>
              <a:cs typeface="+mn-cs"/>
            </a:rPr>
            <a:t>Month 4: I₄ = I₃ + B₄ - S₄</a:t>
          </a:r>
        </a:p>
        <a:p>
          <a:pPr lvl="0"/>
          <a:r>
            <a:rPr lang="en-US" sz="1100" b="0" i="0">
              <a:solidFill>
                <a:schemeClr val="dk1"/>
              </a:solidFill>
              <a:effectLst/>
              <a:latin typeface="+mn-lt"/>
              <a:ea typeface="+mn-ea"/>
              <a:cs typeface="+mn-cs"/>
            </a:rPr>
            <a:t>Month 5: I₅ = I₄ + B₅ - S₅</a:t>
          </a:r>
        </a:p>
        <a:p>
          <a:pPr lvl="0"/>
          <a:r>
            <a:rPr lang="en-US" sz="1100" b="0" i="0">
              <a:solidFill>
                <a:schemeClr val="dk1"/>
              </a:solidFill>
              <a:effectLst/>
              <a:latin typeface="+mn-lt"/>
              <a:ea typeface="+mn-ea"/>
              <a:cs typeface="+mn-cs"/>
            </a:rPr>
            <a:t>Month 6: I₆ = I₅ + B₆ - S₆</a:t>
          </a:r>
        </a:p>
        <a:p>
          <a:br>
            <a:rPr lang="en-US" sz="1100"/>
          </a:br>
          <a:r>
            <a:rPr lang="en-US" sz="1100" b="0" i="0">
              <a:solidFill>
                <a:schemeClr val="dk1"/>
              </a:solidFill>
              <a:effectLst/>
              <a:latin typeface="+mn-lt"/>
              <a:ea typeface="+mn-ea"/>
              <a:cs typeface="+mn-cs"/>
            </a:rPr>
            <a:t>Warehouse Capacity Constraints: The inventory at the end of each month ≤</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400 tons.</a:t>
          </a:r>
        </a:p>
        <a:p>
          <a:pPr lvl="0"/>
          <a:r>
            <a:rPr lang="en-US" sz="1100" b="0" i="0">
              <a:solidFill>
                <a:schemeClr val="dk1"/>
              </a:solidFill>
              <a:effectLst/>
              <a:latin typeface="+mn-lt"/>
              <a:ea typeface="+mn-ea"/>
              <a:cs typeface="+mn-cs"/>
            </a:rPr>
            <a:t>I₁ ≤ 400</a:t>
          </a:r>
        </a:p>
        <a:p>
          <a:pPr lvl="0"/>
          <a:r>
            <a:rPr lang="en-US" sz="1100" b="0" i="0">
              <a:solidFill>
                <a:schemeClr val="dk1"/>
              </a:solidFill>
              <a:effectLst/>
              <a:latin typeface="+mn-lt"/>
              <a:ea typeface="+mn-ea"/>
              <a:cs typeface="+mn-cs"/>
            </a:rPr>
            <a:t>I₂ ≤ 400</a:t>
          </a:r>
        </a:p>
        <a:p>
          <a:pPr lvl="0"/>
          <a:r>
            <a:rPr lang="en-US" sz="1100" b="0" i="0">
              <a:solidFill>
                <a:schemeClr val="dk1"/>
              </a:solidFill>
              <a:effectLst/>
              <a:latin typeface="+mn-lt"/>
              <a:ea typeface="+mn-ea"/>
              <a:cs typeface="+mn-cs"/>
            </a:rPr>
            <a:t>I₃ ≤ 400</a:t>
          </a:r>
        </a:p>
        <a:p>
          <a:pPr lvl="0"/>
          <a:r>
            <a:rPr lang="en-US" sz="1100" b="0" i="0">
              <a:solidFill>
                <a:schemeClr val="dk1"/>
              </a:solidFill>
              <a:effectLst/>
              <a:latin typeface="+mn-lt"/>
              <a:ea typeface="+mn-ea"/>
              <a:cs typeface="+mn-cs"/>
            </a:rPr>
            <a:t>I₄ ≤ 400</a:t>
          </a:r>
        </a:p>
        <a:p>
          <a:pPr lvl="0"/>
          <a:r>
            <a:rPr lang="en-US" sz="1100" b="0" i="0">
              <a:solidFill>
                <a:schemeClr val="dk1"/>
              </a:solidFill>
              <a:effectLst/>
              <a:latin typeface="+mn-lt"/>
              <a:ea typeface="+mn-ea"/>
              <a:cs typeface="+mn-cs"/>
            </a:rPr>
            <a:t>I₅ ≤ 400</a:t>
          </a:r>
        </a:p>
        <a:p>
          <a:pPr lvl="0"/>
          <a:r>
            <a:rPr lang="en-US" sz="1100" b="0" i="0">
              <a:solidFill>
                <a:schemeClr val="dk1"/>
              </a:solidFill>
              <a:effectLst/>
              <a:latin typeface="+mn-lt"/>
              <a:ea typeface="+mn-ea"/>
              <a:cs typeface="+mn-cs"/>
            </a:rPr>
            <a:t>I₆ ≤ 400</a:t>
          </a:r>
        </a:p>
        <a:p>
          <a:br>
            <a:rPr lang="en-US" sz="1100"/>
          </a:br>
          <a:r>
            <a:rPr lang="en-US" sz="1100" b="0" i="0">
              <a:solidFill>
                <a:schemeClr val="dk1"/>
              </a:solidFill>
              <a:effectLst/>
              <a:latin typeface="+mn-lt"/>
              <a:ea typeface="+mn-ea"/>
              <a:cs typeface="+mn-cs"/>
            </a:rPr>
            <a:t>Non-negativity Constraints: </a:t>
          </a:r>
        </a:p>
        <a:p>
          <a:pPr lvl="0"/>
          <a:r>
            <a:rPr lang="en-US" sz="1100" b="0" i="0">
              <a:solidFill>
                <a:schemeClr val="dk1"/>
              </a:solidFill>
              <a:effectLst/>
              <a:latin typeface="+mn-lt"/>
              <a:ea typeface="+mn-ea"/>
              <a:cs typeface="+mn-cs"/>
            </a:rPr>
            <a:t>B_i ≥ 0 for i = 1, ..., 6</a:t>
          </a:r>
        </a:p>
        <a:p>
          <a:pPr lvl="0"/>
          <a:r>
            <a:rPr lang="en-US" sz="1100" b="0" i="0">
              <a:solidFill>
                <a:schemeClr val="dk1"/>
              </a:solidFill>
              <a:effectLst/>
              <a:latin typeface="+mn-lt"/>
              <a:ea typeface="+mn-ea"/>
              <a:cs typeface="+mn-cs"/>
            </a:rPr>
            <a:t>S_i ≥ 0 for i = 1, ..., 6</a:t>
          </a:r>
        </a:p>
        <a:p>
          <a:pPr lvl="0"/>
          <a:r>
            <a:rPr lang="en-US" sz="1100" b="0" i="0">
              <a:solidFill>
                <a:schemeClr val="dk1"/>
              </a:solidFill>
              <a:effectLst/>
              <a:latin typeface="+mn-lt"/>
              <a:ea typeface="+mn-ea"/>
              <a:cs typeface="+mn-cs"/>
            </a:rPr>
            <a:t>I_i ≥ 0 for i = 1, ..., 6</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542925</xdr:colOff>
      <xdr:row>0</xdr:row>
      <xdr:rowOff>161925</xdr:rowOff>
    </xdr:from>
    <xdr:to>
      <xdr:col>4</xdr:col>
      <xdr:colOff>257175</xdr:colOff>
      <xdr:row>1</xdr:row>
      <xdr:rowOff>180975</xdr:rowOff>
    </xdr:to>
    <xdr:sp macro="" textlink="">
      <xdr:nvSpPr>
        <xdr:cNvPr id="2" name="Text 2">
          <a:extLst>
            <a:ext uri="{FF2B5EF4-FFF2-40B4-BE49-F238E27FC236}">
              <a16:creationId xmlns:a16="http://schemas.microsoft.com/office/drawing/2014/main" id="{54240A21-40E7-4C6F-833C-E064B9386E82}"/>
            </a:ext>
          </a:extLst>
        </xdr:cNvPr>
        <xdr:cNvSpPr>
          <a:spLocks noChangeArrowheads="1"/>
        </xdr:cNvSpPr>
      </xdr:nvSpPr>
      <xdr:spPr bwMode="auto">
        <a:xfrm>
          <a:off x="542925" y="161925"/>
          <a:ext cx="2152650" cy="209550"/>
        </a:xfrm>
        <a:prstGeom prst="roundRect">
          <a:avLst>
            <a:gd name="adj" fmla="val 16667"/>
          </a:avLst>
        </a:prstGeom>
        <a:solidFill>
          <a:srgbClr xmlns:mc="http://schemas.openxmlformats.org/markup-compatibility/2006" xmlns:a14="http://schemas.microsoft.com/office/drawing/2010/main" val="00FFFF" mc:Ignorable="a14" a14:legacySpreadsheetColorIndex="15"/>
        </a:solidFill>
        <a:ln w="1">
          <a:solidFill>
            <a:srgbClr xmlns:mc="http://schemas.openxmlformats.org/markup-compatibility/2006" xmlns:a14="http://schemas.microsoft.com/office/drawing/2010/main" val="000000" mc:Ignorable="a14" a14:legacySpreadsheetColorIndex="8"/>
          </a:solidFill>
          <a:round/>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Jack Potts</a:t>
          </a:r>
        </a:p>
      </xdr:txBody>
    </xdr:sp>
    <xdr:clientData/>
  </xdr:twoCellAnchor>
  <xdr:twoCellAnchor>
    <xdr:from>
      <xdr:col>9</xdr:col>
      <xdr:colOff>31750</xdr:colOff>
      <xdr:row>15</xdr:row>
      <xdr:rowOff>85725</xdr:rowOff>
    </xdr:from>
    <xdr:to>
      <xdr:col>16</xdr:col>
      <xdr:colOff>314325</xdr:colOff>
      <xdr:row>28</xdr:row>
      <xdr:rowOff>171450</xdr:rowOff>
    </xdr:to>
    <xdr:sp macro="" textlink="">
      <xdr:nvSpPr>
        <xdr:cNvPr id="3" name="TextBox 2">
          <a:extLst>
            <a:ext uri="{FF2B5EF4-FFF2-40B4-BE49-F238E27FC236}">
              <a16:creationId xmlns:a16="http://schemas.microsoft.com/office/drawing/2014/main" id="{4F65318E-28B9-413E-A7B9-8E53CB38FED2}"/>
            </a:ext>
          </a:extLst>
        </xdr:cNvPr>
        <xdr:cNvSpPr txBox="1"/>
      </xdr:nvSpPr>
      <xdr:spPr>
        <a:xfrm>
          <a:off x="6089650" y="2955925"/>
          <a:ext cx="4994275" cy="2562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 your</a:t>
          </a:r>
          <a:r>
            <a:rPr lang="en-US" sz="1100" baseline="0"/>
            <a:t> model here </a:t>
          </a:r>
          <a:endParaRPr lang="en-US" sz="1100"/>
        </a:p>
      </xdr:txBody>
    </xdr:sp>
    <xdr:clientData/>
  </xdr:twoCellAnchor>
  <xdr:twoCellAnchor>
    <xdr:from>
      <xdr:col>9</xdr:col>
      <xdr:colOff>9524</xdr:colOff>
      <xdr:row>0</xdr:row>
      <xdr:rowOff>0</xdr:rowOff>
    </xdr:from>
    <xdr:to>
      <xdr:col>19</xdr:col>
      <xdr:colOff>285749</xdr:colOff>
      <xdr:row>15</xdr:row>
      <xdr:rowOff>85725</xdr:rowOff>
    </xdr:to>
    <xdr:sp macro="" textlink="">
      <xdr:nvSpPr>
        <xdr:cNvPr id="4" name="TextBox 3">
          <a:extLst>
            <a:ext uri="{FF2B5EF4-FFF2-40B4-BE49-F238E27FC236}">
              <a16:creationId xmlns:a16="http://schemas.microsoft.com/office/drawing/2014/main" id="{69C48CCF-3FA1-4B5C-A695-7D03E2CCF940}"/>
            </a:ext>
          </a:extLst>
        </xdr:cNvPr>
        <xdr:cNvSpPr txBox="1"/>
      </xdr:nvSpPr>
      <xdr:spPr>
        <a:xfrm>
          <a:off x="5495924" y="0"/>
          <a:ext cx="6372225" cy="2952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Jack</a:t>
          </a:r>
          <a:r>
            <a:rPr lang="en-US" sz="1100" baseline="0"/>
            <a:t> Potts has 1 milliion dollars to invest.  He has 5 investments to chose from.  The table shows the cash inflows and outflows.  For example, if Jack invests $1 in investment A at the beginning of year 1m he will receive $.50 at the beginning of year 2 adnd another $.80 at the beggining of year 3.  </a:t>
          </a:r>
          <a:br>
            <a:rPr lang="en-US" sz="1100" baseline="0"/>
          </a:br>
          <a:br>
            <a:rPr lang="en-US" sz="1100" baseline="0"/>
          </a:br>
          <a:r>
            <a:rPr lang="en-US" sz="1100" baseline="0"/>
            <a:t>  In addition to the five investments, Jack can invest in a money market account that is expected to yield 8% per year.  He wants to keep at least 50,000 in the money market account at all times and doesn't want to place any more than $500,000 in any single investment.  How would you advise Jack to invest his money if he wants to maximize the amount of moeny he has at the beginning of year 4.</a:t>
          </a:r>
        </a:p>
        <a:p>
          <a:endParaRPr lang="en-US" sz="1100" baseline="0"/>
        </a:p>
        <a:p>
          <a:pPr eaLnBrk="1" fontAlgn="auto" latinLnBrk="0" hangingPunct="1"/>
          <a:r>
            <a:rPr lang="en-US" sz="1100" baseline="0">
              <a:solidFill>
                <a:schemeClr val="dk1"/>
              </a:solidFill>
              <a:effectLst/>
              <a:latin typeface="+mn-lt"/>
              <a:ea typeface="+mn-ea"/>
              <a:cs typeface="+mn-cs"/>
            </a:rPr>
            <a:t>1.  Formulate a LP model</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2. Implement and solve it.  Be sure to highlight the optimal solution</a:t>
          </a:r>
          <a:endParaRPr lang="en-US">
            <a:effectLst/>
          </a:endParaRPr>
        </a:p>
        <a:p>
          <a:endParaRPr lang="en-US" sz="1100" baseline="0"/>
        </a:p>
        <a:p>
          <a:br>
            <a:rPr lang="en-US" sz="1100" baseline="0"/>
          </a:br>
          <a:r>
            <a:rPr lang="en-US" sz="1100" baseline="0"/>
            <a:t>HInt:  You will need three money market variables - one for each year</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A9B51-A104-47D1-8449-72340A7C25F1}">
  <dimension ref="A1:I25"/>
  <sheetViews>
    <sheetView zoomScale="110" zoomScaleNormal="110" workbookViewId="0">
      <selection activeCell="F27" sqref="F27"/>
    </sheetView>
  </sheetViews>
  <sheetFormatPr baseColWidth="10" defaultColWidth="8.83203125" defaultRowHeight="15" x14ac:dyDescent="0.2"/>
  <cols>
    <col min="1" max="1" width="17.83203125" customWidth="1"/>
    <col min="2" max="4" width="9" bestFit="1" customWidth="1"/>
    <col min="5" max="5" width="10" bestFit="1" customWidth="1"/>
    <col min="6" max="6" width="13.83203125" customWidth="1"/>
    <col min="7" max="8" width="16" customWidth="1"/>
  </cols>
  <sheetData>
    <row r="1" spans="1:9" ht="16" x14ac:dyDescent="0.2">
      <c r="A1" s="5"/>
    </row>
    <row r="2" spans="1:9" ht="16" x14ac:dyDescent="0.2">
      <c r="A2" s="5"/>
    </row>
    <row r="3" spans="1:9" ht="16" x14ac:dyDescent="0.2">
      <c r="A3" s="5"/>
    </row>
    <row r="4" spans="1:9" ht="16" x14ac:dyDescent="0.2">
      <c r="A4" s="5"/>
      <c r="B4" s="6" t="s">
        <v>26</v>
      </c>
      <c r="C4" s="6" t="s">
        <v>27</v>
      </c>
      <c r="D4" s="6" t="s">
        <v>28</v>
      </c>
      <c r="E4" s="6" t="s">
        <v>29</v>
      </c>
    </row>
    <row r="5" spans="1:9" ht="16" x14ac:dyDescent="0.2">
      <c r="A5" s="5" t="s">
        <v>30</v>
      </c>
      <c r="B5" s="7">
        <v>5</v>
      </c>
      <c r="C5" s="7">
        <v>4</v>
      </c>
      <c r="D5" s="7">
        <v>3.2</v>
      </c>
      <c r="E5" s="7">
        <v>4.5</v>
      </c>
    </row>
    <row r="6" spans="1:9" ht="16" x14ac:dyDescent="0.2">
      <c r="A6" s="5" t="s">
        <v>31</v>
      </c>
      <c r="B6" s="7">
        <v>3.15</v>
      </c>
      <c r="C6" s="7">
        <v>2.6</v>
      </c>
      <c r="D6" s="7">
        <v>2.16</v>
      </c>
      <c r="E6" s="7">
        <v>3.1</v>
      </c>
    </row>
    <row r="7" spans="1:9" x14ac:dyDescent="0.2">
      <c r="I7" s="1"/>
    </row>
    <row r="8" spans="1:9" ht="16" x14ac:dyDescent="0.2">
      <c r="A8" s="19" t="s">
        <v>32</v>
      </c>
      <c r="B8" s="75" t="s">
        <v>33</v>
      </c>
      <c r="C8" s="75"/>
      <c r="D8" s="75"/>
      <c r="E8" s="75"/>
      <c r="F8" s="29" t="s">
        <v>47</v>
      </c>
      <c r="G8" s="29" t="s">
        <v>49</v>
      </c>
      <c r="I8" s="13"/>
    </row>
    <row r="9" spans="1:9" ht="16" x14ac:dyDescent="0.2">
      <c r="A9" s="5" t="s">
        <v>52</v>
      </c>
      <c r="B9" s="21">
        <v>1</v>
      </c>
      <c r="C9" s="21">
        <v>1</v>
      </c>
      <c r="D9" s="21">
        <v>1</v>
      </c>
      <c r="E9" s="21">
        <v>1</v>
      </c>
      <c r="F9" s="16">
        <f t="shared" ref="F9:F19" si="0">SUMPRODUCT(B9:E9,$B$23:$E$23)</f>
        <v>1780.0000000000002</v>
      </c>
      <c r="G9" s="17">
        <v>3600</v>
      </c>
    </row>
    <row r="10" spans="1:9" ht="16" x14ac:dyDescent="0.2">
      <c r="A10" s="5" t="s">
        <v>53</v>
      </c>
      <c r="B10" s="21">
        <v>2</v>
      </c>
      <c r="C10" s="21">
        <v>1.5</v>
      </c>
      <c r="D10" s="21">
        <v>1</v>
      </c>
      <c r="E10" s="21">
        <v>1.75</v>
      </c>
      <c r="F10" s="16">
        <f t="shared" si="0"/>
        <v>3180</v>
      </c>
      <c r="G10" s="17">
        <v>3600</v>
      </c>
    </row>
    <row r="11" spans="1:9" ht="16" x14ac:dyDescent="0.2">
      <c r="A11" s="5" t="s">
        <v>54</v>
      </c>
      <c r="B11" s="21">
        <v>1</v>
      </c>
      <c r="C11" s="21">
        <v>0.7</v>
      </c>
      <c r="D11" s="21">
        <v>0.2</v>
      </c>
      <c r="E11" s="21">
        <v>0</v>
      </c>
      <c r="F11" s="16">
        <f t="shared" si="0"/>
        <v>1366</v>
      </c>
      <c r="G11" s="17">
        <v>3600</v>
      </c>
    </row>
    <row r="12" spans="1:9" ht="16" x14ac:dyDescent="0.2">
      <c r="A12" s="5" t="s">
        <v>55</v>
      </c>
      <c r="B12" s="21">
        <v>2.5</v>
      </c>
      <c r="C12" s="21">
        <v>1.6</v>
      </c>
      <c r="D12" s="21">
        <v>1.25</v>
      </c>
      <c r="E12" s="21">
        <v>1</v>
      </c>
      <c r="F12" s="16">
        <f t="shared" si="0"/>
        <v>3599.9999999999995</v>
      </c>
      <c r="G12" s="17">
        <v>3600</v>
      </c>
    </row>
    <row r="13" spans="1:9" ht="16" x14ac:dyDescent="0.2">
      <c r="A13" s="19" t="s">
        <v>51</v>
      </c>
      <c r="B13" s="14">
        <v>0.6</v>
      </c>
      <c r="C13" s="14">
        <v>0.4</v>
      </c>
      <c r="D13" s="14">
        <v>0.2</v>
      </c>
      <c r="E13" s="14">
        <v>1</v>
      </c>
      <c r="F13" s="16">
        <f t="shared" si="0"/>
        <v>1015.9999999999999</v>
      </c>
      <c r="G13" s="18">
        <v>1100</v>
      </c>
      <c r="H13" s="6"/>
    </row>
    <row r="14" spans="1:9" ht="16" x14ac:dyDescent="0.2">
      <c r="A14" s="19" t="s">
        <v>50</v>
      </c>
      <c r="B14" s="15">
        <v>-1</v>
      </c>
      <c r="C14" s="15">
        <v>-0.5</v>
      </c>
      <c r="D14" s="15">
        <v>0</v>
      </c>
      <c r="E14" s="15">
        <v>-0.75</v>
      </c>
      <c r="F14" s="16">
        <f t="shared" si="0"/>
        <v>-1400</v>
      </c>
      <c r="G14" s="18">
        <v>800</v>
      </c>
      <c r="H14" s="6"/>
    </row>
    <row r="15" spans="1:9" ht="16" x14ac:dyDescent="0.2">
      <c r="A15" s="19" t="s">
        <v>27</v>
      </c>
      <c r="B15" s="15"/>
      <c r="C15" s="15">
        <v>1</v>
      </c>
      <c r="D15" s="15"/>
      <c r="E15" s="15"/>
      <c r="F15" s="16">
        <f t="shared" si="0"/>
        <v>500</v>
      </c>
      <c r="G15" s="18">
        <v>500</v>
      </c>
      <c r="H15" s="6"/>
    </row>
    <row r="16" spans="1:9" ht="16" x14ac:dyDescent="0.2">
      <c r="A16" s="19" t="s">
        <v>28</v>
      </c>
      <c r="B16" s="15"/>
      <c r="C16" s="15"/>
      <c r="D16" s="15">
        <v>1</v>
      </c>
      <c r="E16" s="15"/>
      <c r="F16" s="16">
        <f t="shared" si="0"/>
        <v>80.000000000000128</v>
      </c>
      <c r="G16" s="18">
        <v>150</v>
      </c>
      <c r="H16" s="6"/>
    </row>
    <row r="17" spans="1:8" ht="16" x14ac:dyDescent="0.2">
      <c r="A17" s="19" t="s">
        <v>29</v>
      </c>
      <c r="B17" s="15"/>
      <c r="C17" s="15"/>
      <c r="D17" s="15"/>
      <c r="E17" s="15">
        <v>1</v>
      </c>
      <c r="F17" s="16">
        <f t="shared" si="0"/>
        <v>200</v>
      </c>
      <c r="G17" s="18">
        <v>200</v>
      </c>
      <c r="H17" s="6"/>
    </row>
    <row r="18" spans="1:8" ht="16" x14ac:dyDescent="0.2">
      <c r="A18" s="19" t="s">
        <v>26</v>
      </c>
      <c r="B18" s="15">
        <v>1</v>
      </c>
      <c r="C18" s="15"/>
      <c r="D18" s="15"/>
      <c r="E18" s="15"/>
      <c r="F18" s="16">
        <f t="shared" si="0"/>
        <v>999.99999999999989</v>
      </c>
      <c r="G18" s="18">
        <v>1000</v>
      </c>
      <c r="H18" s="6"/>
    </row>
    <row r="19" spans="1:8" ht="16" x14ac:dyDescent="0.2">
      <c r="A19" s="19" t="s">
        <v>27</v>
      </c>
      <c r="B19" s="15"/>
      <c r="C19" s="15">
        <v>1</v>
      </c>
      <c r="D19" s="15"/>
      <c r="E19" s="15"/>
      <c r="F19" s="16">
        <f t="shared" si="0"/>
        <v>500</v>
      </c>
      <c r="G19" s="18">
        <v>400</v>
      </c>
      <c r="H19" s="6"/>
    </row>
    <row r="20" spans="1:8" ht="17" thickBot="1" x14ac:dyDescent="0.25">
      <c r="B20" s="22"/>
      <c r="C20" s="22"/>
      <c r="D20" s="22"/>
      <c r="E20" s="22"/>
      <c r="F20" s="27" t="s">
        <v>48</v>
      </c>
      <c r="G20" s="6"/>
      <c r="H20" s="6"/>
    </row>
    <row r="21" spans="1:8" ht="17" thickBot="1" x14ac:dyDescent="0.25">
      <c r="A21" s="30" t="s">
        <v>46</v>
      </c>
      <c r="B21" s="31">
        <f>B5-B6</f>
        <v>1.85</v>
      </c>
      <c r="C21" s="31">
        <f>C5-C6</f>
        <v>1.4</v>
      </c>
      <c r="D21" s="31">
        <f>D5-D6</f>
        <v>1.04</v>
      </c>
      <c r="E21" s="31">
        <f>E5-E6</f>
        <v>1.4</v>
      </c>
      <c r="F21" s="28">
        <f>SUMPRODUCT(B21:E21,B23:E23)</f>
        <v>2913.2000000000003</v>
      </c>
      <c r="G21" s="6"/>
      <c r="H21" s="6"/>
    </row>
    <row r="22" spans="1:8" ht="17" thickBot="1" x14ac:dyDescent="0.25">
      <c r="A22" s="5"/>
      <c r="B22" s="76"/>
      <c r="C22" s="76"/>
      <c r="D22" s="76"/>
      <c r="E22" s="76"/>
      <c r="G22" s="6"/>
      <c r="H22" s="6"/>
    </row>
    <row r="23" spans="1:8" ht="35" thickBot="1" x14ac:dyDescent="0.25">
      <c r="A23" s="20" t="s">
        <v>56</v>
      </c>
      <c r="B23" s="23">
        <v>999.99999999999989</v>
      </c>
      <c r="C23" s="24">
        <v>500</v>
      </c>
      <c r="D23" s="24">
        <v>80.000000000000128</v>
      </c>
      <c r="E23" s="25">
        <v>200</v>
      </c>
    </row>
    <row r="24" spans="1:8" ht="16" x14ac:dyDescent="0.2">
      <c r="A24" s="5"/>
      <c r="B24" s="8"/>
      <c r="C24" s="8"/>
      <c r="D24" s="8"/>
      <c r="E24" s="8"/>
      <c r="G24" s="6"/>
      <c r="H24" s="6"/>
    </row>
    <row r="25" spans="1:8" ht="16" x14ac:dyDescent="0.2">
      <c r="A25" s="5"/>
    </row>
  </sheetData>
  <mergeCells count="2">
    <mergeCell ref="B8:E8"/>
    <mergeCell ref="B22:E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D243-755D-4040-96F5-B52241CB6BB5}">
  <sheetPr codeName="Sheet1"/>
  <dimension ref="A1:T52"/>
  <sheetViews>
    <sheetView topLeftCell="A18" zoomScale="108" zoomScaleNormal="98" workbookViewId="0">
      <selection activeCell="B48" sqref="B48"/>
    </sheetView>
  </sheetViews>
  <sheetFormatPr baseColWidth="10" defaultColWidth="151.1640625" defaultRowHeight="15" x14ac:dyDescent="0.2"/>
  <cols>
    <col min="1" max="1" width="20.33203125" bestFit="1" customWidth="1"/>
    <col min="2" max="2" width="31" bestFit="1" customWidth="1"/>
    <col min="3" max="3" width="8" bestFit="1" customWidth="1"/>
    <col min="4" max="4" width="14.5" bestFit="1" customWidth="1"/>
    <col min="5" max="5" width="9.33203125" bestFit="1" customWidth="1"/>
    <col min="6" max="6" width="11.5" bestFit="1" customWidth="1"/>
    <col min="7" max="7" width="22.1640625" bestFit="1" customWidth="1"/>
    <col min="8" max="8" width="12" bestFit="1" customWidth="1"/>
  </cols>
  <sheetData>
    <row r="1" spans="1:4" ht="36" customHeight="1" x14ac:dyDescent="0.2"/>
    <row r="2" spans="1:4" ht="18" x14ac:dyDescent="0.2">
      <c r="A2" s="32" t="s">
        <v>0</v>
      </c>
      <c r="B2" s="33" t="s">
        <v>91</v>
      </c>
      <c r="C2" s="33" t="s">
        <v>90</v>
      </c>
      <c r="D2" s="33" t="s">
        <v>3</v>
      </c>
    </row>
    <row r="3" spans="1:4" ht="18" x14ac:dyDescent="0.2">
      <c r="A3" s="32" t="s">
        <v>1</v>
      </c>
      <c r="B3" s="34">
        <v>7.5</v>
      </c>
      <c r="C3" s="34">
        <v>3</v>
      </c>
      <c r="D3" s="34">
        <v>4</v>
      </c>
    </row>
    <row r="4" spans="1:4" ht="18" x14ac:dyDescent="0.2">
      <c r="A4" s="32" t="s">
        <v>2</v>
      </c>
      <c r="B4" s="34">
        <v>9</v>
      </c>
      <c r="C4" s="34">
        <v>5</v>
      </c>
      <c r="D4" s="34">
        <v>4.75</v>
      </c>
    </row>
    <row r="6" spans="1:4" ht="18" x14ac:dyDescent="0.2">
      <c r="A6" s="32" t="s">
        <v>4</v>
      </c>
      <c r="B6" s="33" t="s">
        <v>91</v>
      </c>
      <c r="C6" s="33" t="s">
        <v>90</v>
      </c>
      <c r="D6" s="33" t="s">
        <v>3</v>
      </c>
    </row>
    <row r="7" spans="1:4" ht="18" x14ac:dyDescent="0.2">
      <c r="A7" s="32" t="s">
        <v>5</v>
      </c>
      <c r="B7" s="1">
        <v>15</v>
      </c>
      <c r="C7" s="1">
        <v>10</v>
      </c>
      <c r="D7" s="1">
        <v>12</v>
      </c>
    </row>
    <row r="8" spans="1:4" ht="18" x14ac:dyDescent="0.2">
      <c r="A8" s="32" t="s">
        <v>6</v>
      </c>
      <c r="B8" s="1">
        <v>6</v>
      </c>
      <c r="C8" s="1">
        <v>4</v>
      </c>
      <c r="D8" s="1">
        <v>7</v>
      </c>
    </row>
    <row r="9" spans="1:4" ht="18" x14ac:dyDescent="0.2">
      <c r="A9" s="32" t="s">
        <v>7</v>
      </c>
      <c r="B9" s="1">
        <v>10</v>
      </c>
      <c r="C9" s="1">
        <v>8</v>
      </c>
      <c r="D9" s="1">
        <v>6</v>
      </c>
    </row>
    <row r="10" spans="1:4" ht="16" x14ac:dyDescent="0.2">
      <c r="A10" s="40" t="s">
        <v>57</v>
      </c>
      <c r="B10" s="40" t="s">
        <v>58</v>
      </c>
    </row>
    <row r="11" spans="1:4" ht="16" x14ac:dyDescent="0.2">
      <c r="A11" s="40" t="s">
        <v>59</v>
      </c>
      <c r="B11" s="40" t="s">
        <v>60</v>
      </c>
      <c r="C11" s="35"/>
    </row>
    <row r="12" spans="1:4" ht="16" x14ac:dyDescent="0.2">
      <c r="A12" s="40" t="s">
        <v>61</v>
      </c>
      <c r="B12" s="40" t="s">
        <v>62</v>
      </c>
      <c r="C12" s="26"/>
    </row>
    <row r="13" spans="1:4" ht="16" x14ac:dyDescent="0.2">
      <c r="A13" s="40" t="s">
        <v>63</v>
      </c>
      <c r="B13" s="40" t="s">
        <v>64</v>
      </c>
      <c r="C13" s="36"/>
    </row>
    <row r="14" spans="1:4" ht="16" x14ac:dyDescent="0.2">
      <c r="A14" s="40" t="s">
        <v>65</v>
      </c>
      <c r="B14" s="40" t="s">
        <v>66</v>
      </c>
    </row>
    <row r="15" spans="1:4" ht="16" x14ac:dyDescent="0.2">
      <c r="A15" s="40" t="s">
        <v>67</v>
      </c>
      <c r="B15" s="40" t="s">
        <v>68</v>
      </c>
    </row>
    <row r="16" spans="1:4" ht="16" x14ac:dyDescent="0.2">
      <c r="A16" s="40" t="s">
        <v>69</v>
      </c>
      <c r="B16" s="40" t="s">
        <v>70</v>
      </c>
    </row>
    <row r="17" spans="1:20" ht="16" x14ac:dyDescent="0.2">
      <c r="A17" s="40"/>
      <c r="B17" s="40"/>
    </row>
    <row r="18" spans="1:20" ht="16" x14ac:dyDescent="0.2">
      <c r="A18" s="40" t="s">
        <v>89</v>
      </c>
      <c r="B18" s="40" t="s">
        <v>58</v>
      </c>
    </row>
    <row r="19" spans="1:20" ht="16" x14ac:dyDescent="0.2">
      <c r="A19" s="40" t="s">
        <v>71</v>
      </c>
      <c r="B19" s="40" t="s">
        <v>72</v>
      </c>
    </row>
    <row r="20" spans="1:20" ht="16" x14ac:dyDescent="0.2">
      <c r="A20" s="40" t="s">
        <v>73</v>
      </c>
      <c r="B20" s="40" t="s">
        <v>74</v>
      </c>
    </row>
    <row r="21" spans="1:20" ht="16" x14ac:dyDescent="0.2">
      <c r="A21" s="40" t="s">
        <v>75</v>
      </c>
      <c r="B21" s="40" t="s">
        <v>76</v>
      </c>
    </row>
    <row r="22" spans="1:20" ht="16" x14ac:dyDescent="0.2">
      <c r="A22" s="40" t="s">
        <v>77</v>
      </c>
      <c r="B22" s="40" t="s">
        <v>78</v>
      </c>
    </row>
    <row r="23" spans="1:20" ht="16" x14ac:dyDescent="0.2">
      <c r="A23" s="40" t="s">
        <v>79</v>
      </c>
      <c r="B23" s="40" t="s">
        <v>80</v>
      </c>
    </row>
    <row r="24" spans="1:20" ht="16" x14ac:dyDescent="0.2">
      <c r="A24" s="40" t="s">
        <v>81</v>
      </c>
      <c r="B24" s="40" t="s">
        <v>82</v>
      </c>
    </row>
    <row r="26" spans="1:20" ht="16" x14ac:dyDescent="0.2">
      <c r="A26" s="40" t="s">
        <v>83</v>
      </c>
      <c r="B26" s="40" t="s">
        <v>86</v>
      </c>
    </row>
    <row r="27" spans="1:20" ht="16" x14ac:dyDescent="0.2">
      <c r="A27" s="40" t="s">
        <v>84</v>
      </c>
      <c r="B27" s="40" t="s">
        <v>87</v>
      </c>
    </row>
    <row r="28" spans="1:20" ht="16" x14ac:dyDescent="0.2">
      <c r="A28" s="40" t="s">
        <v>85</v>
      </c>
      <c r="B28" s="40" t="s">
        <v>88</v>
      </c>
    </row>
    <row r="30" spans="1:20" x14ac:dyDescent="0.2">
      <c r="A30" s="77"/>
      <c r="B30" s="77"/>
      <c r="C30" s="77"/>
      <c r="D30" s="77"/>
      <c r="E30" s="77"/>
      <c r="F30" s="77"/>
      <c r="G30" s="77"/>
      <c r="H30" s="77"/>
      <c r="I30" s="77"/>
      <c r="J30" s="77"/>
      <c r="K30" s="77"/>
      <c r="L30" s="77"/>
      <c r="M30" s="77"/>
      <c r="N30" s="77"/>
      <c r="O30" s="77"/>
      <c r="P30" s="77"/>
      <c r="Q30" s="77"/>
      <c r="R30" s="77"/>
      <c r="S30" s="77"/>
      <c r="T30" s="77"/>
    </row>
    <row r="31" spans="1:20" x14ac:dyDescent="0.2">
      <c r="A31" s="77"/>
      <c r="B31" s="77"/>
      <c r="C31" s="77"/>
      <c r="D31" s="77"/>
      <c r="E31" s="77"/>
      <c r="F31" s="77"/>
      <c r="G31" s="77"/>
      <c r="H31" s="77"/>
      <c r="I31" s="77"/>
      <c r="J31" s="77"/>
      <c r="K31" s="77"/>
      <c r="L31" s="77"/>
      <c r="M31" s="77"/>
      <c r="N31" s="77"/>
      <c r="O31" s="77"/>
      <c r="P31" s="77"/>
      <c r="Q31" s="77"/>
      <c r="R31" s="77"/>
      <c r="S31" s="77"/>
      <c r="T31" s="77"/>
    </row>
    <row r="32" spans="1:20" x14ac:dyDescent="0.2">
      <c r="A32" s="37"/>
      <c r="B32" s="37"/>
      <c r="C32" s="37"/>
      <c r="D32" s="37"/>
      <c r="E32" s="37"/>
      <c r="F32" s="37"/>
      <c r="G32" s="37"/>
      <c r="H32" s="37"/>
    </row>
    <row r="33" spans="1:8" x14ac:dyDescent="0.2">
      <c r="A33" s="38"/>
    </row>
    <row r="34" spans="1:8" x14ac:dyDescent="0.2">
      <c r="A34" s="41" t="s">
        <v>92</v>
      </c>
      <c r="B34" s="41" t="s">
        <v>93</v>
      </c>
      <c r="C34" s="41" t="s">
        <v>57</v>
      </c>
      <c r="D34" s="41" t="s">
        <v>94</v>
      </c>
      <c r="E34" s="41" t="s">
        <v>95</v>
      </c>
      <c r="F34" s="41" t="s">
        <v>96</v>
      </c>
      <c r="G34" s="41" t="s">
        <v>6</v>
      </c>
      <c r="H34" s="41" t="s">
        <v>7</v>
      </c>
    </row>
    <row r="35" spans="1:8" x14ac:dyDescent="0.2">
      <c r="A35" s="42" t="s">
        <v>97</v>
      </c>
      <c r="B35" s="42" t="s">
        <v>91</v>
      </c>
      <c r="C35" s="42" t="s">
        <v>59</v>
      </c>
      <c r="D35" s="42">
        <v>24999.999999999996</v>
      </c>
      <c r="E35" s="43">
        <v>7.5</v>
      </c>
      <c r="F35" s="42">
        <v>15</v>
      </c>
      <c r="G35" s="42">
        <v>6</v>
      </c>
      <c r="H35" s="42">
        <v>10</v>
      </c>
    </row>
    <row r="36" spans="1:8" x14ac:dyDescent="0.2">
      <c r="A36" s="42" t="s">
        <v>97</v>
      </c>
      <c r="B36" s="42" t="s">
        <v>90</v>
      </c>
      <c r="C36" s="42" t="s">
        <v>61</v>
      </c>
      <c r="D36" s="42">
        <v>28000</v>
      </c>
      <c r="E36" s="43">
        <v>3</v>
      </c>
      <c r="F36" s="42">
        <v>10</v>
      </c>
      <c r="G36" s="42">
        <v>4</v>
      </c>
      <c r="H36" s="42">
        <v>8</v>
      </c>
    </row>
    <row r="37" spans="1:8" x14ac:dyDescent="0.2">
      <c r="A37" s="42" t="s">
        <v>97</v>
      </c>
      <c r="B37" s="42" t="s">
        <v>3</v>
      </c>
      <c r="C37" s="42" t="s">
        <v>63</v>
      </c>
      <c r="D37" s="42">
        <v>5000</v>
      </c>
      <c r="E37" s="43">
        <v>4</v>
      </c>
      <c r="F37" s="42">
        <v>12</v>
      </c>
      <c r="G37" s="42">
        <v>7</v>
      </c>
      <c r="H37" s="42">
        <v>6</v>
      </c>
    </row>
    <row r="38" spans="1:8" x14ac:dyDescent="0.2">
      <c r="A38" s="42" t="s">
        <v>98</v>
      </c>
      <c r="B38" s="42" t="s">
        <v>91</v>
      </c>
      <c r="C38" s="42" t="s">
        <v>65</v>
      </c>
      <c r="D38" s="42">
        <v>25000</v>
      </c>
      <c r="E38" s="43">
        <v>9</v>
      </c>
      <c r="F38" s="42">
        <v>0</v>
      </c>
      <c r="G38" s="42">
        <v>0</v>
      </c>
      <c r="H38" s="42">
        <v>0</v>
      </c>
    </row>
    <row r="39" spans="1:8" x14ac:dyDescent="0.2">
      <c r="A39" s="42" t="s">
        <v>98</v>
      </c>
      <c r="B39" s="42" t="s">
        <v>90</v>
      </c>
      <c r="C39" s="42" t="s">
        <v>67</v>
      </c>
      <c r="D39" s="42">
        <v>15000</v>
      </c>
      <c r="E39" s="43">
        <v>5</v>
      </c>
      <c r="F39" s="42">
        <v>0</v>
      </c>
      <c r="G39" s="42">
        <v>0</v>
      </c>
      <c r="H39" s="42">
        <v>0</v>
      </c>
    </row>
    <row r="40" spans="1:8" x14ac:dyDescent="0.2">
      <c r="A40" s="42" t="s">
        <v>98</v>
      </c>
      <c r="B40" s="42" t="s">
        <v>3</v>
      </c>
      <c r="C40" s="42" t="s">
        <v>69</v>
      </c>
      <c r="D40" s="42">
        <v>25000</v>
      </c>
      <c r="E40" s="43">
        <v>4.75</v>
      </c>
      <c r="F40" s="42">
        <v>0</v>
      </c>
      <c r="G40" s="42">
        <v>0</v>
      </c>
      <c r="H40" s="42">
        <v>0</v>
      </c>
    </row>
    <row r="41" spans="1:8" x14ac:dyDescent="0.2">
      <c r="A41" s="41" t="s">
        <v>99</v>
      </c>
      <c r="B41" s="41" t="s">
        <v>100</v>
      </c>
      <c r="C41" s="41" t="s">
        <v>101</v>
      </c>
      <c r="D41" s="41" t="s">
        <v>102</v>
      </c>
    </row>
    <row r="42" spans="1:8" ht="16" thickBot="1" x14ac:dyDescent="0.25">
      <c r="A42" s="42" t="s">
        <v>103</v>
      </c>
      <c r="B42" s="44">
        <f>D35+D38</f>
        <v>50000</v>
      </c>
      <c r="C42" s="42" t="s">
        <v>104</v>
      </c>
      <c r="D42" s="45">
        <v>50000</v>
      </c>
    </row>
    <row r="43" spans="1:8" ht="20" thickBot="1" x14ac:dyDescent="0.3">
      <c r="A43" s="42" t="s">
        <v>105</v>
      </c>
      <c r="B43" s="44">
        <f>D36+D39</f>
        <v>43000</v>
      </c>
      <c r="C43" s="42" t="s">
        <v>104</v>
      </c>
      <c r="D43" s="45">
        <v>43000</v>
      </c>
      <c r="F43" s="46" t="s">
        <v>114</v>
      </c>
      <c r="G43" s="47">
        <f>SUMPRODUCT(D35:D40, E35:E40)</f>
        <v>710250</v>
      </c>
    </row>
    <row r="44" spans="1:8" x14ac:dyDescent="0.2">
      <c r="A44" s="42" t="s">
        <v>106</v>
      </c>
      <c r="B44" s="44">
        <f>D37+D40</f>
        <v>30000</v>
      </c>
      <c r="C44" s="42" t="s">
        <v>104</v>
      </c>
      <c r="D44" s="45">
        <v>30000</v>
      </c>
    </row>
    <row r="45" spans="1:8" x14ac:dyDescent="0.2">
      <c r="A45" s="42" t="s">
        <v>107</v>
      </c>
      <c r="B45" s="44">
        <f>D38</f>
        <v>25000</v>
      </c>
      <c r="C45" s="42" t="s">
        <v>108</v>
      </c>
      <c r="D45" s="45">
        <v>25000</v>
      </c>
    </row>
    <row r="46" spans="1:8" x14ac:dyDescent="0.2">
      <c r="A46" s="42" t="s">
        <v>109</v>
      </c>
      <c r="B46" s="44">
        <f>D39</f>
        <v>15000</v>
      </c>
      <c r="C46" s="42" t="s">
        <v>108</v>
      </c>
      <c r="D46" s="45">
        <v>25000</v>
      </c>
    </row>
    <row r="47" spans="1:8" x14ac:dyDescent="0.2">
      <c r="A47" s="42" t="s">
        <v>110</v>
      </c>
      <c r="B47" s="44">
        <f>D40</f>
        <v>25000</v>
      </c>
      <c r="C47" s="42" t="s">
        <v>108</v>
      </c>
      <c r="D47" s="45">
        <v>25000</v>
      </c>
    </row>
    <row r="48" spans="1:8" x14ac:dyDescent="0.2">
      <c r="A48" s="42" t="s">
        <v>111</v>
      </c>
      <c r="B48" s="44">
        <f>SUMPRODUCT($D$35:$D$40, F35:F40)</f>
        <v>715000</v>
      </c>
      <c r="C48" s="42" t="s">
        <v>108</v>
      </c>
      <c r="D48" s="45">
        <v>720000</v>
      </c>
    </row>
    <row r="49" spans="1:4" x14ac:dyDescent="0.2">
      <c r="A49" s="42" t="s">
        <v>112</v>
      </c>
      <c r="B49" s="44">
        <f>SUMPRODUCT($D$35:$D$40, G35:G40)</f>
        <v>297000</v>
      </c>
      <c r="C49" s="42" t="s">
        <v>108</v>
      </c>
      <c r="D49" s="45">
        <v>306000</v>
      </c>
    </row>
    <row r="50" spans="1:4" x14ac:dyDescent="0.2">
      <c r="A50" s="42" t="s">
        <v>113</v>
      </c>
      <c r="B50" s="44">
        <f>SUMPRODUCT($D$35:$D$40, H35:H40)</f>
        <v>504000</v>
      </c>
      <c r="C50" s="42" t="s">
        <v>108</v>
      </c>
      <c r="D50" s="45">
        <v>504000</v>
      </c>
    </row>
    <row r="51" spans="1:4" x14ac:dyDescent="0.2">
      <c r="A51" s="38"/>
    </row>
    <row r="52" spans="1:4" x14ac:dyDescent="0.2">
      <c r="A52" s="38"/>
    </row>
  </sheetData>
  <mergeCells count="1">
    <mergeCell ref="A30:T3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B4FC4-86A7-4631-A79C-F3BAD41E43EB}">
  <dimension ref="A1:L28"/>
  <sheetViews>
    <sheetView zoomScale="118" zoomScaleNormal="170" workbookViewId="0">
      <selection activeCell="H27" sqref="H27"/>
    </sheetView>
  </sheetViews>
  <sheetFormatPr baseColWidth="10" defaultColWidth="8.83203125" defaultRowHeight="15" x14ac:dyDescent="0.2"/>
  <cols>
    <col min="1" max="1" width="8.33203125" style="1" bestFit="1" customWidth="1"/>
    <col min="2" max="2" width="9" style="1" bestFit="1" customWidth="1"/>
    <col min="3" max="3" width="13.6640625" style="1" bestFit="1" customWidth="1"/>
    <col min="4" max="4" width="6.1640625" style="1" bestFit="1" customWidth="1"/>
    <col min="5" max="5" width="6.6640625" style="1" bestFit="1" customWidth="1"/>
    <col min="6" max="6" width="8" style="1" bestFit="1" customWidth="1"/>
    <col min="7" max="7" width="6.5" style="1" bestFit="1" customWidth="1"/>
    <col min="8" max="8" width="8.33203125" style="1" bestFit="1" customWidth="1"/>
    <col min="9" max="9" width="9.5" style="1" bestFit="1" customWidth="1"/>
    <col min="10" max="10" width="13.1640625" style="1" bestFit="1" customWidth="1"/>
    <col min="11" max="12" width="13.6640625" style="1" bestFit="1" customWidth="1"/>
    <col min="13" max="16384" width="8.83203125" style="1"/>
  </cols>
  <sheetData>
    <row r="1" spans="1:12" x14ac:dyDescent="0.2">
      <c r="A1" s="62"/>
      <c r="B1" s="62"/>
      <c r="C1" s="62"/>
      <c r="D1" s="62"/>
      <c r="E1" s="62"/>
      <c r="F1" s="62"/>
      <c r="G1" s="62"/>
      <c r="H1" s="62"/>
      <c r="I1" s="62"/>
      <c r="J1" s="62"/>
      <c r="K1" s="62"/>
      <c r="L1" s="62"/>
    </row>
    <row r="2" spans="1:12" x14ac:dyDescent="0.2">
      <c r="A2" s="62"/>
      <c r="B2" s="62"/>
      <c r="C2" s="62"/>
      <c r="D2" s="62"/>
      <c r="E2" s="62"/>
      <c r="F2" s="62"/>
      <c r="G2" s="62"/>
      <c r="H2" s="62"/>
      <c r="I2" s="62"/>
      <c r="J2" s="62"/>
      <c r="K2" s="62"/>
      <c r="L2" s="62"/>
    </row>
    <row r="3" spans="1:12" x14ac:dyDescent="0.2">
      <c r="A3" s="62"/>
      <c r="B3" s="78" t="s">
        <v>8</v>
      </c>
      <c r="C3" s="78"/>
      <c r="D3" s="78"/>
      <c r="E3" s="78"/>
      <c r="F3" s="78"/>
      <c r="G3" s="78"/>
      <c r="H3" s="78"/>
      <c r="I3" s="56" t="s">
        <v>9</v>
      </c>
      <c r="J3" s="56"/>
      <c r="K3" s="56"/>
      <c r="L3" s="62"/>
    </row>
    <row r="4" spans="1:12" x14ac:dyDescent="0.2">
      <c r="A4" s="62"/>
      <c r="B4" s="78" t="s">
        <v>10</v>
      </c>
      <c r="C4" s="78"/>
      <c r="D4" s="78"/>
      <c r="E4" s="78"/>
      <c r="F4" s="78"/>
      <c r="G4" s="78"/>
      <c r="H4" s="78"/>
      <c r="I4" s="56" t="s">
        <v>11</v>
      </c>
      <c r="J4" s="56"/>
      <c r="K4" s="56"/>
      <c r="L4" s="62"/>
    </row>
    <row r="5" spans="1:12" x14ac:dyDescent="0.2">
      <c r="A5" s="59" t="s">
        <v>12</v>
      </c>
      <c r="B5" s="59" t="s">
        <v>13</v>
      </c>
      <c r="C5" s="59" t="s">
        <v>14</v>
      </c>
      <c r="D5" s="59" t="s">
        <v>15</v>
      </c>
      <c r="E5" s="59" t="s">
        <v>16</v>
      </c>
      <c r="F5" s="59" t="s">
        <v>17</v>
      </c>
      <c r="G5" s="59" t="s">
        <v>18</v>
      </c>
      <c r="H5" s="59" t="s">
        <v>19</v>
      </c>
      <c r="I5" s="59" t="s">
        <v>20</v>
      </c>
      <c r="J5" s="59" t="s">
        <v>25</v>
      </c>
      <c r="K5" s="56"/>
      <c r="L5" s="62"/>
    </row>
    <row r="6" spans="1:12" x14ac:dyDescent="0.2">
      <c r="A6" s="59" t="s">
        <v>21</v>
      </c>
      <c r="B6" s="61">
        <v>2.5</v>
      </c>
      <c r="C6" s="61">
        <v>2.75</v>
      </c>
      <c r="D6" s="61">
        <v>1.75</v>
      </c>
      <c r="E6" s="61">
        <v>2</v>
      </c>
      <c r="F6" s="61">
        <v>2.1</v>
      </c>
      <c r="G6" s="61">
        <v>1.8</v>
      </c>
      <c r="H6" s="61">
        <v>1.65</v>
      </c>
      <c r="I6" s="61">
        <v>35.5</v>
      </c>
      <c r="J6" s="59">
        <v>18000</v>
      </c>
      <c r="K6" s="57"/>
      <c r="L6" s="62"/>
    </row>
    <row r="7" spans="1:12" x14ac:dyDescent="0.2">
      <c r="A7" s="59" t="s">
        <v>22</v>
      </c>
      <c r="B7" s="61">
        <v>1.85</v>
      </c>
      <c r="C7" s="61">
        <v>1.9</v>
      </c>
      <c r="D7" s="61">
        <v>1.5</v>
      </c>
      <c r="E7" s="61">
        <v>1.6</v>
      </c>
      <c r="F7" s="61">
        <v>1</v>
      </c>
      <c r="G7" s="61">
        <v>1.9</v>
      </c>
      <c r="H7" s="61">
        <v>1.85</v>
      </c>
      <c r="I7" s="61">
        <v>37.5</v>
      </c>
      <c r="J7" s="59">
        <v>15000</v>
      </c>
      <c r="K7" s="57"/>
      <c r="L7" s="62"/>
    </row>
    <row r="8" spans="1:12" x14ac:dyDescent="0.2">
      <c r="A8" s="59" t="s">
        <v>23</v>
      </c>
      <c r="B8" s="61">
        <v>2.2999999999999998</v>
      </c>
      <c r="C8" s="61">
        <v>2.25</v>
      </c>
      <c r="D8" s="61">
        <v>1.85</v>
      </c>
      <c r="E8" s="61">
        <v>1.25</v>
      </c>
      <c r="F8" s="61">
        <v>1.5</v>
      </c>
      <c r="G8" s="61">
        <v>2.25</v>
      </c>
      <c r="H8" s="61">
        <v>2</v>
      </c>
      <c r="I8" s="61">
        <v>39</v>
      </c>
      <c r="J8" s="59">
        <v>25000</v>
      </c>
      <c r="K8" s="57"/>
      <c r="L8" s="62"/>
    </row>
    <row r="9" spans="1:12" x14ac:dyDescent="0.2">
      <c r="A9" s="59" t="s">
        <v>24</v>
      </c>
      <c r="B9" s="61">
        <v>1.9</v>
      </c>
      <c r="C9" s="61">
        <v>0.9</v>
      </c>
      <c r="D9" s="61">
        <v>1.6</v>
      </c>
      <c r="E9" s="61">
        <v>1.75</v>
      </c>
      <c r="F9" s="61">
        <v>2</v>
      </c>
      <c r="G9" s="61">
        <v>2.5</v>
      </c>
      <c r="H9" s="61">
        <v>2.65</v>
      </c>
      <c r="I9" s="61">
        <v>36.25</v>
      </c>
      <c r="J9" s="59">
        <v>20000</v>
      </c>
      <c r="K9" s="57"/>
      <c r="L9" s="62"/>
    </row>
    <row r="10" spans="1:12" x14ac:dyDescent="0.2">
      <c r="A10" s="58" t="s">
        <v>45</v>
      </c>
      <c r="B10" s="59">
        <v>8500</v>
      </c>
      <c r="C10" s="59">
        <v>14500</v>
      </c>
      <c r="D10" s="59">
        <v>13500</v>
      </c>
      <c r="E10" s="59">
        <v>12600</v>
      </c>
      <c r="F10" s="59">
        <v>18000</v>
      </c>
      <c r="G10" s="59">
        <v>15000</v>
      </c>
      <c r="H10" s="59">
        <v>9000</v>
      </c>
      <c r="I10" s="62"/>
      <c r="J10" s="62"/>
      <c r="K10" s="62"/>
      <c r="L10" s="62"/>
    </row>
    <row r="11" spans="1:12" x14ac:dyDescent="0.2">
      <c r="A11" s="62"/>
      <c r="B11" s="62"/>
      <c r="C11" s="62"/>
      <c r="D11" s="62"/>
      <c r="E11" s="62"/>
      <c r="F11" s="62"/>
      <c r="G11" s="62"/>
      <c r="H11" s="62"/>
      <c r="I11" s="62"/>
      <c r="J11" s="62"/>
      <c r="K11" s="62"/>
      <c r="L11" s="62"/>
    </row>
    <row r="12" spans="1:12" x14ac:dyDescent="0.2">
      <c r="A12" s="62"/>
      <c r="B12" s="62"/>
      <c r="C12" s="62"/>
      <c r="D12" s="62"/>
      <c r="E12" s="62"/>
      <c r="F12" s="62"/>
      <c r="G12" s="62"/>
      <c r="H12" s="62"/>
      <c r="I12" s="62"/>
      <c r="J12" s="62"/>
      <c r="K12" s="62"/>
      <c r="L12" s="62"/>
    </row>
    <row r="13" spans="1:12" x14ac:dyDescent="0.2">
      <c r="A13" s="59" t="s">
        <v>12</v>
      </c>
      <c r="B13" s="59" t="s">
        <v>13</v>
      </c>
      <c r="C13" s="59" t="s">
        <v>14</v>
      </c>
      <c r="D13" s="59" t="s">
        <v>15</v>
      </c>
      <c r="E13" s="59" t="s">
        <v>16</v>
      </c>
      <c r="F13" s="59" t="s">
        <v>17</v>
      </c>
      <c r="G13" s="59" t="s">
        <v>18</v>
      </c>
      <c r="H13" s="59" t="s">
        <v>19</v>
      </c>
      <c r="I13" s="59" t="s">
        <v>20</v>
      </c>
      <c r="J13" s="59" t="s">
        <v>130</v>
      </c>
      <c r="K13" s="59" t="s">
        <v>131</v>
      </c>
      <c r="L13" s="59" t="s">
        <v>25</v>
      </c>
    </row>
    <row r="14" spans="1:12" x14ac:dyDescent="0.2">
      <c r="A14" s="59" t="s">
        <v>21</v>
      </c>
      <c r="B14" s="60">
        <v>0</v>
      </c>
      <c r="C14" s="60">
        <v>0</v>
      </c>
      <c r="D14" s="60">
        <v>0</v>
      </c>
      <c r="E14" s="60">
        <v>0</v>
      </c>
      <c r="F14" s="60">
        <v>0</v>
      </c>
      <c r="G14" s="60">
        <v>12000</v>
      </c>
      <c r="H14" s="60">
        <v>6000</v>
      </c>
      <c r="I14" s="61">
        <f>I6</f>
        <v>35.5</v>
      </c>
      <c r="J14" s="61">
        <f>I14*K14</f>
        <v>639000</v>
      </c>
      <c r="K14" s="59">
        <f>SUM(B14:H14)</f>
        <v>18000</v>
      </c>
      <c r="L14" s="59">
        <f>J6</f>
        <v>18000</v>
      </c>
    </row>
    <row r="15" spans="1:12" x14ac:dyDescent="0.2">
      <c r="A15" s="59" t="s">
        <v>22</v>
      </c>
      <c r="B15" s="60">
        <v>600</v>
      </c>
      <c r="C15" s="60">
        <v>0</v>
      </c>
      <c r="D15" s="60">
        <v>0</v>
      </c>
      <c r="E15" s="60">
        <v>0</v>
      </c>
      <c r="F15" s="60">
        <v>14400</v>
      </c>
      <c r="G15" s="60">
        <v>0</v>
      </c>
      <c r="H15" s="60">
        <v>0</v>
      </c>
      <c r="I15" s="61">
        <f>I7</f>
        <v>37.5</v>
      </c>
      <c r="J15" s="61">
        <f>I15*K15</f>
        <v>562500</v>
      </c>
      <c r="K15" s="59">
        <f>SUM(B15:H15)</f>
        <v>15000</v>
      </c>
      <c r="L15" s="59">
        <f>J7</f>
        <v>15000</v>
      </c>
    </row>
    <row r="16" spans="1:12" x14ac:dyDescent="0.2">
      <c r="A16" s="59" t="s">
        <v>23</v>
      </c>
      <c r="B16" s="60">
        <v>400</v>
      </c>
      <c r="C16" s="60">
        <v>0</v>
      </c>
      <c r="D16" s="60">
        <v>10800</v>
      </c>
      <c r="E16" s="60">
        <v>12600</v>
      </c>
      <c r="F16" s="60">
        <v>0</v>
      </c>
      <c r="G16" s="60">
        <v>0</v>
      </c>
      <c r="H16" s="60">
        <v>1200</v>
      </c>
      <c r="I16" s="61">
        <f>I8</f>
        <v>39</v>
      </c>
      <c r="J16" s="61">
        <f>I16*K16</f>
        <v>975000</v>
      </c>
      <c r="K16" s="59">
        <f>SUM(B16:H16)</f>
        <v>25000</v>
      </c>
      <c r="L16" s="59">
        <f>J8</f>
        <v>25000</v>
      </c>
    </row>
    <row r="17" spans="1:12" x14ac:dyDescent="0.2">
      <c r="A17" s="59" t="s">
        <v>24</v>
      </c>
      <c r="B17" s="60">
        <v>5800</v>
      </c>
      <c r="C17" s="60">
        <v>14200</v>
      </c>
      <c r="D17" s="60">
        <v>0</v>
      </c>
      <c r="E17" s="60">
        <v>0</v>
      </c>
      <c r="F17" s="60">
        <v>0</v>
      </c>
      <c r="G17" s="60">
        <v>0</v>
      </c>
      <c r="H17" s="60">
        <v>0</v>
      </c>
      <c r="I17" s="61">
        <f>I9</f>
        <v>36.25</v>
      </c>
      <c r="J17" s="61">
        <f>I17*K17</f>
        <v>725000</v>
      </c>
      <c r="K17" s="59">
        <f>SUM(B17:H17)</f>
        <v>20000</v>
      </c>
      <c r="L17" s="59">
        <f>J9</f>
        <v>20000</v>
      </c>
    </row>
    <row r="18" spans="1:12" x14ac:dyDescent="0.2">
      <c r="A18" s="66">
        <v>0.8</v>
      </c>
      <c r="B18" s="67">
        <f>0.8*B19</f>
        <v>6800</v>
      </c>
      <c r="C18" s="67">
        <f t="shared" ref="C18:H18" si="0">0.8*C19</f>
        <v>11600</v>
      </c>
      <c r="D18" s="67">
        <f t="shared" si="0"/>
        <v>10800</v>
      </c>
      <c r="E18" s="67">
        <f t="shared" si="0"/>
        <v>10080</v>
      </c>
      <c r="F18" s="67">
        <f t="shared" si="0"/>
        <v>14400</v>
      </c>
      <c r="G18" s="67">
        <f t="shared" si="0"/>
        <v>12000</v>
      </c>
      <c r="H18" s="67">
        <f t="shared" si="0"/>
        <v>7200</v>
      </c>
      <c r="I18" s="57"/>
      <c r="J18" s="61">
        <f>SUM(J14:J17)</f>
        <v>2901500</v>
      </c>
      <c r="K18" s="57"/>
      <c r="L18" s="56"/>
    </row>
    <row r="19" spans="1:12" x14ac:dyDescent="0.2">
      <c r="A19" s="68" t="s">
        <v>45</v>
      </c>
      <c r="B19" s="69">
        <f t="shared" ref="B19:H19" si="1">B10</f>
        <v>8500</v>
      </c>
      <c r="C19" s="69">
        <f t="shared" si="1"/>
        <v>14500</v>
      </c>
      <c r="D19" s="69">
        <f t="shared" si="1"/>
        <v>13500</v>
      </c>
      <c r="E19" s="69">
        <f t="shared" si="1"/>
        <v>12600</v>
      </c>
      <c r="F19" s="69">
        <f t="shared" si="1"/>
        <v>18000</v>
      </c>
      <c r="G19" s="69">
        <f t="shared" si="1"/>
        <v>15000</v>
      </c>
      <c r="H19" s="69">
        <f t="shared" si="1"/>
        <v>9000</v>
      </c>
      <c r="I19" s="62"/>
      <c r="J19" s="62"/>
      <c r="K19" s="62"/>
      <c r="L19" s="62"/>
    </row>
    <row r="20" spans="1:12" x14ac:dyDescent="0.2">
      <c r="A20" s="58"/>
      <c r="B20" s="58">
        <f t="shared" ref="B20:H20" si="2">SUM(B14:B17)</f>
        <v>6800</v>
      </c>
      <c r="C20" s="58">
        <f t="shared" si="2"/>
        <v>14200</v>
      </c>
      <c r="D20" s="58">
        <f t="shared" si="2"/>
        <v>10800</v>
      </c>
      <c r="E20" s="58">
        <f t="shared" si="2"/>
        <v>12600</v>
      </c>
      <c r="F20" s="58">
        <f t="shared" si="2"/>
        <v>14400</v>
      </c>
      <c r="G20" s="58">
        <f t="shared" si="2"/>
        <v>12000</v>
      </c>
      <c r="H20" s="58">
        <f t="shared" si="2"/>
        <v>7200</v>
      </c>
      <c r="I20" s="62"/>
      <c r="J20" s="70" t="s">
        <v>132</v>
      </c>
      <c r="K20" s="71">
        <f>SUMPRODUCT(B6:H9,B14:H17)</f>
        <v>109860</v>
      </c>
    </row>
    <row r="21" spans="1:12" x14ac:dyDescent="0.2">
      <c r="A21" s="62"/>
      <c r="B21" s="62"/>
      <c r="C21" s="62"/>
      <c r="D21" s="62"/>
      <c r="E21" s="62"/>
      <c r="F21" s="62"/>
      <c r="G21" s="62"/>
      <c r="H21" s="62"/>
      <c r="I21" s="62"/>
      <c r="J21" s="70" t="s">
        <v>133</v>
      </c>
      <c r="K21" s="71">
        <f>SUM(J14:J17)</f>
        <v>2901500</v>
      </c>
    </row>
    <row r="22" spans="1:12" x14ac:dyDescent="0.2">
      <c r="A22" s="62"/>
      <c r="B22" s="62"/>
      <c r="C22" s="62"/>
      <c r="D22" s="62"/>
      <c r="E22" s="62"/>
      <c r="F22" s="62"/>
      <c r="G22" s="62"/>
      <c r="H22" s="62"/>
      <c r="I22" s="62"/>
      <c r="J22" s="62"/>
      <c r="K22" s="62"/>
      <c r="L22" s="62"/>
    </row>
    <row r="23" spans="1:12" x14ac:dyDescent="0.2">
      <c r="A23" s="62"/>
      <c r="B23" s="62"/>
      <c r="C23" s="62"/>
      <c r="D23" s="62"/>
      <c r="E23" s="62"/>
      <c r="F23" s="62"/>
      <c r="G23" s="62"/>
      <c r="H23" s="62"/>
      <c r="I23" s="62"/>
      <c r="J23" s="62"/>
      <c r="K23" s="62"/>
      <c r="L23" s="62"/>
    </row>
    <row r="24" spans="1:12" x14ac:dyDescent="0.2">
      <c r="A24" s="62"/>
      <c r="B24" s="62"/>
      <c r="C24" s="62"/>
      <c r="D24" s="62"/>
      <c r="E24" s="62"/>
      <c r="F24" s="62"/>
      <c r="G24" s="62"/>
      <c r="H24" s="62"/>
      <c r="I24" s="62"/>
      <c r="J24" s="62"/>
      <c r="K24" s="62"/>
      <c r="L24" s="62"/>
    </row>
    <row r="25" spans="1:12" x14ac:dyDescent="0.2">
      <c r="A25" s="62"/>
      <c r="B25" s="64" t="s">
        <v>134</v>
      </c>
      <c r="C25" s="65">
        <f>K20+K21</f>
        <v>3011360</v>
      </c>
      <c r="D25" s="62"/>
      <c r="E25" s="62"/>
      <c r="F25" s="62"/>
      <c r="G25" s="62"/>
      <c r="H25" s="62"/>
      <c r="I25" s="62"/>
      <c r="J25" s="62"/>
      <c r="K25" s="62"/>
      <c r="L25" s="62"/>
    </row>
    <row r="26" spans="1:12" x14ac:dyDescent="0.2">
      <c r="A26" s="62"/>
      <c r="B26" s="62"/>
      <c r="C26" s="62"/>
      <c r="D26" s="62"/>
      <c r="E26" s="62"/>
      <c r="F26" s="62"/>
      <c r="G26" s="62"/>
      <c r="H26" s="62"/>
      <c r="I26" s="62"/>
      <c r="J26" s="62"/>
      <c r="K26" s="62"/>
      <c r="L26" s="62"/>
    </row>
    <row r="27" spans="1:12" x14ac:dyDescent="0.2">
      <c r="A27" s="62"/>
      <c r="B27" s="62"/>
      <c r="C27" s="63"/>
      <c r="D27" s="62"/>
      <c r="E27" s="62"/>
      <c r="F27" s="62"/>
      <c r="G27" s="62"/>
      <c r="H27" s="62"/>
      <c r="I27" s="62"/>
      <c r="J27" s="62"/>
      <c r="K27" s="62"/>
      <c r="L27" s="62"/>
    </row>
    <row r="28" spans="1:12" x14ac:dyDescent="0.2">
      <c r="A28" s="62"/>
      <c r="B28" s="62"/>
      <c r="C28" s="62"/>
      <c r="D28" s="62"/>
      <c r="E28" s="62"/>
      <c r="F28" s="62"/>
      <c r="G28" s="62"/>
      <c r="H28" s="62"/>
      <c r="I28" s="62"/>
      <c r="J28" s="62"/>
      <c r="K28" s="62"/>
      <c r="L28" s="62"/>
    </row>
  </sheetData>
  <mergeCells count="2">
    <mergeCell ref="B3:H3"/>
    <mergeCell ref="B4:H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F6112-86D9-40E8-B40B-92E3190928C0}">
  <dimension ref="A1:I25"/>
  <sheetViews>
    <sheetView zoomScale="109" workbookViewId="0">
      <selection activeCell="B10" sqref="B10"/>
    </sheetView>
  </sheetViews>
  <sheetFormatPr baseColWidth="10" defaultColWidth="8.83203125" defaultRowHeight="15" x14ac:dyDescent="0.2"/>
  <cols>
    <col min="1" max="1" width="18.6640625" bestFit="1" customWidth="1"/>
    <col min="2" max="2" width="19.6640625" bestFit="1" customWidth="1"/>
    <col min="3" max="3" width="18.1640625" bestFit="1" customWidth="1"/>
    <col min="4" max="4" width="34.5" bestFit="1" customWidth="1"/>
    <col min="5" max="5" width="13.1640625" bestFit="1" customWidth="1"/>
    <col min="6" max="7" width="12.1640625" bestFit="1" customWidth="1"/>
    <col min="8" max="8" width="11.1640625" bestFit="1" customWidth="1"/>
  </cols>
  <sheetData>
    <row r="1" spans="1:9" x14ac:dyDescent="0.2">
      <c r="B1" s="2"/>
      <c r="C1" s="2"/>
      <c r="D1" s="2"/>
      <c r="E1" s="2"/>
      <c r="F1" s="2"/>
      <c r="G1" s="2"/>
    </row>
    <row r="3" spans="1:9" x14ac:dyDescent="0.2">
      <c r="B3" s="2" t="s">
        <v>43</v>
      </c>
      <c r="C3" s="2"/>
      <c r="D3" s="2"/>
      <c r="E3" s="2"/>
      <c r="F3" s="2"/>
      <c r="G3" s="2"/>
    </row>
    <row r="4" spans="1:9" ht="16" thickBot="1" x14ac:dyDescent="0.25">
      <c r="A4" s="11"/>
      <c r="B4" s="3">
        <v>1</v>
      </c>
      <c r="C4" s="3">
        <v>2</v>
      </c>
      <c r="D4" s="3">
        <v>3</v>
      </c>
      <c r="E4" s="3">
        <v>4</v>
      </c>
      <c r="F4" s="3">
        <v>5</v>
      </c>
      <c r="G4" s="3">
        <v>6</v>
      </c>
    </row>
    <row r="5" spans="1:9" x14ac:dyDescent="0.2">
      <c r="A5" s="4" t="s">
        <v>44</v>
      </c>
      <c r="B5" s="12">
        <v>135</v>
      </c>
      <c r="C5" s="12">
        <v>110</v>
      </c>
      <c r="D5" s="12">
        <v>150</v>
      </c>
      <c r="E5" s="12">
        <v>175</v>
      </c>
      <c r="F5" s="12">
        <v>130</v>
      </c>
      <c r="G5" s="12">
        <v>145</v>
      </c>
    </row>
    <row r="8" spans="1:9" x14ac:dyDescent="0.2">
      <c r="A8" s="51" t="s">
        <v>115</v>
      </c>
      <c r="B8" s="51">
        <v>1</v>
      </c>
      <c r="C8" s="51">
        <v>2</v>
      </c>
      <c r="D8" s="51">
        <v>3</v>
      </c>
      <c r="E8" s="51">
        <v>4</v>
      </c>
      <c r="F8" s="51">
        <v>5</v>
      </c>
      <c r="G8" s="51">
        <v>6</v>
      </c>
      <c r="H8" s="38"/>
    </row>
    <row r="9" spans="1:9" x14ac:dyDescent="0.2">
      <c r="A9" s="52" t="s">
        <v>116</v>
      </c>
      <c r="B9" s="52">
        <v>70</v>
      </c>
      <c r="C9" s="53">
        <f>B13</f>
        <v>0</v>
      </c>
      <c r="D9" s="53">
        <f>B12</f>
        <v>70</v>
      </c>
      <c r="E9" s="53">
        <f>C12</f>
        <v>0</v>
      </c>
      <c r="F9" s="53">
        <f>D12</f>
        <v>70</v>
      </c>
      <c r="G9" s="53">
        <f>E12</f>
        <v>0</v>
      </c>
      <c r="I9" s="39"/>
    </row>
    <row r="10" spans="1:9" x14ac:dyDescent="0.2">
      <c r="A10" s="52" t="s">
        <v>122</v>
      </c>
      <c r="B10" s="52">
        <v>0</v>
      </c>
      <c r="C10" s="52">
        <v>0</v>
      </c>
      <c r="D10" s="52">
        <v>0</v>
      </c>
      <c r="E10" s="52">
        <v>0</v>
      </c>
      <c r="F10" s="52">
        <v>0</v>
      </c>
      <c r="G10" s="52">
        <v>0</v>
      </c>
      <c r="I10" s="39"/>
    </row>
    <row r="11" spans="1:9" x14ac:dyDescent="0.2">
      <c r="A11" t="s">
        <v>129</v>
      </c>
      <c r="B11">
        <v>70</v>
      </c>
      <c r="C11">
        <v>0</v>
      </c>
      <c r="D11">
        <v>70</v>
      </c>
      <c r="E11">
        <v>0</v>
      </c>
      <c r="F11">
        <v>70</v>
      </c>
      <c r="G11">
        <v>0</v>
      </c>
      <c r="I11" s="39"/>
    </row>
    <row r="12" spans="1:9" x14ac:dyDescent="0.2">
      <c r="A12" s="52" t="s">
        <v>123</v>
      </c>
      <c r="B12" s="52">
        <v>70</v>
      </c>
      <c r="C12" s="52">
        <v>0</v>
      </c>
      <c r="D12" s="52">
        <v>70</v>
      </c>
      <c r="E12" s="52">
        <v>0</v>
      </c>
      <c r="F12" s="52">
        <v>70</v>
      </c>
      <c r="G12" s="52">
        <v>0</v>
      </c>
      <c r="I12" s="39"/>
    </row>
    <row r="13" spans="1:9" x14ac:dyDescent="0.2">
      <c r="A13" s="51" t="s">
        <v>124</v>
      </c>
      <c r="B13" s="53">
        <f t="shared" ref="B13:G13" si="0">B9+B10-B12</f>
        <v>0</v>
      </c>
      <c r="C13" s="53">
        <f t="shared" si="0"/>
        <v>0</v>
      </c>
      <c r="D13" s="53">
        <f t="shared" si="0"/>
        <v>0</v>
      </c>
      <c r="E13" s="53">
        <f t="shared" si="0"/>
        <v>0</v>
      </c>
      <c r="F13" s="53">
        <f t="shared" si="0"/>
        <v>0</v>
      </c>
      <c r="G13" s="53">
        <f t="shared" si="0"/>
        <v>0</v>
      </c>
    </row>
    <row r="15" spans="1:9" x14ac:dyDescent="0.2">
      <c r="A15" s="38" t="s">
        <v>117</v>
      </c>
      <c r="B15" s="39"/>
      <c r="C15" s="39"/>
      <c r="D15" s="39"/>
      <c r="E15" s="39"/>
      <c r="F15" s="39"/>
      <c r="G15" s="39"/>
      <c r="H15" s="39"/>
    </row>
    <row r="16" spans="1:9" x14ac:dyDescent="0.2">
      <c r="A16" s="39" t="s">
        <v>44</v>
      </c>
      <c r="B16" s="49">
        <v>135</v>
      </c>
      <c r="C16" s="49">
        <v>110</v>
      </c>
      <c r="D16" s="49">
        <v>150</v>
      </c>
      <c r="E16" s="49">
        <v>175</v>
      </c>
      <c r="F16" s="49">
        <v>130</v>
      </c>
      <c r="G16" s="49">
        <v>145</v>
      </c>
      <c r="H16" s="39"/>
    </row>
    <row r="17" spans="1:8" x14ac:dyDescent="0.2">
      <c r="A17" s="39"/>
      <c r="B17" s="39"/>
      <c r="C17" s="39"/>
      <c r="D17" s="39"/>
      <c r="E17" s="39"/>
      <c r="F17" s="39"/>
      <c r="G17" s="39"/>
      <c r="H17" s="39"/>
    </row>
    <row r="18" spans="1:8" x14ac:dyDescent="0.2">
      <c r="A18" s="39" t="s">
        <v>118</v>
      </c>
      <c r="B18" s="50">
        <f t="shared" ref="B18:G18" si="1">B16*B12</f>
        <v>9450</v>
      </c>
      <c r="C18" s="50">
        <f t="shared" si="1"/>
        <v>0</v>
      </c>
      <c r="D18" s="50">
        <f t="shared" si="1"/>
        <v>10500</v>
      </c>
      <c r="E18" s="50">
        <f t="shared" si="1"/>
        <v>0</v>
      </c>
      <c r="F18" s="50">
        <f t="shared" si="1"/>
        <v>9100</v>
      </c>
      <c r="G18" s="50">
        <f t="shared" si="1"/>
        <v>0</v>
      </c>
    </row>
    <row r="19" spans="1:8" x14ac:dyDescent="0.2">
      <c r="A19" s="39" t="s">
        <v>119</v>
      </c>
      <c r="B19" s="50">
        <f>B15*B10</f>
        <v>0</v>
      </c>
      <c r="C19" s="50">
        <f t="shared" ref="C19:G19" si="2">C15*C10</f>
        <v>0</v>
      </c>
      <c r="D19" s="50">
        <f t="shared" si="2"/>
        <v>0</v>
      </c>
      <c r="E19" s="50">
        <f t="shared" si="2"/>
        <v>0</v>
      </c>
      <c r="F19" s="50">
        <f t="shared" si="2"/>
        <v>0</v>
      </c>
      <c r="G19" s="50">
        <f t="shared" si="2"/>
        <v>0</v>
      </c>
    </row>
    <row r="20" spans="1:8" x14ac:dyDescent="0.2">
      <c r="A20" s="39" t="s">
        <v>120</v>
      </c>
      <c r="B20" s="50">
        <f t="shared" ref="B20:G20" si="3">10*(B9+B13)/2</f>
        <v>350</v>
      </c>
      <c r="C20" s="50">
        <f t="shared" si="3"/>
        <v>0</v>
      </c>
      <c r="D20" s="50">
        <f t="shared" si="3"/>
        <v>350</v>
      </c>
      <c r="E20" s="50">
        <f t="shared" si="3"/>
        <v>0</v>
      </c>
      <c r="F20" s="50">
        <f t="shared" si="3"/>
        <v>350</v>
      </c>
      <c r="G20" s="50">
        <f t="shared" si="3"/>
        <v>0</v>
      </c>
      <c r="H20" s="39"/>
    </row>
    <row r="21" spans="1:8" x14ac:dyDescent="0.2">
      <c r="A21" s="39"/>
      <c r="B21" s="39"/>
      <c r="C21" s="39"/>
      <c r="D21" s="39"/>
      <c r="E21" s="39"/>
      <c r="F21" s="39"/>
      <c r="G21" s="39"/>
      <c r="H21" s="39"/>
    </row>
    <row r="22" spans="1:8" x14ac:dyDescent="0.2">
      <c r="A22" s="38" t="s">
        <v>121</v>
      </c>
      <c r="B22" s="50"/>
      <c r="C22" s="50">
        <f>B18-B19-B20</f>
        <v>9100</v>
      </c>
      <c r="D22" s="50">
        <f t="shared" ref="D22:G22" si="4">C18-C19-C20</f>
        <v>0</v>
      </c>
      <c r="E22" s="50">
        <f t="shared" si="4"/>
        <v>10150</v>
      </c>
      <c r="F22" s="50">
        <f>E18-E19-E20</f>
        <v>0</v>
      </c>
      <c r="G22" s="50">
        <f t="shared" si="4"/>
        <v>8750</v>
      </c>
    </row>
    <row r="24" spans="1:8" ht="16" x14ac:dyDescent="0.2">
      <c r="A24" s="40" t="s">
        <v>125</v>
      </c>
      <c r="B24" s="40" t="s">
        <v>126</v>
      </c>
      <c r="C24" s="40" t="s">
        <v>127</v>
      </c>
      <c r="D24" s="55" t="s">
        <v>128</v>
      </c>
    </row>
    <row r="25" spans="1:8" x14ac:dyDescent="0.2">
      <c r="A25" s="50">
        <f>SUMPRODUCT(B16:G16, B12:G12)</f>
        <v>29050</v>
      </c>
      <c r="B25" s="48">
        <f>SUMPRODUCT(B16:G16, B10:G10)</f>
        <v>0</v>
      </c>
      <c r="C25" s="48">
        <f>SUM(B20:G20)</f>
        <v>1050</v>
      </c>
      <c r="D25" s="54">
        <f>A25-B25-C25</f>
        <v>28000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9292-487F-4786-98A0-3B0083FBE20F}">
  <dimension ref="A4:H14"/>
  <sheetViews>
    <sheetView tabSelected="1" workbookViewId="0">
      <selection activeCell="F18" sqref="F18"/>
    </sheetView>
  </sheetViews>
  <sheetFormatPr baseColWidth="10" defaultColWidth="8.83203125" defaultRowHeight="15" x14ac:dyDescent="0.2"/>
  <cols>
    <col min="1" max="1" width="10.1640625" style="1" bestFit="1" customWidth="1"/>
    <col min="2" max="2" width="13.6640625" style="1" bestFit="1" customWidth="1"/>
    <col min="3" max="3" width="11.1640625" style="1" bestFit="1" customWidth="1"/>
    <col min="4" max="4" width="12.1640625" style="1" bestFit="1" customWidth="1"/>
    <col min="5" max="6" width="8.83203125" style="1"/>
    <col min="7" max="7" width="12.6640625" style="1" bestFit="1" customWidth="1"/>
    <col min="8" max="16384" width="8.83203125" style="1"/>
  </cols>
  <sheetData>
    <row r="4" spans="1:8" ht="16" thickBot="1" x14ac:dyDescent="0.25">
      <c r="A4" s="9" t="s">
        <v>34</v>
      </c>
      <c r="B4" s="1" t="s">
        <v>138</v>
      </c>
      <c r="C4" s="1" t="s">
        <v>139</v>
      </c>
      <c r="D4" s="1" t="s">
        <v>140</v>
      </c>
      <c r="E4" s="9">
        <v>1</v>
      </c>
      <c r="F4" s="9">
        <v>2</v>
      </c>
      <c r="G4" s="9">
        <v>3</v>
      </c>
      <c r="H4" s="9">
        <v>4</v>
      </c>
    </row>
    <row r="5" spans="1:8" x14ac:dyDescent="0.2">
      <c r="A5" s="10" t="s">
        <v>35</v>
      </c>
      <c r="B5" s="73">
        <v>500000</v>
      </c>
      <c r="C5" s="73">
        <v>0</v>
      </c>
      <c r="D5" s="73">
        <v>500000</v>
      </c>
      <c r="E5" s="10">
        <v>-1</v>
      </c>
      <c r="F5" s="10">
        <v>0.5</v>
      </c>
      <c r="G5" s="10">
        <v>0.8</v>
      </c>
      <c r="H5" s="10"/>
    </row>
    <row r="6" spans="1:8" x14ac:dyDescent="0.2">
      <c r="A6" s="10" t="s">
        <v>36</v>
      </c>
      <c r="B6" s="73">
        <v>254000</v>
      </c>
      <c r="C6" s="73">
        <v>0</v>
      </c>
      <c r="D6" s="73">
        <v>500000</v>
      </c>
      <c r="E6" s="10"/>
      <c r="F6" s="10">
        <v>-1</v>
      </c>
      <c r="G6" s="72" t="s">
        <v>37</v>
      </c>
      <c r="H6" s="10">
        <v>1.25</v>
      </c>
    </row>
    <row r="7" spans="1:8" x14ac:dyDescent="0.2">
      <c r="A7" s="10" t="s">
        <v>38</v>
      </c>
      <c r="B7" s="73">
        <v>20078.740157480421</v>
      </c>
      <c r="C7" s="73">
        <v>0</v>
      </c>
      <c r="D7" s="73">
        <v>500000</v>
      </c>
      <c r="E7" s="10">
        <v>-1</v>
      </c>
      <c r="F7" s="72" t="s">
        <v>39</v>
      </c>
      <c r="G7" s="72" t="s">
        <v>40</v>
      </c>
      <c r="H7" s="10">
        <v>1.35</v>
      </c>
    </row>
    <row r="8" spans="1:8" x14ac:dyDescent="0.2">
      <c r="A8" s="10" t="s">
        <v>41</v>
      </c>
      <c r="B8" s="73">
        <v>500000</v>
      </c>
      <c r="C8" s="73">
        <v>0</v>
      </c>
      <c r="D8" s="73">
        <v>500000</v>
      </c>
      <c r="E8" s="10"/>
      <c r="F8" s="10"/>
      <c r="G8" s="10">
        <v>-1</v>
      </c>
      <c r="H8" s="10">
        <v>1.1299999999999999</v>
      </c>
    </row>
    <row r="9" spans="1:8" x14ac:dyDescent="0.2">
      <c r="A9" s="10" t="s">
        <v>42</v>
      </c>
      <c r="B9" s="73">
        <v>429921.25984251959</v>
      </c>
      <c r="C9" s="73">
        <v>0</v>
      </c>
      <c r="D9" s="73">
        <v>500000</v>
      </c>
      <c r="E9" s="10">
        <v>-1</v>
      </c>
      <c r="F9" s="72" t="s">
        <v>37</v>
      </c>
      <c r="G9" s="10">
        <v>1.27</v>
      </c>
      <c r="H9" s="10"/>
    </row>
    <row r="10" spans="1:8" x14ac:dyDescent="0.2">
      <c r="A10" s="10" t="s">
        <v>135</v>
      </c>
      <c r="B10" s="73">
        <v>50000</v>
      </c>
      <c r="C10" s="73">
        <v>50000</v>
      </c>
      <c r="D10" s="73">
        <v>500000</v>
      </c>
      <c r="E10" s="10">
        <v>-1</v>
      </c>
      <c r="F10" s="74">
        <v>1.08</v>
      </c>
    </row>
    <row r="11" spans="1:8" x14ac:dyDescent="0.2">
      <c r="A11" s="10" t="s">
        <v>136</v>
      </c>
      <c r="B11" s="73">
        <v>50000</v>
      </c>
      <c r="C11" s="73">
        <v>50000</v>
      </c>
      <c r="D11" s="73">
        <v>500000</v>
      </c>
      <c r="F11" s="1">
        <v>-1</v>
      </c>
      <c r="G11" s="74">
        <v>1.08</v>
      </c>
    </row>
    <row r="12" spans="1:8" x14ac:dyDescent="0.2">
      <c r="A12" s="10" t="s">
        <v>137</v>
      </c>
      <c r="B12" s="73">
        <v>500000</v>
      </c>
      <c r="C12" s="73">
        <v>50000</v>
      </c>
      <c r="D12" s="73">
        <v>500000</v>
      </c>
      <c r="G12" s="1">
        <v>-1</v>
      </c>
      <c r="H12" s="1">
        <v>1.08</v>
      </c>
    </row>
    <row r="13" spans="1:8" x14ac:dyDescent="0.2">
      <c r="D13" s="1" t="s">
        <v>141</v>
      </c>
      <c r="E13" s="1">
        <f>SUMPRODUCT($B$5:$B$12,E5:E12)</f>
        <v>-1000000</v>
      </c>
      <c r="F13" s="1">
        <f t="shared" ref="F13:H13" si="0">SUMPRODUCT($B$5:$B$12,F5:F12)</f>
        <v>0</v>
      </c>
      <c r="G13" s="1">
        <f>SUMPRODUCT($B$5:$B$12,G5:G12)</f>
        <v>-1.1641532182693481E-10</v>
      </c>
      <c r="H13" s="1">
        <f t="shared" si="0"/>
        <v>1449606.2992125987</v>
      </c>
    </row>
    <row r="14" spans="1:8" x14ac:dyDescent="0.2">
      <c r="D14" s="1" t="s">
        <v>142</v>
      </c>
      <c r="E14" s="1">
        <v>-1000000</v>
      </c>
      <c r="F14" s="1">
        <v>0</v>
      </c>
      <c r="G14" s="1">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#0</vt:lpstr>
      <vt:lpstr>#1</vt:lpstr>
      <vt:lpstr>#2</vt:lpstr>
      <vt:lpstr>#3</vt:lpstr>
      <vt:lpstr>#4</vt:lpstr>
    </vt:vector>
  </TitlesOfParts>
  <Company>Quinnipiac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Ceccucci, Wendy A. Prof.</dc:creator>
  <cp:lastModifiedBy>Khanna, Dhruva Navin</cp:lastModifiedBy>
  <dcterms:created xsi:type="dcterms:W3CDTF">2025-09-15T22:40:07Z</dcterms:created>
  <dcterms:modified xsi:type="dcterms:W3CDTF">2025-09-24T01:56:51Z</dcterms:modified>
</cp:coreProperties>
</file>