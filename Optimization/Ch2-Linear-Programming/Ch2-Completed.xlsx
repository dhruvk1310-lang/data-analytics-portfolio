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ink/ink1.xml" ContentType="application/inkml+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ink/ink2.xml" ContentType="application/inkml+xml"/>
  <Override PartName="/xl/ink/ink3.xml" ContentType="application/inkml+xml"/>
  <Override PartName="/xl/ink/ink4.xml" ContentType="application/inkml+xml"/>
  <Override PartName="/xl/ink/ink5.xml" ContentType="application/inkml+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dhruv/Desktop/OPTIMIZATION/"/>
    </mc:Choice>
  </mc:AlternateContent>
  <xr:revisionPtr revIDLastSave="0" documentId="13_ncr:1_{0F108E08-DBD7-1F43-9FAD-6C68859E6CD9}" xr6:coauthVersionLast="47" xr6:coauthVersionMax="47" xr10:uidLastSave="{00000000-0000-0000-0000-000000000000}"/>
  <bookViews>
    <workbookView xWindow="0" yWindow="740" windowWidth="29400" windowHeight="18380" activeTab="4" xr2:uid="{B84A0D70-AD39-429D-8BA7-65F2B5768FF1}"/>
  </bookViews>
  <sheets>
    <sheet name="#1" sheetId="1" r:id="rId1"/>
    <sheet name="#2" sheetId="2" r:id="rId2"/>
    <sheet name="#3" sheetId="3" r:id="rId3"/>
    <sheet name="#4" sheetId="4" r:id="rId4"/>
    <sheet name="#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8" i="5" l="1"/>
  <c r="L27" i="5"/>
  <c r="H31" i="2"/>
  <c r="G30" i="2"/>
  <c r="S25" i="2"/>
  <c r="F26" i="3"/>
  <c r="E25" i="3"/>
  <c r="F21" i="1"/>
  <c r="E20" i="1"/>
</calcChain>
</file>

<file path=xl/sharedStrings.xml><?xml version="1.0" encoding="utf-8"?>
<sst xmlns="http://schemas.openxmlformats.org/spreadsheetml/2006/main" count="38" uniqueCount="29">
  <si>
    <t>X1</t>
  </si>
  <si>
    <t>X2</t>
  </si>
  <si>
    <t>Constrain</t>
  </si>
  <si>
    <t>Leather</t>
  </si>
  <si>
    <t>Nylon</t>
  </si>
  <si>
    <t>Core</t>
  </si>
  <si>
    <t>Labor</t>
  </si>
  <si>
    <t>Stitching</t>
  </si>
  <si>
    <t>ISO-Profit</t>
  </si>
  <si>
    <t>Constrian</t>
  </si>
  <si>
    <t>legs</t>
  </si>
  <si>
    <t>rockers</t>
  </si>
  <si>
    <t>Short dowells</t>
  </si>
  <si>
    <t>long dowells</t>
  </si>
  <si>
    <t xml:space="preserve">100X1 + 100X2 </t>
  </si>
  <si>
    <t>100(50)+100(20)</t>
  </si>
  <si>
    <t>Max profit= 10X1 + 10X2</t>
  </si>
  <si>
    <t>10(50++10(50)</t>
  </si>
  <si>
    <t>500+500-=</t>
  </si>
  <si>
    <t>iso-Profit</t>
  </si>
  <si>
    <t>X1=130000</t>
  </si>
  <si>
    <t>X2=100000</t>
  </si>
  <si>
    <t>X1 + X2 &lt; = 120,000</t>
  </si>
  <si>
    <t>Constrains</t>
  </si>
  <si>
    <t>Constraint</t>
  </si>
  <si>
    <t>Total bikes </t>
  </si>
  <si>
    <t>Razor vs Zoomer</t>
  </si>
  <si>
    <t>Polymer </t>
  </si>
  <si>
    <t>Max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</si>
</sst>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rial"/>
      <family val="2"/>
    </font>
    <font>
      <sz val="11"/>
      <color theme="0"/>
      <name val="Aptos Narrow"/>
      <family val="2"/>
      <scheme val="minor"/>
    </font>
    <font>
      <sz val="11"/>
      <color rgb="FF000000"/>
      <name val="Aptos Narrow"/>
      <scheme val="minor"/>
    </font>
    <font>
      <sz val="10"/>
      <color theme="1"/>
      <name val="Arial"/>
      <family val="2"/>
    </font>
    <font>
      <i/>
      <sz val="11"/>
      <color theme="1"/>
      <name val="Arial"/>
      <family val="2"/>
    </font>
  </fonts>
  <fills count="19">
    <fill>
      <patternFill patternType="none"/>
    </fill>
    <fill>
      <patternFill patternType="gray125"/>
    </fill>
    <fill>
      <patternFill patternType="solid">
        <fgColor theme="2" tint="-9.9978637043366805E-2"/>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theme="3" tint="0.749992370372631"/>
        <bgColor indexed="64"/>
      </patternFill>
    </fill>
    <fill>
      <patternFill patternType="solid">
        <fgColor theme="3" tint="0.49998474074526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69">
    <xf numFmtId="0" fontId="0" fillId="0" borderId="0" xfId="0"/>
    <xf numFmtId="0" fontId="0" fillId="0" borderId="0" xfId="0" applyAlignment="1">
      <alignment horizontal="center"/>
    </xf>
    <xf numFmtId="0" fontId="1" fillId="0" borderId="0" xfId="0" applyFont="1" applyAlignment="1">
      <alignment horizontal="center" vertical="center"/>
    </xf>
    <xf numFmtId="0" fontId="1" fillId="0" borderId="0" xfId="0" applyFont="1"/>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8" borderId="1"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0" fontId="2" fillId="9" borderId="2" xfId="0" applyFont="1" applyFill="1" applyBorder="1" applyAlignment="1">
      <alignment horizontal="center" vertical="center"/>
    </xf>
    <xf numFmtId="0" fontId="2" fillId="9" borderId="3" xfId="0" applyFont="1" applyFill="1" applyBorder="1" applyAlignment="1">
      <alignment horizontal="center" vertical="center"/>
    </xf>
    <xf numFmtId="0" fontId="2" fillId="9" borderId="5" xfId="0" applyFont="1" applyFill="1" applyBorder="1" applyAlignment="1">
      <alignment horizontal="center" vertical="center"/>
    </xf>
    <xf numFmtId="0" fontId="2" fillId="9" borderId="6" xfId="0" applyFont="1" applyFill="1" applyBorder="1" applyAlignment="1">
      <alignment horizontal="center" vertical="center"/>
    </xf>
    <xf numFmtId="0" fontId="2" fillId="10" borderId="2" xfId="0" applyFont="1" applyFill="1" applyBorder="1" applyAlignment="1">
      <alignment horizontal="center" vertical="center"/>
    </xf>
    <xf numFmtId="0" fontId="2" fillId="10" borderId="3" xfId="0" applyFont="1" applyFill="1" applyBorder="1" applyAlignment="1">
      <alignment horizontal="center" vertical="center"/>
    </xf>
    <xf numFmtId="0" fontId="2" fillId="10" borderId="5" xfId="0" applyFont="1" applyFill="1" applyBorder="1" applyAlignment="1">
      <alignment horizontal="center" vertical="center"/>
    </xf>
    <xf numFmtId="0" fontId="2" fillId="10" borderId="6" xfId="0" applyFont="1" applyFill="1" applyBorder="1" applyAlignment="1">
      <alignment horizontal="center" vertical="center"/>
    </xf>
    <xf numFmtId="0" fontId="2" fillId="11" borderId="2" xfId="0" applyFont="1" applyFill="1" applyBorder="1" applyAlignment="1">
      <alignment horizontal="center" vertical="center"/>
    </xf>
    <xf numFmtId="0" fontId="2" fillId="11" borderId="3" xfId="0" applyFont="1" applyFill="1" applyBorder="1" applyAlignment="1">
      <alignment horizontal="center" vertical="center"/>
    </xf>
    <xf numFmtId="0" fontId="2" fillId="11" borderId="5" xfId="0" applyFont="1" applyFill="1" applyBorder="1" applyAlignment="1">
      <alignment horizontal="center" vertical="center"/>
    </xf>
    <xf numFmtId="0" fontId="2" fillId="11" borderId="6" xfId="0" applyFont="1" applyFill="1" applyBorder="1" applyAlignment="1">
      <alignment horizontal="center" vertical="center"/>
    </xf>
    <xf numFmtId="0" fontId="2" fillId="12" borderId="2" xfId="0" applyFont="1" applyFill="1" applyBorder="1" applyAlignment="1">
      <alignment horizontal="center" vertical="center"/>
    </xf>
    <xf numFmtId="0" fontId="2" fillId="12" borderId="3" xfId="0" applyFont="1" applyFill="1" applyBorder="1" applyAlignment="1">
      <alignment horizontal="center" vertical="center"/>
    </xf>
    <xf numFmtId="0" fontId="2" fillId="12" borderId="5" xfId="0" applyFont="1" applyFill="1" applyBorder="1" applyAlignment="1">
      <alignment horizontal="center" vertical="center"/>
    </xf>
    <xf numFmtId="0" fontId="2" fillId="12" borderId="6" xfId="0" applyFont="1" applyFill="1" applyBorder="1" applyAlignment="1">
      <alignment horizontal="center" vertical="center"/>
    </xf>
    <xf numFmtId="0" fontId="3" fillId="0" borderId="0" xfId="0" applyFont="1"/>
    <xf numFmtId="0" fontId="2" fillId="13" borderId="0" xfId="0" applyFont="1" applyFill="1" applyAlignment="1">
      <alignment horizontal="center" vertical="center"/>
    </xf>
    <xf numFmtId="0" fontId="4" fillId="0" borderId="1" xfId="0" applyFont="1" applyBorder="1" applyAlignment="1">
      <alignment horizontal="center"/>
    </xf>
    <xf numFmtId="0" fontId="0" fillId="0" borderId="1" xfId="0" applyBorder="1"/>
    <xf numFmtId="3" fontId="4" fillId="3" borderId="1" xfId="0" applyNumberFormat="1" applyFont="1" applyFill="1" applyBorder="1" applyAlignment="1">
      <alignment horizontal="center"/>
    </xf>
    <xf numFmtId="0" fontId="4" fillId="3" borderId="1" xfId="0" applyFont="1" applyFill="1" applyBorder="1" applyAlignment="1">
      <alignment horizontal="center"/>
    </xf>
    <xf numFmtId="0" fontId="4" fillId="13" borderId="1" xfId="0" applyFont="1" applyFill="1" applyBorder="1" applyAlignment="1">
      <alignment horizontal="center"/>
    </xf>
    <xf numFmtId="3" fontId="4" fillId="13" borderId="1" xfId="0" applyNumberFormat="1" applyFont="1" applyFill="1" applyBorder="1" applyAlignment="1">
      <alignment horizontal="center"/>
    </xf>
    <xf numFmtId="3" fontId="4" fillId="14" borderId="1" xfId="0" applyNumberFormat="1" applyFont="1" applyFill="1" applyBorder="1" applyAlignment="1">
      <alignment horizontal="center"/>
    </xf>
    <xf numFmtId="0" fontId="4" fillId="14" borderId="1" xfId="0" applyFont="1" applyFill="1" applyBorder="1" applyAlignment="1">
      <alignment horizontal="center"/>
    </xf>
    <xf numFmtId="0" fontId="5" fillId="18" borderId="1" xfId="0" applyFont="1" applyFill="1" applyBorder="1" applyAlignment="1">
      <alignment horizontal="center"/>
    </xf>
    <xf numFmtId="0" fontId="1" fillId="18" borderId="1" xfId="0" applyFont="1" applyFill="1" applyBorder="1" applyAlignment="1">
      <alignment horizontal="center"/>
    </xf>
    <xf numFmtId="0" fontId="1" fillId="5" borderId="1" xfId="0" applyFont="1" applyFill="1" applyBorder="1" applyAlignment="1">
      <alignment horizontal="center"/>
    </xf>
    <xf numFmtId="0" fontId="1" fillId="15" borderId="1" xfId="0" applyFont="1" applyFill="1" applyBorder="1" applyAlignment="1">
      <alignment horizontal="center"/>
    </xf>
    <xf numFmtId="0" fontId="1" fillId="16" borderId="1" xfId="0" applyFont="1" applyFill="1" applyBorder="1" applyAlignment="1">
      <alignment horizontal="center"/>
    </xf>
    <xf numFmtId="0" fontId="1" fillId="17" borderId="1" xfId="0" applyFont="1" applyFill="1" applyBorder="1" applyAlignment="1">
      <alignment horizontal="center"/>
    </xf>
    <xf numFmtId="0" fontId="1" fillId="8"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2" fillId="9" borderId="4" xfId="0" applyFont="1" applyFill="1" applyBorder="1" applyAlignment="1">
      <alignment horizontal="center" vertical="center"/>
    </xf>
    <xf numFmtId="0" fontId="2" fillId="9" borderId="7" xfId="0" applyFont="1" applyFill="1" applyBorder="1" applyAlignment="1">
      <alignment horizontal="center" vertical="center"/>
    </xf>
    <xf numFmtId="0" fontId="2" fillId="10" borderId="4" xfId="0" applyFont="1" applyFill="1" applyBorder="1" applyAlignment="1">
      <alignment horizontal="center" vertical="center"/>
    </xf>
    <xf numFmtId="0" fontId="2" fillId="10" borderId="7" xfId="0" applyFont="1" applyFill="1" applyBorder="1" applyAlignment="1">
      <alignment horizontal="center" vertical="center"/>
    </xf>
    <xf numFmtId="0" fontId="2" fillId="12" borderId="4" xfId="0" applyFont="1" applyFill="1" applyBorder="1" applyAlignment="1">
      <alignment horizontal="center" vertical="center"/>
    </xf>
    <xf numFmtId="0" fontId="2" fillId="12" borderId="7" xfId="0" applyFont="1" applyFill="1" applyBorder="1" applyAlignment="1">
      <alignment horizontal="center" vertical="center"/>
    </xf>
    <xf numFmtId="0" fontId="2" fillId="11" borderId="4" xfId="0" applyFont="1" applyFill="1" applyBorder="1" applyAlignment="1">
      <alignment horizontal="center" vertical="center"/>
    </xf>
    <xf numFmtId="0" fontId="2" fillId="11" borderId="7" xfId="0" applyFont="1" applyFill="1" applyBorder="1" applyAlignment="1">
      <alignment horizontal="center" vertical="center"/>
    </xf>
    <xf numFmtId="0" fontId="2" fillId="13" borderId="3" xfId="0" applyFont="1" applyFill="1" applyBorder="1" applyAlignment="1">
      <alignment horizontal="center" vertical="center"/>
    </xf>
    <xf numFmtId="0" fontId="2" fillId="13" borderId="0" xfId="0" applyFont="1" applyFill="1" applyAlignment="1">
      <alignment horizontal="center" vertical="center"/>
    </xf>
    <xf numFmtId="0" fontId="0" fillId="3" borderId="11" xfId="0" applyFill="1" applyBorder="1" applyAlignment="1">
      <alignment horizontal="center" vertical="center"/>
    </xf>
    <xf numFmtId="0" fontId="0" fillId="3" borderId="12" xfId="0" applyFill="1" applyBorder="1" applyAlignment="1">
      <alignment horizontal="center" vertical="center"/>
    </xf>
    <xf numFmtId="0" fontId="0" fillId="13" borderId="1" xfId="0" applyFill="1" applyBorder="1" applyAlignment="1">
      <alignment horizontal="center" vertical="center"/>
    </xf>
    <xf numFmtId="0" fontId="0" fillId="14" borderId="1" xfId="0" applyFill="1" applyBorder="1" applyAlignment="1">
      <alignment horizontal="center" vertical="center"/>
    </xf>
    <xf numFmtId="0" fontId="1" fillId="15" borderId="1" xfId="0" applyFont="1" applyFill="1" applyBorder="1" applyAlignment="1">
      <alignment horizontal="center" vertical="center"/>
    </xf>
    <xf numFmtId="0" fontId="1" fillId="16" borderId="1" xfId="0" applyFont="1" applyFill="1" applyBorder="1" applyAlignment="1">
      <alignment horizontal="center" vertical="center"/>
    </xf>
    <xf numFmtId="0" fontId="1" fillId="17"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1</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'#1'!$E$14:$E$15</c:f>
              <c:numCache>
                <c:formatCode>General</c:formatCode>
                <c:ptCount val="2"/>
                <c:pt idx="0">
                  <c:v>0</c:v>
                </c:pt>
                <c:pt idx="1">
                  <c:v>160</c:v>
                </c:pt>
              </c:numCache>
            </c:numRef>
          </c:xVal>
          <c:yVal>
            <c:numRef>
              <c:f>'#1'!$F$14:$F$15</c:f>
              <c:numCache>
                <c:formatCode>General</c:formatCode>
                <c:ptCount val="2"/>
                <c:pt idx="0">
                  <c:v>160</c:v>
                </c:pt>
                <c:pt idx="1">
                  <c:v>0</c:v>
                </c:pt>
              </c:numCache>
            </c:numRef>
          </c:yVal>
          <c:smooth val="0"/>
          <c:extLst>
            <c:ext xmlns:c16="http://schemas.microsoft.com/office/drawing/2014/chart" uri="{C3380CC4-5D6E-409C-BE32-E72D297353CC}">
              <c16:uniqueId val="{00000000-8B61-6943-838B-A4438B87057D}"/>
            </c:ext>
          </c:extLst>
        </c:ser>
        <c:ser>
          <c:idx val="1"/>
          <c:order val="1"/>
          <c:tx>
            <c:v>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'#1'!$E$16:$E$17</c:f>
              <c:numCache>
                <c:formatCode>General</c:formatCode>
                <c:ptCount val="2"/>
                <c:pt idx="0">
                  <c:v>0</c:v>
                </c:pt>
                <c:pt idx="1">
                  <c:v>80</c:v>
                </c:pt>
              </c:numCache>
            </c:numRef>
          </c:xVal>
          <c:yVal>
            <c:numRef>
              <c:f>'#1'!$F$16:$F$17</c:f>
              <c:numCache>
                <c:formatCode>General</c:formatCode>
                <c:ptCount val="2"/>
                <c:pt idx="0">
                  <c:v>160</c:v>
                </c:pt>
                <c:pt idx="1">
                  <c:v>0</c:v>
                </c:pt>
              </c:numCache>
            </c:numRef>
          </c:yVal>
          <c:smooth val="0"/>
          <c:extLst>
            <c:ext xmlns:c16="http://schemas.microsoft.com/office/drawing/2014/chart" uri="{C3380CC4-5D6E-409C-BE32-E72D297353CC}">
              <c16:uniqueId val="{00000001-8B61-6943-838B-A4438B87057D}"/>
            </c:ext>
          </c:extLst>
        </c:ser>
        <c:ser>
          <c:idx val="2"/>
          <c:order val="2"/>
          <c:tx>
            <c:v>3</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'#1'!$E$18:$E$19</c:f>
              <c:numCache>
                <c:formatCode>General</c:formatCode>
                <c:ptCount val="2"/>
                <c:pt idx="0">
                  <c:v>0</c:v>
                </c:pt>
                <c:pt idx="1">
                  <c:v>100</c:v>
                </c:pt>
              </c:numCache>
            </c:numRef>
          </c:xVal>
          <c:yVal>
            <c:numRef>
              <c:f>'#1'!$F$18:$F$19</c:f>
              <c:numCache>
                <c:formatCode>General</c:formatCode>
                <c:ptCount val="2"/>
                <c:pt idx="0">
                  <c:v>100</c:v>
                </c:pt>
                <c:pt idx="1">
                  <c:v>0</c:v>
                </c:pt>
              </c:numCache>
            </c:numRef>
          </c:yVal>
          <c:smooth val="0"/>
          <c:extLst>
            <c:ext xmlns:c16="http://schemas.microsoft.com/office/drawing/2014/chart" uri="{C3380CC4-5D6E-409C-BE32-E72D297353CC}">
              <c16:uniqueId val="{00000002-8B61-6943-838B-A4438B87057D}"/>
            </c:ext>
          </c:extLst>
        </c:ser>
        <c:ser>
          <c:idx val="3"/>
          <c:order val="3"/>
          <c:tx>
            <c:v>ISO-PROFIT</c:v>
          </c:tx>
          <c:spPr>
            <a:ln w="19050" cap="rnd">
              <a:solidFill>
                <a:schemeClr val="accent4"/>
              </a:solidFill>
              <a:round/>
            </a:ln>
            <a:effectLst/>
          </c:spPr>
          <c:marker>
            <c:symbol val="circle"/>
            <c:size val="5"/>
            <c:spPr>
              <a:solidFill>
                <a:schemeClr val="accent4"/>
              </a:solidFill>
              <a:ln w="9525">
                <a:solidFill>
                  <a:schemeClr val="accent4"/>
                </a:solidFill>
              </a:ln>
              <a:effectLst/>
            </c:spPr>
          </c:marker>
          <c:dPt>
            <c:idx val="1"/>
            <c:marker>
              <c:symbol val="circle"/>
              <c:size val="5"/>
              <c:spPr>
                <a:solidFill>
                  <a:schemeClr val="accent4"/>
                </a:solidFill>
                <a:ln w="9525">
                  <a:solidFill>
                    <a:schemeClr val="accent4"/>
                  </a:solidFill>
                </a:ln>
                <a:effectLst/>
              </c:spPr>
            </c:marker>
            <c:bubble3D val="0"/>
            <c:spPr>
              <a:ln w="19050" cap="rnd">
                <a:solidFill>
                  <a:schemeClr val="accent4"/>
                </a:solidFill>
                <a:prstDash val="sysDash"/>
                <a:round/>
              </a:ln>
              <a:effectLst/>
            </c:spPr>
            <c:extLst>
              <c:ext xmlns:c16="http://schemas.microsoft.com/office/drawing/2014/chart" uri="{C3380CC4-5D6E-409C-BE32-E72D297353CC}">
                <c16:uniqueId val="{00000004-8B61-6943-838B-A4438B87057D}"/>
              </c:ext>
            </c:extLst>
          </c:dPt>
          <c:xVal>
            <c:numRef>
              <c:f>'#1'!$E$20:$E$21</c:f>
              <c:numCache>
                <c:formatCode>General</c:formatCode>
                <c:ptCount val="2"/>
                <c:pt idx="0">
                  <c:v>100</c:v>
                </c:pt>
                <c:pt idx="1">
                  <c:v>0</c:v>
                </c:pt>
              </c:numCache>
            </c:numRef>
          </c:xVal>
          <c:yVal>
            <c:numRef>
              <c:f>'#1'!$F$20:$F$21</c:f>
              <c:numCache>
                <c:formatCode>General</c:formatCode>
                <c:ptCount val="2"/>
                <c:pt idx="0">
                  <c:v>0</c:v>
                </c:pt>
                <c:pt idx="1">
                  <c:v>100</c:v>
                </c:pt>
              </c:numCache>
            </c:numRef>
          </c:yVal>
          <c:smooth val="0"/>
          <c:extLst>
            <c:ext xmlns:c16="http://schemas.microsoft.com/office/drawing/2014/chart" uri="{C3380CC4-5D6E-409C-BE32-E72D297353CC}">
              <c16:uniqueId val="{00000003-8B61-6943-838B-A4438B87057D}"/>
            </c:ext>
          </c:extLst>
        </c:ser>
        <c:dLbls>
          <c:showLegendKey val="0"/>
          <c:showVal val="0"/>
          <c:showCatName val="0"/>
          <c:showSerName val="0"/>
          <c:showPercent val="0"/>
          <c:showBubbleSize val="0"/>
        </c:dLbls>
        <c:axId val="1618498671"/>
        <c:axId val="1618536111"/>
      </c:scatterChart>
      <c:valAx>
        <c:axId val="1618498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536111"/>
        <c:crosses val="autoZero"/>
        <c:crossBetween val="midCat"/>
      </c:valAx>
      <c:valAx>
        <c:axId val="1618536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49867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Leather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'#2'!$G$20:$G$21</c:f>
              <c:numCache>
                <c:formatCode>General</c:formatCode>
                <c:ptCount val="2"/>
                <c:pt idx="0">
                  <c:v>1200</c:v>
                </c:pt>
                <c:pt idx="1">
                  <c:v>0</c:v>
                </c:pt>
              </c:numCache>
            </c:numRef>
          </c:xVal>
          <c:yVal>
            <c:numRef>
              <c:f>'#2'!$H$20:$H$21</c:f>
              <c:numCache>
                <c:formatCode>General</c:formatCode>
                <c:ptCount val="2"/>
                <c:pt idx="0">
                  <c:v>0</c:v>
                </c:pt>
                <c:pt idx="1">
                  <c:v>1500</c:v>
                </c:pt>
              </c:numCache>
            </c:numRef>
          </c:yVal>
          <c:smooth val="0"/>
          <c:extLst>
            <c:ext xmlns:c16="http://schemas.microsoft.com/office/drawing/2014/chart" uri="{C3380CC4-5D6E-409C-BE32-E72D297353CC}">
              <c16:uniqueId val="{00000001-E94C-A84F-B5FC-09BDE6D72F98}"/>
            </c:ext>
          </c:extLst>
        </c:ser>
        <c:ser>
          <c:idx val="1"/>
          <c:order val="1"/>
          <c:tx>
            <c:v>Nylon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'#2'!$G$22:$G$23</c:f>
              <c:numCache>
                <c:formatCode>General</c:formatCode>
                <c:ptCount val="2"/>
                <c:pt idx="0">
                  <c:v>900</c:v>
                </c:pt>
                <c:pt idx="1">
                  <c:v>0</c:v>
                </c:pt>
              </c:numCache>
            </c:numRef>
          </c:xVal>
          <c:yVal>
            <c:numRef>
              <c:f>'#2'!$H$22:$H$23</c:f>
              <c:numCache>
                <c:formatCode>General</c:formatCode>
                <c:ptCount val="2"/>
                <c:pt idx="0">
                  <c:v>0</c:v>
                </c:pt>
                <c:pt idx="1">
                  <c:v>1800</c:v>
                </c:pt>
              </c:numCache>
            </c:numRef>
          </c:yVal>
          <c:smooth val="0"/>
          <c:extLst>
            <c:ext xmlns:c16="http://schemas.microsoft.com/office/drawing/2014/chart" uri="{C3380CC4-5D6E-409C-BE32-E72D297353CC}">
              <c16:uniqueId val="{00000003-E94C-A84F-B5FC-09BDE6D72F98}"/>
            </c:ext>
          </c:extLst>
        </c:ser>
        <c:ser>
          <c:idx val="2"/>
          <c:order val="2"/>
          <c:tx>
            <c:v>Core</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'#2'!$G$24:$G$25</c:f>
              <c:numCache>
                <c:formatCode>General</c:formatCode>
                <c:ptCount val="2"/>
                <c:pt idx="0">
                  <c:v>1000</c:v>
                </c:pt>
                <c:pt idx="1">
                  <c:v>0</c:v>
                </c:pt>
              </c:numCache>
            </c:numRef>
          </c:xVal>
          <c:yVal>
            <c:numRef>
              <c:f>'#2'!$H$24:$H$25</c:f>
              <c:numCache>
                <c:formatCode>General</c:formatCode>
                <c:ptCount val="2"/>
                <c:pt idx="0">
                  <c:v>0</c:v>
                </c:pt>
                <c:pt idx="1">
                  <c:v>2000</c:v>
                </c:pt>
              </c:numCache>
            </c:numRef>
          </c:yVal>
          <c:smooth val="0"/>
          <c:extLst>
            <c:ext xmlns:c16="http://schemas.microsoft.com/office/drawing/2014/chart" uri="{C3380CC4-5D6E-409C-BE32-E72D297353CC}">
              <c16:uniqueId val="{00000004-E94C-A84F-B5FC-09BDE6D72F98}"/>
            </c:ext>
          </c:extLst>
        </c:ser>
        <c:ser>
          <c:idx val="3"/>
          <c:order val="3"/>
          <c:tx>
            <c:v>Labor</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'#2'!$G$26:$G$27</c:f>
              <c:numCache>
                <c:formatCode>General</c:formatCode>
                <c:ptCount val="2"/>
                <c:pt idx="0">
                  <c:v>1400</c:v>
                </c:pt>
                <c:pt idx="1">
                  <c:v>0</c:v>
                </c:pt>
              </c:numCache>
            </c:numRef>
          </c:xVal>
          <c:yVal>
            <c:numRef>
              <c:f>'#2'!$H$26:$H$27</c:f>
              <c:numCache>
                <c:formatCode>General</c:formatCode>
                <c:ptCount val="2"/>
                <c:pt idx="0">
                  <c:v>0</c:v>
                </c:pt>
                <c:pt idx="1">
                  <c:v>1750</c:v>
                </c:pt>
              </c:numCache>
            </c:numRef>
          </c:yVal>
          <c:smooth val="0"/>
          <c:extLst>
            <c:ext xmlns:c16="http://schemas.microsoft.com/office/drawing/2014/chart" uri="{C3380CC4-5D6E-409C-BE32-E72D297353CC}">
              <c16:uniqueId val="{00000005-E94C-A84F-B5FC-09BDE6D72F98}"/>
            </c:ext>
          </c:extLst>
        </c:ser>
        <c:ser>
          <c:idx val="4"/>
          <c:order val="4"/>
          <c:tx>
            <c:v>Stitching</c:v>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'#2'!$G$28:$G$29</c:f>
              <c:numCache>
                <c:formatCode>General</c:formatCode>
                <c:ptCount val="2"/>
                <c:pt idx="0">
                  <c:v>1500</c:v>
                </c:pt>
                <c:pt idx="1">
                  <c:v>0</c:v>
                </c:pt>
              </c:numCache>
            </c:numRef>
          </c:xVal>
          <c:yVal>
            <c:numRef>
              <c:f>'#2'!$H$28:$H$29</c:f>
              <c:numCache>
                <c:formatCode>General</c:formatCode>
                <c:ptCount val="2"/>
                <c:pt idx="0">
                  <c:v>0</c:v>
                </c:pt>
                <c:pt idx="1">
                  <c:v>1500</c:v>
                </c:pt>
              </c:numCache>
            </c:numRef>
          </c:yVal>
          <c:smooth val="0"/>
          <c:extLst>
            <c:ext xmlns:c16="http://schemas.microsoft.com/office/drawing/2014/chart" uri="{C3380CC4-5D6E-409C-BE32-E72D297353CC}">
              <c16:uniqueId val="{00000006-E94C-A84F-B5FC-09BDE6D72F98}"/>
            </c:ext>
          </c:extLst>
        </c:ser>
        <c:ser>
          <c:idx val="5"/>
          <c:order val="5"/>
          <c:tx>
            <c:v>iso-profit</c:v>
          </c:tx>
          <c:spPr>
            <a:ln w="19050" cap="rnd">
              <a:solidFill>
                <a:schemeClr val="accent6"/>
              </a:solidFill>
              <a:prstDash val="sysDash"/>
              <a:round/>
            </a:ln>
            <a:effectLst/>
          </c:spPr>
          <c:marker>
            <c:symbol val="circle"/>
            <c:size val="5"/>
            <c:spPr>
              <a:solidFill>
                <a:schemeClr val="accent6"/>
              </a:solidFill>
              <a:ln w="9525">
                <a:solidFill>
                  <a:schemeClr val="accent6"/>
                </a:solidFill>
              </a:ln>
              <a:effectLst/>
            </c:spPr>
          </c:marker>
          <c:xVal>
            <c:numRef>
              <c:f>'#2'!$G$30:$G$31</c:f>
              <c:numCache>
                <c:formatCode>General</c:formatCode>
                <c:ptCount val="2"/>
                <c:pt idx="0">
                  <c:v>875</c:v>
                </c:pt>
                <c:pt idx="1">
                  <c:v>0</c:v>
                </c:pt>
              </c:numCache>
            </c:numRef>
          </c:xVal>
          <c:yVal>
            <c:numRef>
              <c:f>'#2'!$H$30:$H$31</c:f>
              <c:numCache>
                <c:formatCode>General</c:formatCode>
                <c:ptCount val="2"/>
                <c:pt idx="0">
                  <c:v>0</c:v>
                </c:pt>
                <c:pt idx="1">
                  <c:v>1166.6666666666667</c:v>
                </c:pt>
              </c:numCache>
            </c:numRef>
          </c:yVal>
          <c:smooth val="0"/>
          <c:extLst>
            <c:ext xmlns:c16="http://schemas.microsoft.com/office/drawing/2014/chart" uri="{C3380CC4-5D6E-409C-BE32-E72D297353CC}">
              <c16:uniqueId val="{00000007-E94C-A84F-B5FC-09BDE6D72F98}"/>
            </c:ext>
          </c:extLst>
        </c:ser>
        <c:dLbls>
          <c:showLegendKey val="0"/>
          <c:showVal val="0"/>
          <c:showCatName val="0"/>
          <c:showSerName val="0"/>
          <c:showPercent val="0"/>
          <c:showBubbleSize val="0"/>
        </c:dLbls>
        <c:axId val="1318108927"/>
        <c:axId val="1318110639"/>
      </c:scatterChart>
      <c:valAx>
        <c:axId val="1318108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110639"/>
        <c:crosses val="autoZero"/>
        <c:crossBetween val="midCat"/>
      </c:valAx>
      <c:valAx>
        <c:axId val="1318110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1089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Legs</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'#3'!$E$17:$E$18</c:f>
              <c:numCache>
                <c:formatCode>General</c:formatCode>
                <c:ptCount val="2"/>
                <c:pt idx="0">
                  <c:v>225</c:v>
                </c:pt>
                <c:pt idx="1">
                  <c:v>0</c:v>
                </c:pt>
              </c:numCache>
            </c:numRef>
          </c:xVal>
          <c:yVal>
            <c:numRef>
              <c:f>'#3'!$F$17:$F$18</c:f>
              <c:numCache>
                <c:formatCode>General</c:formatCode>
                <c:ptCount val="2"/>
                <c:pt idx="0">
                  <c:v>0</c:v>
                </c:pt>
                <c:pt idx="1">
                  <c:v>225</c:v>
                </c:pt>
              </c:numCache>
            </c:numRef>
          </c:yVal>
          <c:smooth val="0"/>
          <c:extLst>
            <c:ext xmlns:c16="http://schemas.microsoft.com/office/drawing/2014/chart" uri="{C3380CC4-5D6E-409C-BE32-E72D297353CC}">
              <c16:uniqueId val="{00000000-915E-DA4A-A654-1AFCC4E16866}"/>
            </c:ext>
          </c:extLst>
        </c:ser>
        <c:ser>
          <c:idx val="1"/>
          <c:order val="1"/>
          <c:tx>
            <c:v>Rockers</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'#3'!$E$19:$E$20</c:f>
              <c:numCache>
                <c:formatCode>General</c:formatCode>
                <c:ptCount val="2"/>
                <c:pt idx="0">
                  <c:v>200</c:v>
                </c:pt>
                <c:pt idx="1">
                  <c:v>0</c:v>
                </c:pt>
              </c:numCache>
            </c:numRef>
          </c:xVal>
          <c:yVal>
            <c:numRef>
              <c:f>'#3'!$F$19:$F$20</c:f>
              <c:numCache>
                <c:formatCode>General</c:formatCode>
                <c:ptCount val="2"/>
                <c:pt idx="0">
                  <c:v>0</c:v>
                </c:pt>
                <c:pt idx="1">
                  <c:v>200</c:v>
                </c:pt>
              </c:numCache>
            </c:numRef>
          </c:yVal>
          <c:smooth val="0"/>
          <c:extLst>
            <c:ext xmlns:c16="http://schemas.microsoft.com/office/drawing/2014/chart" uri="{C3380CC4-5D6E-409C-BE32-E72D297353CC}">
              <c16:uniqueId val="{00000001-915E-DA4A-A654-1AFCC4E16866}"/>
            </c:ext>
          </c:extLst>
        </c:ser>
        <c:ser>
          <c:idx val="2"/>
          <c:order val="2"/>
          <c:tx>
            <c:v>Long Dowells</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'#3'!$E$21:$E$22</c:f>
              <c:numCache>
                <c:formatCode>General</c:formatCode>
                <c:ptCount val="2"/>
                <c:pt idx="0">
                  <c:v>132</c:v>
                </c:pt>
                <c:pt idx="1">
                  <c:v>0</c:v>
                </c:pt>
              </c:numCache>
            </c:numRef>
          </c:xVal>
          <c:yVal>
            <c:numRef>
              <c:f>'#3'!$F$21:$F$22</c:f>
              <c:numCache>
                <c:formatCode>General</c:formatCode>
                <c:ptCount val="2"/>
                <c:pt idx="0">
                  <c:v>0</c:v>
                </c:pt>
                <c:pt idx="1">
                  <c:v>264</c:v>
                </c:pt>
              </c:numCache>
            </c:numRef>
          </c:yVal>
          <c:smooth val="0"/>
          <c:extLst>
            <c:ext xmlns:c16="http://schemas.microsoft.com/office/drawing/2014/chart" uri="{C3380CC4-5D6E-409C-BE32-E72D297353CC}">
              <c16:uniqueId val="{00000002-915E-DA4A-A654-1AFCC4E16866}"/>
            </c:ext>
          </c:extLst>
        </c:ser>
        <c:ser>
          <c:idx val="3"/>
          <c:order val="3"/>
          <c:tx>
            <c:v>Short Dowells</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'#3'!$E$23:$E$24</c:f>
              <c:numCache>
                <c:formatCode>General</c:formatCode>
                <c:ptCount val="2"/>
                <c:pt idx="0">
                  <c:v>300</c:v>
                </c:pt>
                <c:pt idx="1">
                  <c:v>0</c:v>
                </c:pt>
              </c:numCache>
            </c:numRef>
          </c:xVal>
          <c:yVal>
            <c:numRef>
              <c:f>'#3'!$F$23:$F$24</c:f>
              <c:numCache>
                <c:formatCode>General</c:formatCode>
                <c:ptCount val="2"/>
                <c:pt idx="0">
                  <c:v>0</c:v>
                </c:pt>
                <c:pt idx="1">
                  <c:v>150</c:v>
                </c:pt>
              </c:numCache>
            </c:numRef>
          </c:yVal>
          <c:smooth val="0"/>
          <c:extLst>
            <c:ext xmlns:c16="http://schemas.microsoft.com/office/drawing/2014/chart" uri="{C3380CC4-5D6E-409C-BE32-E72D297353CC}">
              <c16:uniqueId val="{00000003-915E-DA4A-A654-1AFCC4E16866}"/>
            </c:ext>
          </c:extLst>
        </c:ser>
        <c:ser>
          <c:idx val="4"/>
          <c:order val="4"/>
          <c:tx>
            <c:v>ISO-PROFIT</c:v>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'#3'!$E$25:$E$26</c:f>
              <c:numCache>
                <c:formatCode>General</c:formatCode>
                <c:ptCount val="2"/>
                <c:pt idx="0">
                  <c:v>130</c:v>
                </c:pt>
                <c:pt idx="1">
                  <c:v>0</c:v>
                </c:pt>
              </c:numCache>
            </c:numRef>
          </c:xVal>
          <c:yVal>
            <c:numRef>
              <c:f>'#3'!$F$25:$F$26</c:f>
              <c:numCache>
                <c:formatCode>General</c:formatCode>
                <c:ptCount val="2"/>
                <c:pt idx="0">
                  <c:v>0</c:v>
                </c:pt>
                <c:pt idx="1">
                  <c:v>130</c:v>
                </c:pt>
              </c:numCache>
            </c:numRef>
          </c:yVal>
          <c:smooth val="0"/>
          <c:extLst>
            <c:ext xmlns:c16="http://schemas.microsoft.com/office/drawing/2014/chart" uri="{C3380CC4-5D6E-409C-BE32-E72D297353CC}">
              <c16:uniqueId val="{00000000-3046-1143-8A79-873038C6DD0F}"/>
            </c:ext>
          </c:extLst>
        </c:ser>
        <c:dLbls>
          <c:showLegendKey val="0"/>
          <c:showVal val="0"/>
          <c:showCatName val="0"/>
          <c:showSerName val="0"/>
          <c:showPercent val="0"/>
          <c:showBubbleSize val="0"/>
        </c:dLbls>
        <c:axId val="1232454000"/>
        <c:axId val="1621518495"/>
      </c:scatterChart>
      <c:valAx>
        <c:axId val="1232454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518495"/>
        <c:crosses val="autoZero"/>
        <c:crossBetween val="midCat"/>
      </c:valAx>
      <c:valAx>
        <c:axId val="1621518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45400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X1=130000</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'#4'!$F$20:$F$21</c:f>
              <c:numCache>
                <c:formatCode>#,##0</c:formatCode>
                <c:ptCount val="2"/>
                <c:pt idx="0">
                  <c:v>130000</c:v>
                </c:pt>
                <c:pt idx="1">
                  <c:v>130000</c:v>
                </c:pt>
              </c:numCache>
            </c:numRef>
          </c:xVal>
          <c:yVal>
            <c:numRef>
              <c:f>'#4'!$G$20:$G$21</c:f>
              <c:numCache>
                <c:formatCode>#,##0</c:formatCode>
                <c:ptCount val="2"/>
                <c:pt idx="0" formatCode="General">
                  <c:v>0</c:v>
                </c:pt>
                <c:pt idx="1">
                  <c:v>120000</c:v>
                </c:pt>
              </c:numCache>
            </c:numRef>
          </c:yVal>
          <c:smooth val="0"/>
          <c:extLst>
            <c:ext xmlns:c16="http://schemas.microsoft.com/office/drawing/2014/chart" uri="{C3380CC4-5D6E-409C-BE32-E72D297353CC}">
              <c16:uniqueId val="{00000000-450F-0C48-9FE4-C30F15F97116}"/>
            </c:ext>
          </c:extLst>
        </c:ser>
        <c:ser>
          <c:idx val="1"/>
          <c:order val="1"/>
          <c:tx>
            <c:v>X2=100000</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'#4'!$F$22:$F$23</c:f>
              <c:numCache>
                <c:formatCode>#,##0</c:formatCode>
                <c:ptCount val="2"/>
                <c:pt idx="0" formatCode="General">
                  <c:v>0</c:v>
                </c:pt>
                <c:pt idx="1">
                  <c:v>130000</c:v>
                </c:pt>
              </c:numCache>
            </c:numRef>
          </c:xVal>
          <c:yVal>
            <c:numRef>
              <c:f>'#4'!$G$22:$G$23</c:f>
              <c:numCache>
                <c:formatCode>#,##0</c:formatCode>
                <c:ptCount val="2"/>
                <c:pt idx="0">
                  <c:v>100000</c:v>
                </c:pt>
                <c:pt idx="1">
                  <c:v>100000</c:v>
                </c:pt>
              </c:numCache>
            </c:numRef>
          </c:yVal>
          <c:smooth val="0"/>
          <c:extLst>
            <c:ext xmlns:c16="http://schemas.microsoft.com/office/drawing/2014/chart" uri="{C3380CC4-5D6E-409C-BE32-E72D297353CC}">
              <c16:uniqueId val="{00000001-450F-0C48-9FE4-C30F15F97116}"/>
            </c:ext>
          </c:extLst>
        </c:ser>
        <c:ser>
          <c:idx val="2"/>
          <c:order val="2"/>
          <c:tx>
            <c:v>X1=X2=120000</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'#4'!$F$24:$F$25</c:f>
              <c:numCache>
                <c:formatCode>General</c:formatCode>
                <c:ptCount val="2"/>
                <c:pt idx="0" formatCode="#,##0">
                  <c:v>120000</c:v>
                </c:pt>
                <c:pt idx="1">
                  <c:v>0</c:v>
                </c:pt>
              </c:numCache>
            </c:numRef>
          </c:xVal>
          <c:yVal>
            <c:numRef>
              <c:f>'#4'!$G$24:$G$25</c:f>
              <c:numCache>
                <c:formatCode>#,##0</c:formatCode>
                <c:ptCount val="2"/>
                <c:pt idx="0" formatCode="General">
                  <c:v>0</c:v>
                </c:pt>
                <c:pt idx="1">
                  <c:v>120000</c:v>
                </c:pt>
              </c:numCache>
            </c:numRef>
          </c:yVal>
          <c:smooth val="0"/>
          <c:extLst>
            <c:ext xmlns:c16="http://schemas.microsoft.com/office/drawing/2014/chart" uri="{C3380CC4-5D6E-409C-BE32-E72D297353CC}">
              <c16:uniqueId val="{00000002-450F-0C48-9FE4-C30F15F97116}"/>
            </c:ext>
          </c:extLst>
        </c:ser>
        <c:dLbls>
          <c:showLegendKey val="0"/>
          <c:showVal val="0"/>
          <c:showCatName val="0"/>
          <c:showSerName val="0"/>
          <c:showPercent val="0"/>
          <c:showBubbleSize val="0"/>
        </c:dLbls>
        <c:axId val="1798055791"/>
        <c:axId val="1037870992"/>
      </c:scatterChart>
      <c:valAx>
        <c:axId val="179805579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870992"/>
        <c:crosses val="autoZero"/>
        <c:crossBetween val="midCat"/>
      </c:valAx>
      <c:valAx>
        <c:axId val="1037870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0557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Total Bikes</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'#5'!$G$21:$G$22</c:f>
              <c:numCache>
                <c:formatCode>General</c:formatCode>
                <c:ptCount val="2"/>
                <c:pt idx="0">
                  <c:v>0</c:v>
                </c:pt>
                <c:pt idx="1">
                  <c:v>700</c:v>
                </c:pt>
              </c:numCache>
            </c:numRef>
          </c:xVal>
          <c:yVal>
            <c:numRef>
              <c:f>'#5'!$H$21:$H$22</c:f>
              <c:numCache>
                <c:formatCode>General</c:formatCode>
                <c:ptCount val="2"/>
                <c:pt idx="0">
                  <c:v>700</c:v>
                </c:pt>
                <c:pt idx="1">
                  <c:v>0</c:v>
                </c:pt>
              </c:numCache>
            </c:numRef>
          </c:yVal>
          <c:smooth val="0"/>
          <c:extLst>
            <c:ext xmlns:c16="http://schemas.microsoft.com/office/drawing/2014/chart" uri="{C3380CC4-5D6E-409C-BE32-E72D297353CC}">
              <c16:uniqueId val="{00000000-FF92-C84D-BCC1-C1966C8ADB1E}"/>
            </c:ext>
          </c:extLst>
        </c:ser>
        <c:ser>
          <c:idx val="1"/>
          <c:order val="1"/>
          <c:tx>
            <c:v>Razor vs Zoomer</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'#5'!$G$23:$G$24</c:f>
              <c:numCache>
                <c:formatCode>General</c:formatCode>
                <c:ptCount val="2"/>
                <c:pt idx="0">
                  <c:v>0</c:v>
                </c:pt>
                <c:pt idx="1">
                  <c:v>300</c:v>
                </c:pt>
              </c:numCache>
            </c:numRef>
          </c:xVal>
          <c:yVal>
            <c:numRef>
              <c:f>'#5'!$H$23:$H$24</c:f>
              <c:numCache>
                <c:formatCode>General</c:formatCode>
                <c:ptCount val="2"/>
                <c:pt idx="0">
                  <c:v>-300</c:v>
                </c:pt>
                <c:pt idx="1">
                  <c:v>600</c:v>
                </c:pt>
              </c:numCache>
            </c:numRef>
          </c:yVal>
          <c:smooth val="0"/>
          <c:extLst>
            <c:ext xmlns:c16="http://schemas.microsoft.com/office/drawing/2014/chart" uri="{C3380CC4-5D6E-409C-BE32-E72D297353CC}">
              <c16:uniqueId val="{00000001-FF92-C84D-BCC1-C1966C8ADB1E}"/>
            </c:ext>
          </c:extLst>
        </c:ser>
        <c:ser>
          <c:idx val="2"/>
          <c:order val="2"/>
          <c:tx>
            <c:v>Polymer</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'#5'!$G$25:$G$26</c:f>
              <c:numCache>
                <c:formatCode>General</c:formatCode>
                <c:ptCount val="2"/>
                <c:pt idx="0">
                  <c:v>0</c:v>
                </c:pt>
                <c:pt idx="1">
                  <c:v>450</c:v>
                </c:pt>
              </c:numCache>
            </c:numRef>
          </c:xVal>
          <c:yVal>
            <c:numRef>
              <c:f>'#5'!$H$25:$H$26</c:f>
              <c:numCache>
                <c:formatCode>General</c:formatCode>
                <c:ptCount val="2"/>
                <c:pt idx="0">
                  <c:v>900</c:v>
                </c:pt>
                <c:pt idx="1">
                  <c:v>0</c:v>
                </c:pt>
              </c:numCache>
            </c:numRef>
          </c:yVal>
          <c:smooth val="0"/>
          <c:extLst>
            <c:ext xmlns:c16="http://schemas.microsoft.com/office/drawing/2014/chart" uri="{C3380CC4-5D6E-409C-BE32-E72D297353CC}">
              <c16:uniqueId val="{00000002-FF92-C84D-BCC1-C1966C8ADB1E}"/>
            </c:ext>
          </c:extLst>
        </c:ser>
        <c:ser>
          <c:idx val="3"/>
          <c:order val="3"/>
          <c:tx>
            <c:v>Labor</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'#5'!$G$27:$G$28</c:f>
              <c:numCache>
                <c:formatCode>General</c:formatCode>
                <c:ptCount val="2"/>
                <c:pt idx="0">
                  <c:v>0</c:v>
                </c:pt>
                <c:pt idx="1">
                  <c:v>800</c:v>
                </c:pt>
              </c:numCache>
            </c:numRef>
          </c:xVal>
          <c:yVal>
            <c:numRef>
              <c:f>'#5'!$H$27:$H$28</c:f>
              <c:numCache>
                <c:formatCode>General</c:formatCode>
                <c:ptCount val="2"/>
                <c:pt idx="0">
                  <c:v>600</c:v>
                </c:pt>
                <c:pt idx="1">
                  <c:v>0</c:v>
                </c:pt>
              </c:numCache>
            </c:numRef>
          </c:yVal>
          <c:smooth val="0"/>
          <c:extLst>
            <c:ext xmlns:c16="http://schemas.microsoft.com/office/drawing/2014/chart" uri="{C3380CC4-5D6E-409C-BE32-E72D297353CC}">
              <c16:uniqueId val="{00000003-FF92-C84D-BCC1-C1966C8ADB1E}"/>
            </c:ext>
          </c:extLst>
        </c:ser>
        <c:ser>
          <c:idx val="4"/>
          <c:order val="4"/>
          <c:tx>
            <c:v>ISO Profit</c:v>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'#5'!$L$27:$L$28</c:f>
              <c:numCache>
                <c:formatCode>General</c:formatCode>
                <c:ptCount val="2"/>
                <c:pt idx="0">
                  <c:v>157.14285714285714</c:v>
                </c:pt>
                <c:pt idx="1">
                  <c:v>0</c:v>
                </c:pt>
              </c:numCache>
            </c:numRef>
          </c:xVal>
          <c:yVal>
            <c:numRef>
              <c:f>'#5'!$M$27:$M$28</c:f>
              <c:numCache>
                <c:formatCode>General</c:formatCode>
                <c:ptCount val="2"/>
                <c:pt idx="0">
                  <c:v>0</c:v>
                </c:pt>
                <c:pt idx="1">
                  <c:v>275</c:v>
                </c:pt>
              </c:numCache>
            </c:numRef>
          </c:yVal>
          <c:smooth val="0"/>
          <c:extLst>
            <c:ext xmlns:c16="http://schemas.microsoft.com/office/drawing/2014/chart" uri="{C3380CC4-5D6E-409C-BE32-E72D297353CC}">
              <c16:uniqueId val="{00000004-FF92-C84D-BCC1-C1966C8ADB1E}"/>
            </c:ext>
          </c:extLst>
        </c:ser>
        <c:dLbls>
          <c:showLegendKey val="0"/>
          <c:showVal val="0"/>
          <c:showCatName val="0"/>
          <c:showSerName val="0"/>
          <c:showPercent val="0"/>
          <c:showBubbleSize val="0"/>
        </c:dLbls>
        <c:axId val="1394559231"/>
        <c:axId val="1394560943"/>
      </c:scatterChart>
      <c:valAx>
        <c:axId val="1394559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560943"/>
        <c:crosses val="autoZero"/>
        <c:crossBetween val="midCat"/>
      </c:valAx>
      <c:valAx>
        <c:axId val="1394560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55923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ustomXml" Target="../ink/ink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ustomXml" Target="../ink/ink5.xml"/><Relationship Id="rId3" Type="http://schemas.openxmlformats.org/officeDocument/2006/relationships/image" Target="../media/image2.png"/><Relationship Id="rId7" Type="http://schemas.openxmlformats.org/officeDocument/2006/relationships/image" Target="../media/image4.png"/><Relationship Id="rId2" Type="http://schemas.openxmlformats.org/officeDocument/2006/relationships/customXml" Target="../ink/ink2.xml"/><Relationship Id="rId1" Type="http://schemas.openxmlformats.org/officeDocument/2006/relationships/chart" Target="../charts/chart2.xml"/><Relationship Id="rId6" Type="http://schemas.openxmlformats.org/officeDocument/2006/relationships/customXml" Target="../ink/ink4.xml"/><Relationship Id="rId5" Type="http://schemas.openxmlformats.org/officeDocument/2006/relationships/image" Target="../media/image3.png"/><Relationship Id="rId4" Type="http://schemas.openxmlformats.org/officeDocument/2006/relationships/customXml" Target="../ink/ink3.xml"/><Relationship Id="rId9"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454724</xdr:colOff>
      <xdr:row>0</xdr:row>
      <xdr:rowOff>37598</xdr:rowOff>
    </xdr:from>
    <xdr:to>
      <xdr:col>13</xdr:col>
      <xdr:colOff>502349</xdr:colOff>
      <xdr:row>9</xdr:row>
      <xdr:rowOff>107627</xdr:rowOff>
    </xdr:to>
    <xdr:sp macro="" textlink="">
      <xdr:nvSpPr>
        <xdr:cNvPr id="2" name="TextBox 1">
          <a:extLst>
            <a:ext uri="{FF2B5EF4-FFF2-40B4-BE49-F238E27FC236}">
              <a16:creationId xmlns:a16="http://schemas.microsoft.com/office/drawing/2014/main" id="{7298956C-1A90-E9F9-C1FA-37A1A375D4CC}"/>
            </a:ext>
          </a:extLst>
        </xdr:cNvPr>
        <xdr:cNvSpPr txBox="1"/>
      </xdr:nvSpPr>
      <xdr:spPr>
        <a:xfrm>
          <a:off x="5233368" y="37598"/>
          <a:ext cx="4768868" cy="1813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Graphically</a:t>
          </a:r>
          <a:r>
            <a:rPr lang="en-US" sz="1100" baseline="0"/>
            <a:t> sol</a:t>
          </a:r>
          <a:r>
            <a:rPr lang="en-US" sz="1100"/>
            <a:t>lve the following problem using Excel.</a:t>
          </a:r>
          <a:r>
            <a:rPr lang="en-US" sz="1100" baseline="0"/>
            <a:t>  Be sure to indentify the feasible region, the optimal point and graph the iso-profit line.  Is there a redundant constraint?  If so, which one is redundant</a:t>
          </a:r>
          <a:br>
            <a:rPr lang="en-US" sz="1100"/>
          </a:br>
          <a:r>
            <a:rPr lang="en-US" sz="1100"/>
            <a:t>MAX 100X1 + 100X2 </a:t>
          </a:r>
          <a:br>
            <a:rPr lang="en-US" sz="1100"/>
          </a:br>
          <a:r>
            <a:rPr lang="en-US" sz="1100"/>
            <a:t>ST</a:t>
          </a:r>
          <a:br>
            <a:rPr lang="en-US" sz="1100"/>
          </a:br>
          <a:r>
            <a:rPr lang="en-US" sz="1100" baseline="0"/>
            <a:t> 3X1 + 3X2 &lt;= 480</a:t>
          </a:r>
          <a:br>
            <a:rPr lang="en-US" sz="1100" baseline="0"/>
          </a:br>
          <a:r>
            <a:rPr lang="en-US" sz="1100" baseline="0"/>
            <a:t>6X1 + 3X2 &lt;= 480</a:t>
          </a:r>
        </a:p>
        <a:p>
          <a:r>
            <a:rPr lang="en-US" sz="1100" baseline="0"/>
            <a:t>3X1 + 3X2 &lt;=300</a:t>
          </a:r>
        </a:p>
        <a:p>
          <a:r>
            <a:rPr lang="en-US" sz="1100" baseline="0"/>
            <a:t>The first Constrain  3X1 + 3X2 &lt;= 480 is redundant </a:t>
          </a:r>
        </a:p>
        <a:p>
          <a:endParaRPr lang="en-US" sz="1100" baseline="0"/>
        </a:p>
      </xdr:txBody>
    </xdr:sp>
    <xdr:clientData/>
  </xdr:twoCellAnchor>
  <xdr:twoCellAnchor>
    <xdr:from>
      <xdr:col>8</xdr:col>
      <xdr:colOff>573447</xdr:colOff>
      <xdr:row>11</xdr:row>
      <xdr:rowOff>23062</xdr:rowOff>
    </xdr:from>
    <xdr:to>
      <xdr:col>15</xdr:col>
      <xdr:colOff>455018</xdr:colOff>
      <xdr:row>25</xdr:row>
      <xdr:rowOff>148348</xdr:rowOff>
    </xdr:to>
    <xdr:graphicFrame macro="">
      <xdr:nvGraphicFramePr>
        <xdr:cNvPr id="4" name="Chart 3">
          <a:extLst>
            <a:ext uri="{FF2B5EF4-FFF2-40B4-BE49-F238E27FC236}">
              <a16:creationId xmlns:a16="http://schemas.microsoft.com/office/drawing/2014/main" id="{D99DD39C-DF3E-1AA0-1828-8B1F747934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282787</xdr:colOff>
      <xdr:row>26</xdr:row>
      <xdr:rowOff>23706</xdr:rowOff>
    </xdr:from>
    <xdr:to>
      <xdr:col>9</xdr:col>
      <xdr:colOff>27093</xdr:colOff>
      <xdr:row>39</xdr:row>
      <xdr:rowOff>150707</xdr:rowOff>
    </xdr:to>
    <xdr:sp macro="" textlink="">
      <xdr:nvSpPr>
        <xdr:cNvPr id="5" name="TextBox 4">
          <a:extLst>
            <a:ext uri="{FF2B5EF4-FFF2-40B4-BE49-F238E27FC236}">
              <a16:creationId xmlns:a16="http://schemas.microsoft.com/office/drawing/2014/main" id="{062E4441-DB39-D0CF-9EC7-034D44962BCB}"/>
            </a:ext>
          </a:extLst>
        </xdr:cNvPr>
        <xdr:cNvSpPr txBox="1"/>
      </xdr:nvSpPr>
      <xdr:spPr>
        <a:xfrm>
          <a:off x="953347" y="5042746"/>
          <a:ext cx="5108786" cy="26365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Sol:</a:t>
          </a:r>
          <a:br>
            <a:rPr lang="en-US" sz="1100"/>
          </a:br>
          <a:r>
            <a:rPr lang="en-US" sz="1100"/>
            <a:t>(</a:t>
          </a:r>
          <a:r>
            <a:rPr lang="en-US" sz="1100" baseline="0"/>
            <a:t>6X1 + 3X2 )-(3X1-3X2)= 480-300</a:t>
          </a:r>
        </a:p>
        <a:p>
          <a:r>
            <a:rPr lang="en-US" sz="1100" baseline="0"/>
            <a:t>3X1=180</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X1=60</a:t>
          </a:r>
          <a:br>
            <a:rPr lang="en-US" sz="1100" baseline="0"/>
          </a:br>
          <a:br>
            <a:rPr lang="en-US" sz="1100" baseline="0"/>
          </a:br>
          <a:r>
            <a:rPr lang="en-US" sz="1100" baseline="0"/>
            <a:t>Substituting X1 = 60 into 3X1 + 3X2 &lt;=300</a:t>
          </a:r>
        </a:p>
        <a:p>
          <a:r>
            <a:rPr lang="en-US" sz="1100"/>
            <a:t>3(60)+3X2=300</a:t>
          </a:r>
          <a:br>
            <a:rPr lang="en-US" sz="1100"/>
          </a:br>
          <a:r>
            <a:rPr lang="en-US" sz="1100"/>
            <a:t>180+3X2=300</a:t>
          </a:r>
          <a:br>
            <a:rPr lang="en-US" sz="1100"/>
          </a:br>
          <a:r>
            <a:rPr lang="en-US" sz="1100"/>
            <a:t>3X2=120</a:t>
          </a:r>
          <a:br>
            <a:rPr lang="en-US" sz="1100"/>
          </a:br>
          <a:r>
            <a:rPr lang="en-US" sz="1100"/>
            <a:t>X2=40</a:t>
          </a:r>
          <a:br>
            <a:rPr lang="en-US" sz="1100"/>
          </a:br>
          <a:br>
            <a:rPr lang="en-US" sz="1100"/>
          </a:br>
          <a:r>
            <a:rPr lang="en-US" sz="1100"/>
            <a:t>PLUGIN X1=60 and X2=40 into MAX (100X1+100X2)</a:t>
          </a:r>
          <a:br>
            <a:rPr lang="en-US" sz="1100"/>
          </a:br>
          <a:r>
            <a:rPr lang="en-US" sz="1100"/>
            <a:t>100(60)+100(40)=10000</a:t>
          </a:r>
          <a:br>
            <a:rPr lang="en-US" sz="1100"/>
          </a:br>
          <a:br>
            <a:rPr lang="en-US" sz="1100"/>
          </a:br>
          <a:endParaRPr lang="en-US" sz="1100"/>
        </a:p>
      </xdr:txBody>
    </xdr:sp>
    <xdr:clientData/>
  </xdr:twoCellAnchor>
  <xdr:twoCellAnchor editAs="oneCell">
    <xdr:from>
      <xdr:col>9</xdr:col>
      <xdr:colOff>264493</xdr:colOff>
      <xdr:row>18</xdr:row>
      <xdr:rowOff>28279</xdr:rowOff>
    </xdr:from>
    <xdr:to>
      <xdr:col>11</xdr:col>
      <xdr:colOff>20789</xdr:colOff>
      <xdr:row>23</xdr:row>
      <xdr:rowOff>134814</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6" name="Ink 5">
              <a:extLst>
                <a:ext uri="{FF2B5EF4-FFF2-40B4-BE49-F238E27FC236}">
                  <a16:creationId xmlns:a16="http://schemas.microsoft.com/office/drawing/2014/main" id="{A3A7649F-F085-FA6F-25D5-2FE04BE64A93}"/>
                </a:ext>
              </a:extLst>
            </xdr14:cNvPr>
            <xdr14:cNvContentPartPr/>
          </xdr14:nvContentPartPr>
          <xdr14:nvPr macro=""/>
          <xdr14:xfrm>
            <a:off x="6344280" y="3432960"/>
            <a:ext cx="1107360" cy="1052280"/>
          </xdr14:xfrm>
        </xdr:contentPart>
      </mc:Choice>
      <mc:Fallback xmlns="">
        <xdr:pic>
          <xdr:nvPicPr>
            <xdr:cNvPr id="6" name="Ink 5">
              <a:extLst>
                <a:ext uri="{FF2B5EF4-FFF2-40B4-BE49-F238E27FC236}">
                  <a16:creationId xmlns:a16="http://schemas.microsoft.com/office/drawing/2014/main" id="{A3A7649F-F085-FA6F-25D5-2FE04BE64A93}"/>
                </a:ext>
              </a:extLst>
            </xdr:cNvPr>
            <xdr:cNvPicPr/>
          </xdr:nvPicPr>
          <xdr:blipFill>
            <a:blip xmlns:r="http://schemas.openxmlformats.org/officeDocument/2006/relationships" r:embed="rId3"/>
            <a:stretch>
              <a:fillRect/>
            </a:stretch>
          </xdr:blipFill>
          <xdr:spPr>
            <a:xfrm>
              <a:off x="6290280" y="3324960"/>
              <a:ext cx="1215000" cy="126792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654237</xdr:colOff>
      <xdr:row>0</xdr:row>
      <xdr:rowOff>155014</xdr:rowOff>
    </xdr:from>
    <xdr:to>
      <xdr:col>13</xdr:col>
      <xdr:colOff>29509</xdr:colOff>
      <xdr:row>16</xdr:row>
      <xdr:rowOff>88713</xdr:rowOff>
    </xdr:to>
    <xdr:sp macro="" textlink="">
      <xdr:nvSpPr>
        <xdr:cNvPr id="2" name="TextBox 1">
          <a:extLst>
            <a:ext uri="{FF2B5EF4-FFF2-40B4-BE49-F238E27FC236}">
              <a16:creationId xmlns:a16="http://schemas.microsoft.com/office/drawing/2014/main" id="{B12FA08B-0050-D77E-2C14-6270064FE37B}"/>
            </a:ext>
          </a:extLst>
        </xdr:cNvPr>
        <xdr:cNvSpPr txBox="1"/>
      </xdr:nvSpPr>
      <xdr:spPr>
        <a:xfrm>
          <a:off x="3343649" y="155014"/>
          <a:ext cx="5711264" cy="27725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dk1"/>
              </a:solidFill>
              <a:latin typeface="+mn-lt"/>
              <a:ea typeface="+mn-ea"/>
              <a:cs typeface="+mn-cs"/>
            </a:rPr>
            <a:t>Bibbins Manufacturing produces softball and baseballs for youth recreation leagues.</a:t>
          </a:r>
        </a:p>
        <a:p>
          <a:r>
            <a:rPr lang="en-US" sz="1100" b="0" i="0" u="none" strike="noStrike" baseline="0">
              <a:solidFill>
                <a:schemeClr val="dk1"/>
              </a:solidFill>
              <a:latin typeface="+mn-lt"/>
              <a:ea typeface="+mn-ea"/>
              <a:cs typeface="+mn-cs"/>
            </a:rPr>
            <a:t>Each softball costs $11 to produce and sells for $17 while each baseball costs $10.50</a:t>
          </a:r>
        </a:p>
        <a:p>
          <a:r>
            <a:rPr lang="en-US" sz="1100" b="0" i="0" u="none" strike="noStrike" baseline="0">
              <a:solidFill>
                <a:schemeClr val="dk1"/>
              </a:solidFill>
              <a:latin typeface="+mn-lt"/>
              <a:ea typeface="+mn-ea"/>
              <a:cs typeface="+mn-cs"/>
            </a:rPr>
            <a:t>and sells for $15. The material and labor required to produce each item is listed here</a:t>
          </a:r>
        </a:p>
        <a:p>
          <a:r>
            <a:rPr lang="en-US" sz="1100" b="0" i="0" u="none" strike="noStrike" baseline="0">
              <a:solidFill>
                <a:schemeClr val="dk1"/>
              </a:solidFill>
              <a:latin typeface="+mn-lt"/>
              <a:ea typeface="+mn-ea"/>
              <a:cs typeface="+mn-cs"/>
            </a:rPr>
            <a:t>along with the availability of each resource.</a:t>
          </a:r>
        </a:p>
        <a:p>
          <a:r>
            <a:rPr lang="en-US" sz="1100" b="1" i="0" u="none" strike="noStrike" baseline="0">
              <a:solidFill>
                <a:schemeClr val="dk1"/>
              </a:solidFill>
              <a:latin typeface="+mn-lt"/>
              <a:ea typeface="+mn-ea"/>
              <a:cs typeface="+mn-cs"/>
            </a:rPr>
            <a:t>Amount Required Per Amount</a:t>
          </a:r>
        </a:p>
        <a:p>
          <a:r>
            <a:rPr lang="en-US" sz="1100" b="1" i="0" u="none" strike="noStrike" baseline="0">
              <a:solidFill>
                <a:schemeClr val="dk1"/>
              </a:solidFill>
              <a:latin typeface="+mn-lt"/>
              <a:ea typeface="+mn-ea"/>
              <a:cs typeface="+mn-cs"/>
            </a:rPr>
            <a:t>Resource     Softball Baseball Available</a:t>
          </a:r>
        </a:p>
        <a:p>
          <a:r>
            <a:rPr lang="en-US" sz="1100" b="0" i="0" u="none" strike="noStrike" baseline="0">
              <a:solidFill>
                <a:schemeClr val="dk1"/>
              </a:solidFill>
              <a:latin typeface="+mn-lt"/>
              <a:ea typeface="+mn-ea"/>
              <a:cs typeface="+mn-cs"/>
            </a:rPr>
            <a:t>Leather             5 oz          4 oz           6,000 oz</a:t>
          </a:r>
        </a:p>
        <a:p>
          <a:r>
            <a:rPr lang="en-US" sz="1100" b="0" i="0" u="none" strike="noStrike" baseline="0">
              <a:solidFill>
                <a:schemeClr val="dk1"/>
              </a:solidFill>
              <a:latin typeface="+mn-lt"/>
              <a:ea typeface="+mn-ea"/>
              <a:cs typeface="+mn-cs"/>
            </a:rPr>
            <a:t>Nylon                6 yds        3 yds         5,400 yds</a:t>
          </a:r>
        </a:p>
        <a:p>
          <a:r>
            <a:rPr lang="en-US" sz="1100" b="0" i="0" u="none" strike="noStrike" baseline="0">
              <a:solidFill>
                <a:schemeClr val="dk1"/>
              </a:solidFill>
              <a:latin typeface="+mn-lt"/>
              <a:ea typeface="+mn-ea"/>
              <a:cs typeface="+mn-cs"/>
            </a:rPr>
            <a:t>Core                  4oz            2 0z            4,000 oz</a:t>
          </a:r>
        </a:p>
        <a:p>
          <a:r>
            <a:rPr lang="en-US" sz="1100" b="0" i="0" u="none" strike="noStrike" baseline="0">
              <a:solidFill>
                <a:schemeClr val="dk1"/>
              </a:solidFill>
              <a:latin typeface="+mn-lt"/>
              <a:ea typeface="+mn-ea"/>
              <a:cs typeface="+mn-cs"/>
            </a:rPr>
            <a:t>Labor                2.5 min    2min          3,500 min</a:t>
          </a:r>
        </a:p>
        <a:p>
          <a:r>
            <a:rPr lang="en-US" sz="1100" b="0" i="0" u="none" strike="noStrike" baseline="0">
              <a:solidFill>
                <a:schemeClr val="dk1"/>
              </a:solidFill>
              <a:latin typeface="+mn-lt"/>
              <a:ea typeface="+mn-ea"/>
              <a:cs typeface="+mn-cs"/>
            </a:rPr>
            <a:t>Stitching         1 min        1 min        1,500 min</a:t>
          </a:r>
        </a:p>
        <a:p>
          <a:r>
            <a:rPr lang="en-US" sz="1100" b="0" i="0" u="none" strike="noStrike" baseline="0">
              <a:solidFill>
                <a:schemeClr val="dk1"/>
              </a:solidFill>
              <a:latin typeface="+mn-lt"/>
              <a:ea typeface="+mn-ea"/>
              <a:cs typeface="+mn-cs"/>
            </a:rPr>
            <a:t>a. Formulate an LP model for this problem.</a:t>
          </a:r>
        </a:p>
        <a:p>
          <a:r>
            <a:rPr lang="en-US" sz="1100" b="0" i="0" u="none" strike="noStrike" baseline="0">
              <a:solidFill>
                <a:schemeClr val="dk1"/>
              </a:solidFill>
              <a:latin typeface="+mn-lt"/>
              <a:ea typeface="+mn-ea"/>
              <a:cs typeface="+mn-cs"/>
            </a:rPr>
            <a:t>b. Sketch the feasible region.</a:t>
          </a:r>
        </a:p>
        <a:p>
          <a:r>
            <a:rPr lang="en-US" sz="1100" b="0" i="0" u="none" strike="noStrike" baseline="0">
              <a:solidFill>
                <a:schemeClr val="dk1"/>
              </a:solidFill>
              <a:latin typeface="+mn-lt"/>
              <a:ea typeface="+mn-ea"/>
              <a:cs typeface="+mn-cs"/>
            </a:rPr>
            <a:t>c. What is the optimal solution?  How many baseballs and softballs should they produce and what is the optimal profit?  Reminder:  Profit = Selling price - cost</a:t>
          </a:r>
          <a:endParaRPr lang="en-US" sz="1100"/>
        </a:p>
      </xdr:txBody>
    </xdr:sp>
    <xdr:clientData/>
  </xdr:twoCellAnchor>
  <xdr:twoCellAnchor>
    <xdr:from>
      <xdr:col>13</xdr:col>
      <xdr:colOff>206744</xdr:colOff>
      <xdr:row>2</xdr:row>
      <xdr:rowOff>66454</xdr:rowOff>
    </xdr:from>
    <xdr:to>
      <xdr:col>21</xdr:col>
      <xdr:colOff>487325</xdr:colOff>
      <xdr:row>16</xdr:row>
      <xdr:rowOff>103372</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FFBBB6B-B917-DBDD-58B6-CCCDE73C8B48}"/>
                </a:ext>
              </a:extLst>
            </xdr:cNvPr>
            <xdr:cNvSpPr txBox="1"/>
          </xdr:nvSpPr>
          <xdr:spPr>
            <a:xfrm>
              <a:off x="8941686" y="450407"/>
              <a:ext cx="5655930" cy="27245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LP</a:t>
              </a:r>
              <a:r>
                <a:rPr lang="en-US" sz="1100" baseline="0"/>
                <a:t> Model</a:t>
              </a:r>
              <a:br>
                <a:rPr lang="en-US" sz="1100" baseline="0"/>
              </a:br>
              <a:br>
                <a:rPr lang="en-US" sz="1100" baseline="0"/>
              </a:br>
              <a:r>
                <a:rPr lang="en-US" sz="1100" baseline="0"/>
                <a:t>X1= </a:t>
              </a:r>
              <a:r>
                <a:rPr lang="en-US" sz="1100" b="0" i="0">
                  <a:solidFill>
                    <a:schemeClr val="dk1"/>
                  </a:solidFill>
                  <a:effectLst/>
                  <a:latin typeface="+mn-lt"/>
                  <a:ea typeface="+mn-ea"/>
                  <a:cs typeface="+mn-cs"/>
                </a:rPr>
                <a:t>number of softballs produced</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X2= Number of baseballs produced</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Profit per softball = Selling price - Cost = </a:t>
              </a:r>
              <a14:m>
                <m:oMath xmlns:m="http://schemas.openxmlformats.org/officeDocument/2006/math">
                  <m:r>
                    <a:rPr lang="en-US" sz="1100">
                      <a:solidFill>
                        <a:schemeClr val="dk1"/>
                      </a:solidFill>
                      <a:latin typeface="Cambria Math" panose="02040503050406030204" pitchFamily="18" charset="0"/>
                      <a:ea typeface="+mn-ea"/>
                      <a:cs typeface="+mn-cs"/>
                    </a:rPr>
                    <m:t>17</m:t>
                  </m:r>
                  <m:r>
                    <a:rPr lang="en-US" sz="1100" i="0">
                      <a:solidFill>
                        <a:schemeClr val="dk1"/>
                      </a:solidFill>
                      <a:latin typeface="Cambria Math" panose="02040503050406030204" pitchFamily="18" charset="0"/>
                      <a:ea typeface="+mn-ea"/>
                      <a:cs typeface="+mn-cs"/>
                    </a:rPr>
                    <m:t>−11=6</m:t>
                  </m:r>
                </m:oMath>
              </a14:m>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Profit per baseball = </a:t>
              </a:r>
              <a14:m>
                <m:oMath xmlns:m="http://schemas.openxmlformats.org/officeDocument/2006/math">
                  <m:r>
                    <a:rPr lang="en-US" sz="1100">
                      <a:solidFill>
                        <a:schemeClr val="dk1"/>
                      </a:solidFill>
                      <a:latin typeface="Cambria Math" panose="02040503050406030204" pitchFamily="18" charset="0"/>
                      <a:ea typeface="+mn-ea"/>
                      <a:cs typeface="+mn-cs"/>
                    </a:rPr>
                    <m:t>15</m:t>
                  </m:r>
                  <m:r>
                    <a:rPr lang="en-US" sz="1100" i="0">
                      <a:solidFill>
                        <a:schemeClr val="dk1"/>
                      </a:solidFill>
                      <a:latin typeface="Cambria Math" panose="02040503050406030204" pitchFamily="18" charset="0"/>
                      <a:ea typeface="+mn-ea"/>
                      <a:cs typeface="+mn-cs"/>
                    </a:rPr>
                    <m:t>−10.5=4.5</m:t>
                  </m:r>
                </m:oMath>
              </a14:m>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Max</a:t>
              </a:r>
              <a:r>
                <a:rPr lang="en-US" sz="1100" b="0" i="0" baseline="0">
                  <a:solidFill>
                    <a:schemeClr val="dk1"/>
                  </a:solidFill>
                  <a:effectLst/>
                  <a:latin typeface="+mn-lt"/>
                  <a:ea typeface="+mn-ea"/>
                  <a:cs typeface="+mn-cs"/>
                </a:rPr>
                <a:t>= 6X1+4.5X2</a:t>
              </a: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Constrains</a:t>
              </a: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a:t>
              </a:r>
              <a:r>
                <a:rPr lang="en-US" sz="1100" b="0" i="0" u="none" strike="noStrike" baseline="0">
                  <a:solidFill>
                    <a:schemeClr val="dk1"/>
                  </a:solidFill>
                  <a:latin typeface="+mn-lt"/>
                  <a:ea typeface="+mn-ea"/>
                  <a:cs typeface="+mn-cs"/>
                </a:rPr>
                <a:t>Leather</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5</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1+4</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2≤6000</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a:t>
              </a:r>
              <a:r>
                <a:rPr lang="en-US" sz="1100" b="0" i="0" u="none" strike="noStrike" baseline="0">
                  <a:solidFill>
                    <a:schemeClr val="dk1"/>
                  </a:solidFill>
                  <a:latin typeface="+mn-lt"/>
                  <a:ea typeface="+mn-ea"/>
                  <a:cs typeface="+mn-cs"/>
                </a:rPr>
                <a:t>Nylon</a:t>
              </a:r>
              <a:r>
                <a:rPr lang="en-US" sz="1100" b="0" i="0">
                  <a:solidFill>
                    <a:schemeClr val="dk1"/>
                  </a:solidFill>
                  <a:effectLst/>
                  <a:latin typeface="+mn-lt"/>
                  <a:ea typeface="+mn-ea"/>
                  <a:cs typeface="+mn-cs"/>
                </a:rPr>
                <a:t>)</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    6</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1+3</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2≤5400</a:t>
              </a:r>
            </a:p>
            <a:p>
              <a:r>
                <a:rPr lang="en-US" sz="1100" b="0" i="0">
                  <a:solidFill>
                    <a:schemeClr val="dk1"/>
                  </a:solidFill>
                  <a:effectLst/>
                  <a:latin typeface="+mn-lt"/>
                  <a:ea typeface="+mn-ea"/>
                  <a:cs typeface="+mn-cs"/>
                </a:rPr>
                <a:t>(</a:t>
              </a:r>
              <a:r>
                <a:rPr lang="en-US" sz="1100" b="0" i="0" u="none" strike="noStrike" baseline="0">
                  <a:solidFill>
                    <a:schemeClr val="dk1"/>
                  </a:solidFill>
                  <a:latin typeface="+mn-lt"/>
                  <a:ea typeface="+mn-ea"/>
                  <a:cs typeface="+mn-cs"/>
                </a:rPr>
                <a:t>Core</a:t>
              </a:r>
              <a:r>
                <a:rPr lang="en-US" sz="1100" b="0" i="0">
                  <a:solidFill>
                    <a:schemeClr val="dk1"/>
                  </a:solidFill>
                  <a:effectLst/>
                  <a:latin typeface="+mn-lt"/>
                  <a:ea typeface="+mn-ea"/>
                  <a:cs typeface="+mn-cs"/>
                </a:rPr>
                <a:t>)       4</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1+2</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2≤4000</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a:t>
              </a:r>
              <a:r>
                <a:rPr lang="en-US" sz="1100">
                  <a:solidFill>
                    <a:schemeClr val="dk1"/>
                  </a:solidFill>
                  <a:effectLst/>
                  <a:latin typeface="+mn-lt"/>
                  <a:ea typeface="+mn-ea"/>
                  <a:cs typeface="+mn-cs"/>
                </a:rPr>
                <a:t>Labor</a:t>
              </a:r>
              <a:r>
                <a:rPr lang="en-US" sz="1100" b="0" i="0">
                  <a:solidFill>
                    <a:schemeClr val="dk1"/>
                  </a:solidFill>
                  <a:effectLst/>
                  <a:latin typeface="+mn-lt"/>
                  <a:ea typeface="+mn-ea"/>
                  <a:cs typeface="+mn-cs"/>
                </a:rPr>
                <a:t>)</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 2.5</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1+2</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2≤3500</a:t>
              </a:r>
            </a:p>
            <a:p>
              <a:r>
                <a:rPr lang="en-US" sz="1100" b="0" i="0" u="none" strike="noStrike" baseline="0">
                  <a:solidFill>
                    <a:schemeClr val="dk1"/>
                  </a:solidFill>
                  <a:latin typeface="+mn-lt"/>
                  <a:ea typeface="+mn-ea"/>
                  <a:cs typeface="+mn-cs"/>
                </a:rPr>
                <a:t>(Stitching ) </a:t>
              </a:r>
              <a:r>
                <a:rPr lang="en-US" sz="1100" b="0" i="0">
                  <a:solidFill>
                    <a:schemeClr val="dk1"/>
                  </a:solidFill>
                  <a:effectLst/>
                  <a:latin typeface="+mn-lt"/>
                  <a:ea typeface="+mn-ea"/>
                  <a:cs typeface="+mn-cs"/>
                </a:rPr>
                <a:t>1</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1+1</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2≤1500</a:t>
              </a:r>
            </a:p>
            <a:p>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1,</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2≥0</a:t>
              </a:r>
              <a:br>
                <a:rPr lang="en-US"/>
              </a:br>
              <a:br>
                <a:rPr lang="en-US"/>
              </a:br>
              <a:endParaRPr lang="en-US" sz="1100"/>
            </a:p>
          </xdr:txBody>
        </xdr:sp>
      </mc:Choice>
      <mc:Fallback xmlns="">
        <xdr:sp macro="" textlink="">
          <xdr:nvSpPr>
            <xdr:cNvPr id="3" name="TextBox 2">
              <a:extLst>
                <a:ext uri="{FF2B5EF4-FFF2-40B4-BE49-F238E27FC236}">
                  <a16:creationId xmlns:a16="http://schemas.microsoft.com/office/drawing/2014/main" id="{4FFBBB6B-B917-DBDD-58B6-CCCDE73C8B48}"/>
                </a:ext>
              </a:extLst>
            </xdr:cNvPr>
            <xdr:cNvSpPr txBox="1"/>
          </xdr:nvSpPr>
          <xdr:spPr>
            <a:xfrm>
              <a:off x="8941686" y="450407"/>
              <a:ext cx="5655930" cy="27245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LP</a:t>
              </a:r>
              <a:r>
                <a:rPr lang="en-US" sz="1100" baseline="0"/>
                <a:t> Model</a:t>
              </a:r>
              <a:br>
                <a:rPr lang="en-US" sz="1100" baseline="0"/>
              </a:br>
              <a:br>
                <a:rPr lang="en-US" sz="1100" baseline="0"/>
              </a:br>
              <a:r>
                <a:rPr lang="en-US" sz="1100" baseline="0"/>
                <a:t>X1= </a:t>
              </a:r>
              <a:r>
                <a:rPr lang="en-US" sz="1100" b="0" i="0">
                  <a:solidFill>
                    <a:schemeClr val="dk1"/>
                  </a:solidFill>
                  <a:effectLst/>
                  <a:latin typeface="+mn-lt"/>
                  <a:ea typeface="+mn-ea"/>
                  <a:cs typeface="+mn-cs"/>
                </a:rPr>
                <a:t>number of softballs produced</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X2= Number of baseballs produced</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Profit per softball = Selling price - Cost = </a:t>
              </a:r>
              <a:r>
                <a:rPr lang="en-US" sz="1100" i="0">
                  <a:solidFill>
                    <a:schemeClr val="dk1"/>
                  </a:solidFill>
                  <a:latin typeface="+mn-lt"/>
                  <a:ea typeface="+mn-ea"/>
                  <a:cs typeface="+mn-cs"/>
                </a:rPr>
                <a:t>17−11=6</a:t>
              </a:r>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Profit per baseball = </a:t>
              </a:r>
              <a:r>
                <a:rPr lang="en-US" sz="1100" i="0">
                  <a:solidFill>
                    <a:schemeClr val="dk1"/>
                  </a:solidFill>
                  <a:latin typeface="+mn-lt"/>
                  <a:ea typeface="+mn-ea"/>
                  <a:cs typeface="+mn-cs"/>
                </a:rPr>
                <a:t>15−10.5=4.5</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Max</a:t>
              </a:r>
              <a:r>
                <a:rPr lang="en-US" sz="1100" b="0" i="0" baseline="0">
                  <a:solidFill>
                    <a:schemeClr val="dk1"/>
                  </a:solidFill>
                  <a:effectLst/>
                  <a:latin typeface="+mn-lt"/>
                  <a:ea typeface="+mn-ea"/>
                  <a:cs typeface="+mn-cs"/>
                </a:rPr>
                <a:t>= 6X1+4.5X2</a:t>
              </a: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Constrains</a:t>
              </a: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a:t>
              </a:r>
              <a:r>
                <a:rPr lang="en-US" sz="1100" b="0" i="0" u="none" strike="noStrike" baseline="0">
                  <a:solidFill>
                    <a:schemeClr val="dk1"/>
                  </a:solidFill>
                  <a:latin typeface="+mn-lt"/>
                  <a:ea typeface="+mn-ea"/>
                  <a:cs typeface="+mn-cs"/>
                </a:rPr>
                <a:t>Leather</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5</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1+4</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2≤6000</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a:t>
              </a:r>
              <a:r>
                <a:rPr lang="en-US" sz="1100" b="0" i="0" u="none" strike="noStrike" baseline="0">
                  <a:solidFill>
                    <a:schemeClr val="dk1"/>
                  </a:solidFill>
                  <a:latin typeface="+mn-lt"/>
                  <a:ea typeface="+mn-ea"/>
                  <a:cs typeface="+mn-cs"/>
                </a:rPr>
                <a:t>Nylon</a:t>
              </a:r>
              <a:r>
                <a:rPr lang="en-US" sz="1100" b="0" i="0">
                  <a:solidFill>
                    <a:schemeClr val="dk1"/>
                  </a:solidFill>
                  <a:effectLst/>
                  <a:latin typeface="+mn-lt"/>
                  <a:ea typeface="+mn-ea"/>
                  <a:cs typeface="+mn-cs"/>
                </a:rPr>
                <a:t>)</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    6</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1+3</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2≤5400</a:t>
              </a:r>
            </a:p>
            <a:p>
              <a:r>
                <a:rPr lang="en-US" sz="1100" b="0" i="0">
                  <a:solidFill>
                    <a:schemeClr val="dk1"/>
                  </a:solidFill>
                  <a:effectLst/>
                  <a:latin typeface="+mn-lt"/>
                  <a:ea typeface="+mn-ea"/>
                  <a:cs typeface="+mn-cs"/>
                </a:rPr>
                <a:t>(</a:t>
              </a:r>
              <a:r>
                <a:rPr lang="en-US" sz="1100" b="0" i="0" u="none" strike="noStrike" baseline="0">
                  <a:solidFill>
                    <a:schemeClr val="dk1"/>
                  </a:solidFill>
                  <a:latin typeface="+mn-lt"/>
                  <a:ea typeface="+mn-ea"/>
                  <a:cs typeface="+mn-cs"/>
                </a:rPr>
                <a:t>Core</a:t>
              </a:r>
              <a:r>
                <a:rPr lang="en-US" sz="1100" b="0" i="0">
                  <a:solidFill>
                    <a:schemeClr val="dk1"/>
                  </a:solidFill>
                  <a:effectLst/>
                  <a:latin typeface="+mn-lt"/>
                  <a:ea typeface="+mn-ea"/>
                  <a:cs typeface="+mn-cs"/>
                </a:rPr>
                <a:t>)       4</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1+2</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2≤4000</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a:t>
              </a:r>
              <a:r>
                <a:rPr lang="en-US" sz="1100">
                  <a:solidFill>
                    <a:schemeClr val="dk1"/>
                  </a:solidFill>
                  <a:effectLst/>
                  <a:latin typeface="+mn-lt"/>
                  <a:ea typeface="+mn-ea"/>
                  <a:cs typeface="+mn-cs"/>
                </a:rPr>
                <a:t>Labor</a:t>
              </a:r>
              <a:r>
                <a:rPr lang="en-US" sz="1100" b="0" i="0">
                  <a:solidFill>
                    <a:schemeClr val="dk1"/>
                  </a:solidFill>
                  <a:effectLst/>
                  <a:latin typeface="+mn-lt"/>
                  <a:ea typeface="+mn-ea"/>
                  <a:cs typeface="+mn-cs"/>
                </a:rPr>
                <a:t>)</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 2.5</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1+2</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2≤3500</a:t>
              </a:r>
            </a:p>
            <a:p>
              <a:r>
                <a:rPr lang="en-US" sz="1100" b="0" i="0" u="none" strike="noStrike" baseline="0">
                  <a:solidFill>
                    <a:schemeClr val="dk1"/>
                  </a:solidFill>
                  <a:latin typeface="+mn-lt"/>
                  <a:ea typeface="+mn-ea"/>
                  <a:cs typeface="+mn-cs"/>
                </a:rPr>
                <a:t>(Stitching ) </a:t>
              </a:r>
              <a:r>
                <a:rPr lang="en-US" sz="1100" b="0" i="0">
                  <a:solidFill>
                    <a:schemeClr val="dk1"/>
                  </a:solidFill>
                  <a:effectLst/>
                  <a:latin typeface="+mn-lt"/>
                  <a:ea typeface="+mn-ea"/>
                  <a:cs typeface="+mn-cs"/>
                </a:rPr>
                <a:t>1</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1+1</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2≤1500</a:t>
              </a:r>
            </a:p>
            <a:p>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1,</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2≥0</a:t>
              </a:r>
              <a:br>
                <a:rPr lang="en-US"/>
              </a:br>
              <a:br>
                <a:rPr lang="en-US"/>
              </a:br>
              <a:endParaRPr lang="en-US" sz="1100"/>
            </a:p>
          </xdr:txBody>
        </xdr:sp>
      </mc:Fallback>
    </mc:AlternateContent>
    <xdr:clientData/>
  </xdr:twoCellAnchor>
  <xdr:twoCellAnchor>
    <xdr:from>
      <xdr:col>9</xdr:col>
      <xdr:colOff>512431</xdr:colOff>
      <xdr:row>16</xdr:row>
      <xdr:rowOff>186365</xdr:rowOff>
    </xdr:from>
    <xdr:to>
      <xdr:col>16</xdr:col>
      <xdr:colOff>381000</xdr:colOff>
      <xdr:row>31</xdr:row>
      <xdr:rowOff>49914</xdr:rowOff>
    </xdr:to>
    <xdr:graphicFrame macro="">
      <xdr:nvGraphicFramePr>
        <xdr:cNvPr id="4" name="Chart 3">
          <a:extLst>
            <a:ext uri="{FF2B5EF4-FFF2-40B4-BE49-F238E27FC236}">
              <a16:creationId xmlns:a16="http://schemas.microsoft.com/office/drawing/2014/main" id="{41E5EAFE-1891-674A-C9FF-C56BC8966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188820</xdr:colOff>
      <xdr:row>23</xdr:row>
      <xdr:rowOff>67740</xdr:rowOff>
    </xdr:from>
    <xdr:to>
      <xdr:col>9</xdr:col>
      <xdr:colOff>189180</xdr:colOff>
      <xdr:row>23</xdr:row>
      <xdr:rowOff>68100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109" name="Ink 108">
              <a:extLst>
                <a:ext uri="{FF2B5EF4-FFF2-40B4-BE49-F238E27FC236}">
                  <a16:creationId xmlns:a16="http://schemas.microsoft.com/office/drawing/2014/main" id="{2D66F40C-3857-3EFF-ABE1-CBE9188C2D4D}"/>
                </a:ext>
              </a:extLst>
            </xdr14:cNvPr>
            <xdr14:cNvContentPartPr/>
          </xdr14:nvContentPartPr>
          <xdr14:nvPr macro=""/>
          <xdr14:xfrm>
            <a:off x="6246720" y="4449240"/>
            <a:ext cx="360" cy="360"/>
          </xdr14:xfrm>
        </xdr:contentPart>
      </mc:Choice>
      <mc:Fallback xmlns="">
        <xdr:pic>
          <xdr:nvPicPr>
            <xdr:cNvPr id="109" name="Ink 108">
              <a:extLst>
                <a:ext uri="{FF2B5EF4-FFF2-40B4-BE49-F238E27FC236}">
                  <a16:creationId xmlns:a16="http://schemas.microsoft.com/office/drawing/2014/main" id="{2D66F40C-3857-3EFF-ABE1-CBE9188C2D4D}"/>
                </a:ext>
              </a:extLst>
            </xdr:cNvPr>
            <xdr:cNvPicPr/>
          </xdr:nvPicPr>
          <xdr:blipFill>
            <a:blip xmlns:r="http://schemas.openxmlformats.org/officeDocument/2006/relationships" r:embed="rId3"/>
            <a:stretch>
              <a:fillRect/>
            </a:stretch>
          </xdr:blipFill>
          <xdr:spPr>
            <a:xfrm>
              <a:off x="6237720" y="4440600"/>
              <a:ext cx="18000" cy="18000"/>
            </a:xfrm>
            <a:prstGeom prst="rect">
              <a:avLst/>
            </a:prstGeom>
          </xdr:spPr>
        </xdr:pic>
      </mc:Fallback>
    </mc:AlternateContent>
    <xdr:clientData/>
  </xdr:twoCellAnchor>
  <xdr:twoCellAnchor>
    <xdr:from>
      <xdr:col>21</xdr:col>
      <xdr:colOff>600489</xdr:colOff>
      <xdr:row>2</xdr:row>
      <xdr:rowOff>69021</xdr:rowOff>
    </xdr:from>
    <xdr:to>
      <xdr:col>25</xdr:col>
      <xdr:colOff>299785</xdr:colOff>
      <xdr:row>17</xdr:row>
      <xdr:rowOff>70859</xdr:rowOff>
    </xdr:to>
    <xdr:sp macro="" textlink="">
      <xdr:nvSpPr>
        <xdr:cNvPr id="110" name="TextBox 109">
          <a:extLst>
            <a:ext uri="{FF2B5EF4-FFF2-40B4-BE49-F238E27FC236}">
              <a16:creationId xmlns:a16="http://schemas.microsoft.com/office/drawing/2014/main" id="{B6C19545-3B16-3183-A7F4-92CDB31CD092}"/>
            </a:ext>
          </a:extLst>
        </xdr:cNvPr>
        <xdr:cNvSpPr txBox="1"/>
      </xdr:nvSpPr>
      <xdr:spPr>
        <a:xfrm>
          <a:off x="14962935" y="428763"/>
          <a:ext cx="2381013" cy="26999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0" i="0">
              <a:solidFill>
                <a:schemeClr val="dk1"/>
              </a:solidFill>
              <a:effectLst/>
              <a:latin typeface="+mn-lt"/>
              <a:ea typeface="+mn-ea"/>
              <a:cs typeface="+mn-cs"/>
            </a:rPr>
            <a:t>Given inequalities:</a:t>
          </a:r>
        </a:p>
        <a:p>
          <a:r>
            <a:rPr lang="en-US" sz="1000" b="0" i="0">
              <a:solidFill>
                <a:schemeClr val="dk1"/>
              </a:solidFill>
              <a:effectLst/>
              <a:latin typeface="+mn-lt"/>
              <a:ea typeface="+mn-ea"/>
              <a:cs typeface="+mn-cs"/>
            </a:rPr>
            <a:t>5*X1 + 4*X2 &lt;= 6000</a:t>
          </a:r>
        </a:p>
        <a:p>
          <a:r>
            <a:rPr lang="en-US" sz="1000" b="0" i="0">
              <a:solidFill>
                <a:schemeClr val="dk1"/>
              </a:solidFill>
              <a:effectLst/>
              <a:latin typeface="+mn-lt"/>
              <a:ea typeface="+mn-ea"/>
              <a:cs typeface="+mn-cs"/>
            </a:rPr>
            <a:t>6*X1 + 3*X2 &lt;= 5400</a:t>
          </a:r>
        </a:p>
        <a:p>
          <a:r>
            <a:rPr lang="en-US" sz="1000" b="0" i="0">
              <a:solidFill>
                <a:schemeClr val="dk1"/>
              </a:solidFill>
              <a:effectLst/>
              <a:latin typeface="+mn-lt"/>
              <a:ea typeface="+mn-ea"/>
              <a:cs typeface="+mn-cs"/>
            </a:rPr>
            <a:t>Step 1: Solve for X1 from first inequality:</a:t>
          </a:r>
        </a:p>
        <a:p>
          <a:r>
            <a:rPr lang="en-US" sz="1000" b="0" i="0">
              <a:solidFill>
                <a:schemeClr val="dk1"/>
              </a:solidFill>
              <a:effectLst/>
              <a:latin typeface="+mn-lt"/>
              <a:ea typeface="+mn-ea"/>
              <a:cs typeface="+mn-cs"/>
            </a:rPr>
            <a:t>X1 &lt;= (6000 - 4*X2) / 5</a:t>
          </a:r>
        </a:p>
        <a:p>
          <a:r>
            <a:rPr lang="en-US" sz="1000" b="0" i="0">
              <a:solidFill>
                <a:schemeClr val="dk1"/>
              </a:solidFill>
              <a:effectLst/>
              <a:latin typeface="+mn-lt"/>
              <a:ea typeface="+mn-ea"/>
              <a:cs typeface="+mn-cs"/>
            </a:rPr>
            <a:t>X1 &lt;= 1200 - (4/5)*X2</a:t>
          </a:r>
        </a:p>
        <a:p>
          <a:r>
            <a:rPr lang="en-US" sz="1000" b="0" i="0">
              <a:solidFill>
                <a:schemeClr val="dk1"/>
              </a:solidFill>
              <a:effectLst/>
              <a:latin typeface="+mn-lt"/>
              <a:ea typeface="+mn-ea"/>
              <a:cs typeface="+mn-cs"/>
            </a:rPr>
            <a:t>Step 2: Substitute X1 into second inequality:</a:t>
          </a:r>
        </a:p>
        <a:p>
          <a:r>
            <a:rPr lang="en-US" sz="1000" b="0" i="0">
              <a:solidFill>
                <a:schemeClr val="dk1"/>
              </a:solidFill>
              <a:effectLst/>
              <a:latin typeface="+mn-lt"/>
              <a:ea typeface="+mn-ea"/>
              <a:cs typeface="+mn-cs"/>
            </a:rPr>
            <a:t>6*(1200 - (4/5)*X2) + 3*X2 &lt;= 5400</a:t>
          </a:r>
        </a:p>
        <a:p>
          <a:r>
            <a:rPr lang="en-US" sz="1000" b="0" i="0">
              <a:solidFill>
                <a:schemeClr val="dk1"/>
              </a:solidFill>
              <a:effectLst/>
              <a:latin typeface="+mn-lt"/>
              <a:ea typeface="+mn-ea"/>
              <a:cs typeface="+mn-cs"/>
            </a:rPr>
            <a:t>Simplify:</a:t>
          </a:r>
        </a:p>
        <a:p>
          <a:r>
            <a:rPr lang="en-US" sz="1000" b="0" i="0">
              <a:solidFill>
                <a:schemeClr val="dk1"/>
              </a:solidFill>
              <a:effectLst/>
              <a:latin typeface="+mn-lt"/>
              <a:ea typeface="+mn-ea"/>
              <a:cs typeface="+mn-cs"/>
            </a:rPr>
            <a:t>7200 - 6*(4/5)*X2 + 3*X2 &lt;= 5400</a:t>
          </a:r>
        </a:p>
        <a:p>
          <a:r>
            <a:rPr lang="en-US" sz="1000" b="0" i="0">
              <a:solidFill>
                <a:schemeClr val="dk1"/>
              </a:solidFill>
              <a:effectLst/>
              <a:latin typeface="+mn-lt"/>
              <a:ea typeface="+mn-ea"/>
              <a:cs typeface="+mn-cs"/>
            </a:rPr>
            <a:t>7200 - (24/5)*X2 + 3*X2 &lt;= 5400</a:t>
          </a:r>
        </a:p>
        <a:p>
          <a:r>
            <a:rPr lang="en-US" sz="1000" b="0" i="0">
              <a:solidFill>
                <a:schemeClr val="dk1"/>
              </a:solidFill>
              <a:effectLst/>
              <a:latin typeface="+mn-lt"/>
              <a:ea typeface="+mn-ea"/>
              <a:cs typeface="+mn-cs"/>
            </a:rPr>
            <a:t>7200 - (24/5)*X2 + (15/5)*X2 &lt;= 5400</a:t>
          </a:r>
        </a:p>
        <a:p>
          <a:r>
            <a:rPr lang="en-US" sz="1000" b="0" i="0">
              <a:solidFill>
                <a:schemeClr val="dk1"/>
              </a:solidFill>
              <a:effectLst/>
              <a:latin typeface="+mn-lt"/>
              <a:ea typeface="+mn-ea"/>
              <a:cs typeface="+mn-cs"/>
            </a:rPr>
            <a:t>7200 - (9/5)*X2 &lt;= 5400</a:t>
          </a:r>
        </a:p>
        <a:p>
          <a:r>
            <a:rPr lang="en-US" sz="1000" b="0" i="0">
              <a:solidFill>
                <a:schemeClr val="dk1"/>
              </a:solidFill>
              <a:effectLst/>
              <a:latin typeface="+mn-lt"/>
              <a:ea typeface="+mn-ea"/>
              <a:cs typeface="+mn-cs"/>
            </a:rPr>
            <a:t>Subtract 7200 from both sides:</a:t>
          </a:r>
        </a:p>
        <a:p>
          <a:r>
            <a:rPr lang="en-US" sz="1000" b="0" i="0">
              <a:solidFill>
                <a:schemeClr val="dk1"/>
              </a:solidFill>
              <a:effectLst/>
              <a:latin typeface="+mn-lt"/>
              <a:ea typeface="+mn-ea"/>
              <a:cs typeface="+mn-cs"/>
            </a:rPr>
            <a:t>-(9/5)*X2 &lt;= 5400 - 7200</a:t>
          </a:r>
        </a:p>
        <a:p>
          <a:r>
            <a:rPr lang="en-US" sz="1000" b="0" i="0">
              <a:solidFill>
                <a:schemeClr val="dk1"/>
              </a:solidFill>
              <a:effectLst/>
              <a:latin typeface="+mn-lt"/>
              <a:ea typeface="+mn-ea"/>
              <a:cs typeface="+mn-cs"/>
            </a:rPr>
            <a:t>-(9/5)*X2 &lt;= -1800</a:t>
          </a:r>
        </a:p>
        <a:p>
          <a:br>
            <a:rPr lang="en-US" sz="1000"/>
          </a:br>
          <a:endParaRPr lang="en-US" sz="1000"/>
        </a:p>
      </xdr:txBody>
    </xdr:sp>
    <xdr:clientData/>
  </xdr:twoCellAnchor>
  <xdr:twoCellAnchor editAs="oneCell">
    <xdr:from>
      <xdr:col>10</xdr:col>
      <xdr:colOff>250018</xdr:colOff>
      <xdr:row>22</xdr:row>
      <xdr:rowOff>140000</xdr:rowOff>
    </xdr:from>
    <xdr:to>
      <xdr:col>12</xdr:col>
      <xdr:colOff>212480</xdr:colOff>
      <xdr:row>29</xdr:row>
      <xdr:rowOff>155958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6" name="Ink 5">
              <a:extLst>
                <a:ext uri="{FF2B5EF4-FFF2-40B4-BE49-F238E27FC236}">
                  <a16:creationId xmlns:a16="http://schemas.microsoft.com/office/drawing/2014/main" id="{49C1C3D2-1FC6-4923-ECF9-A91B42D3BF48}"/>
                </a:ext>
              </a:extLst>
            </xdr14:cNvPr>
            <xdr14:cNvContentPartPr/>
          </xdr14:nvContentPartPr>
          <xdr14:nvPr macro=""/>
          <xdr14:xfrm>
            <a:off x="7027200" y="4077000"/>
            <a:ext cx="1313280" cy="1268640"/>
          </xdr14:xfrm>
        </xdr:contentPart>
      </mc:Choice>
      <mc:Fallback xmlns="">
        <xdr:pic>
          <xdr:nvPicPr>
            <xdr:cNvPr id="6" name="Ink 5">
              <a:extLst>
                <a:ext uri="{FF2B5EF4-FFF2-40B4-BE49-F238E27FC236}">
                  <a16:creationId xmlns:a16="http://schemas.microsoft.com/office/drawing/2014/main" id="{49C1C3D2-1FC6-4923-ECF9-A91B42D3BF48}"/>
                </a:ext>
              </a:extLst>
            </xdr:cNvPr>
            <xdr:cNvPicPr/>
          </xdr:nvPicPr>
          <xdr:blipFill>
            <a:blip xmlns:r="http://schemas.openxmlformats.org/officeDocument/2006/relationships" r:embed="rId5"/>
            <a:stretch>
              <a:fillRect/>
            </a:stretch>
          </xdr:blipFill>
          <xdr:spPr>
            <a:xfrm>
              <a:off x="7009200" y="4041360"/>
              <a:ext cx="1348920" cy="1340280"/>
            </a:xfrm>
            <a:prstGeom prst="rect">
              <a:avLst/>
            </a:prstGeom>
          </xdr:spPr>
        </xdr:pic>
      </mc:Fallback>
    </mc:AlternateContent>
    <xdr:clientData/>
  </xdr:twoCellAnchor>
  <xdr:twoCellAnchor editAs="oneCell">
    <xdr:from>
      <xdr:col>10</xdr:col>
      <xdr:colOff>181258</xdr:colOff>
      <xdr:row>23</xdr:row>
      <xdr:rowOff>51405</xdr:rowOff>
    </xdr:from>
    <xdr:to>
      <xdr:col>11</xdr:col>
      <xdr:colOff>616809</xdr:colOff>
      <xdr:row>29</xdr:row>
      <xdr:rowOff>124998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7" name="Ink 6">
              <a:extLst>
                <a:ext uri="{FF2B5EF4-FFF2-40B4-BE49-F238E27FC236}">
                  <a16:creationId xmlns:a16="http://schemas.microsoft.com/office/drawing/2014/main" id="{4FE9637F-8CBE-AE86-8A2E-C2BD8E3EA684}"/>
                </a:ext>
              </a:extLst>
            </xdr14:cNvPr>
            <xdr14:cNvContentPartPr/>
          </xdr14:nvContentPartPr>
          <xdr14:nvPr macro=""/>
          <xdr14:xfrm>
            <a:off x="6958440" y="4167360"/>
            <a:ext cx="1110960" cy="1147320"/>
          </xdr14:xfrm>
        </xdr:contentPart>
      </mc:Choice>
      <mc:Fallback xmlns="">
        <xdr:pic>
          <xdr:nvPicPr>
            <xdr:cNvPr id="7" name="Ink 6">
              <a:extLst>
                <a:ext uri="{FF2B5EF4-FFF2-40B4-BE49-F238E27FC236}">
                  <a16:creationId xmlns:a16="http://schemas.microsoft.com/office/drawing/2014/main" id="{4FE9637F-8CBE-AE86-8A2E-C2BD8E3EA684}"/>
                </a:ext>
              </a:extLst>
            </xdr:cNvPr>
            <xdr:cNvPicPr/>
          </xdr:nvPicPr>
          <xdr:blipFill>
            <a:blip xmlns:r="http://schemas.openxmlformats.org/officeDocument/2006/relationships" r:embed="rId7"/>
            <a:stretch>
              <a:fillRect/>
            </a:stretch>
          </xdr:blipFill>
          <xdr:spPr>
            <a:xfrm>
              <a:off x="6940440" y="4131720"/>
              <a:ext cx="1146600" cy="1218960"/>
            </a:xfrm>
            <a:prstGeom prst="rect">
              <a:avLst/>
            </a:prstGeom>
          </xdr:spPr>
        </xdr:pic>
      </mc:Fallback>
    </mc:AlternateContent>
    <xdr:clientData/>
  </xdr:twoCellAnchor>
  <xdr:twoCellAnchor editAs="oneCell">
    <xdr:from>
      <xdr:col>6</xdr:col>
      <xdr:colOff>73369</xdr:colOff>
      <xdr:row>1</xdr:row>
      <xdr:rowOff>161593</xdr:rowOff>
    </xdr:from>
    <xdr:to>
      <xdr:col>6</xdr:col>
      <xdr:colOff>73729</xdr:colOff>
      <xdr:row>1</xdr:row>
      <xdr:rowOff>161953</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 name="Ink 7">
              <a:extLst>
                <a:ext uri="{FF2B5EF4-FFF2-40B4-BE49-F238E27FC236}">
                  <a16:creationId xmlns:a16="http://schemas.microsoft.com/office/drawing/2014/main" id="{76854CB6-E810-B03A-DAAC-585CEE29968E}"/>
                </a:ext>
              </a:extLst>
            </xdr14:cNvPr>
            <xdr14:cNvContentPartPr/>
          </xdr14:nvContentPartPr>
          <xdr14:nvPr macro=""/>
          <xdr14:xfrm>
            <a:off x="4115520" y="339120"/>
            <a:ext cx="360" cy="360"/>
          </xdr14:xfrm>
        </xdr:contentPart>
      </mc:Choice>
      <mc:Fallback xmlns="">
        <xdr:pic>
          <xdr:nvPicPr>
            <xdr:cNvPr id="8" name="Ink 7">
              <a:extLst>
                <a:ext uri="{FF2B5EF4-FFF2-40B4-BE49-F238E27FC236}">
                  <a16:creationId xmlns:a16="http://schemas.microsoft.com/office/drawing/2014/main" id="{76854CB6-E810-B03A-DAAC-585CEE29968E}"/>
                </a:ext>
              </a:extLst>
            </xdr:cNvPr>
            <xdr:cNvPicPr/>
          </xdr:nvPicPr>
          <xdr:blipFill>
            <a:blip xmlns:r="http://schemas.openxmlformats.org/officeDocument/2006/relationships" r:embed="rId9"/>
            <a:stretch>
              <a:fillRect/>
            </a:stretch>
          </xdr:blipFill>
          <xdr:spPr>
            <a:xfrm>
              <a:off x="4097880" y="303120"/>
              <a:ext cx="36000" cy="72000"/>
            </a:xfrm>
            <a:prstGeom prst="rect">
              <a:avLst/>
            </a:prstGeom>
          </xdr:spPr>
        </xdr:pic>
      </mc:Fallback>
    </mc:AlternateContent>
    <xdr:clientData/>
  </xdr:twoCellAnchor>
  <xdr:twoCellAnchor>
    <xdr:from>
      <xdr:col>25</xdr:col>
      <xdr:colOff>397897</xdr:colOff>
      <xdr:row>2</xdr:row>
      <xdr:rowOff>81760</xdr:rowOff>
    </xdr:from>
    <xdr:to>
      <xdr:col>30</xdr:col>
      <xdr:colOff>212575</xdr:colOff>
      <xdr:row>13</xdr:row>
      <xdr:rowOff>136266</xdr:rowOff>
    </xdr:to>
    <xdr:sp macro="" textlink="">
      <xdr:nvSpPr>
        <xdr:cNvPr id="9" name="TextBox 8">
          <a:extLst>
            <a:ext uri="{FF2B5EF4-FFF2-40B4-BE49-F238E27FC236}">
              <a16:creationId xmlns:a16="http://schemas.microsoft.com/office/drawing/2014/main" id="{5794AD39-5D20-1F03-F9A3-42E340695360}"/>
            </a:ext>
          </a:extLst>
        </xdr:cNvPr>
        <xdr:cNvSpPr txBox="1"/>
      </xdr:nvSpPr>
      <xdr:spPr>
        <a:xfrm>
          <a:off x="17442060" y="441502"/>
          <a:ext cx="3166824" cy="20330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Multiply both sides by (-5/9) (reverse inequality):</a:t>
          </a:r>
        </a:p>
        <a:p>
          <a:r>
            <a:rPr lang="en-US" sz="1100" b="0" i="0">
              <a:solidFill>
                <a:schemeClr val="dk1"/>
              </a:solidFill>
              <a:effectLst/>
              <a:latin typeface="+mn-lt"/>
              <a:ea typeface="+mn-ea"/>
              <a:cs typeface="+mn-cs"/>
            </a:rPr>
            <a:t>X2 &gt;= (-1800)*(-5/9)</a:t>
          </a:r>
        </a:p>
        <a:p>
          <a:r>
            <a:rPr lang="en-US" sz="1100" b="0" i="0">
              <a:solidFill>
                <a:schemeClr val="dk1"/>
              </a:solidFill>
              <a:effectLst/>
              <a:latin typeface="+mn-lt"/>
              <a:ea typeface="+mn-ea"/>
              <a:cs typeface="+mn-cs"/>
            </a:rPr>
            <a:t>X2 &gt;= 1000</a:t>
          </a:r>
        </a:p>
        <a:p>
          <a:r>
            <a:rPr lang="en-US" sz="1100" b="0" i="0">
              <a:solidFill>
                <a:schemeClr val="dk1"/>
              </a:solidFill>
              <a:effectLst/>
              <a:latin typeface="+mn-lt"/>
              <a:ea typeface="+mn-ea"/>
              <a:cs typeface="+mn-cs"/>
            </a:rPr>
            <a:t>Step 3: Solve for X1 using X2 = 1000</a:t>
          </a:r>
        </a:p>
        <a:p>
          <a:r>
            <a:rPr lang="en-US" sz="1100" b="0" i="0">
              <a:solidFill>
                <a:schemeClr val="dk1"/>
              </a:solidFill>
              <a:effectLst/>
              <a:latin typeface="+mn-lt"/>
              <a:ea typeface="+mn-ea"/>
              <a:cs typeface="+mn-cs"/>
            </a:rPr>
            <a:t>X1 &lt;= 1200 - (4/5)*1000</a:t>
          </a:r>
        </a:p>
        <a:p>
          <a:r>
            <a:rPr lang="en-US" sz="1100" b="0" i="0">
              <a:solidFill>
                <a:schemeClr val="dk1"/>
              </a:solidFill>
              <a:effectLst/>
              <a:latin typeface="+mn-lt"/>
              <a:ea typeface="+mn-ea"/>
              <a:cs typeface="+mn-cs"/>
            </a:rPr>
            <a:t>X1 &lt;= 1200 - 800</a:t>
          </a:r>
        </a:p>
        <a:p>
          <a:r>
            <a:rPr lang="en-US" sz="1100" b="0" i="0">
              <a:solidFill>
                <a:schemeClr val="dk1"/>
              </a:solidFill>
              <a:effectLst/>
              <a:latin typeface="+mn-lt"/>
              <a:ea typeface="+mn-ea"/>
              <a:cs typeface="+mn-cs"/>
            </a:rPr>
            <a:t>X1 &lt;= 400</a:t>
          </a:r>
        </a:p>
        <a:p>
          <a:r>
            <a:rPr lang="en-US" sz="1100" b="0" i="0">
              <a:solidFill>
                <a:schemeClr val="dk1"/>
              </a:solidFill>
              <a:effectLst/>
              <a:latin typeface="+mn-lt"/>
              <a:ea typeface="+mn-ea"/>
              <a:cs typeface="+mn-cs"/>
            </a:rPr>
            <a:t>Final solution:</a:t>
          </a:r>
        </a:p>
        <a:p>
          <a:r>
            <a:rPr lang="en-US" sz="1100" b="0" i="0">
              <a:solidFill>
                <a:schemeClr val="dk1"/>
              </a:solidFill>
              <a:effectLst/>
              <a:latin typeface="+mn-lt"/>
              <a:ea typeface="+mn-ea"/>
              <a:cs typeface="+mn-cs"/>
            </a:rPr>
            <a:t>X2 = 1000</a:t>
          </a:r>
        </a:p>
        <a:p>
          <a:r>
            <a:rPr lang="en-US" sz="1100" b="0" i="0">
              <a:solidFill>
                <a:schemeClr val="dk1"/>
              </a:solidFill>
              <a:effectLst/>
              <a:latin typeface="+mn-lt"/>
              <a:ea typeface="+mn-ea"/>
              <a:cs typeface="+mn-cs"/>
            </a:rPr>
            <a:t>X1 = 400</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561975</xdr:colOff>
      <xdr:row>2</xdr:row>
      <xdr:rowOff>19050</xdr:rowOff>
    </xdr:from>
    <xdr:to>
      <xdr:col>11</xdr:col>
      <xdr:colOff>314325</xdr:colOff>
      <xdr:row>13</xdr:row>
      <xdr:rowOff>161925</xdr:rowOff>
    </xdr:to>
    <xdr:sp macro="" textlink="">
      <xdr:nvSpPr>
        <xdr:cNvPr id="2" name="TextBox 1">
          <a:extLst>
            <a:ext uri="{FF2B5EF4-FFF2-40B4-BE49-F238E27FC236}">
              <a16:creationId xmlns:a16="http://schemas.microsoft.com/office/drawing/2014/main" id="{6B3365B7-5C20-6EC3-8DA6-F19894074267}"/>
            </a:ext>
          </a:extLst>
        </xdr:cNvPr>
        <xdr:cNvSpPr txBox="1"/>
      </xdr:nvSpPr>
      <xdr:spPr>
        <a:xfrm>
          <a:off x="2390775" y="400050"/>
          <a:ext cx="4629150" cy="2238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dk1"/>
              </a:solidFill>
              <a:latin typeface="+mn-lt"/>
              <a:ea typeface="+mn-ea"/>
              <a:cs typeface="+mn-cs"/>
            </a:rPr>
            <a:t>Oakton Manufacturing makes two types of rocking chairs specifically designed for men and women known as the His and Hers models. Each chair requires four legs and two rockers but differing numbers of wooden dowels. Each His chair requires four short dowels and eight long dowels while each Hers chair requires eight short dowels and four long dowels. Each His chair contributes $10 in profit while each Hers chair contributes $12. The company has 900 legs, 400 rockers, 1200 short dowels, and 1056 long dowels available. The company wants to maximize its profit  while also ensuring that it makes at least half as many His chairs as Hers chairs. (Hint:  2Xhis - Xhers &gt;= 0 or X1 -.5X2&gt;= 0)</a:t>
          </a:r>
        </a:p>
        <a:p>
          <a:r>
            <a:rPr lang="en-US" sz="1100" b="0" i="0" u="none" strike="noStrike" baseline="0">
              <a:solidFill>
                <a:schemeClr val="dk1"/>
              </a:solidFill>
              <a:latin typeface="+mn-lt"/>
              <a:ea typeface="+mn-ea"/>
              <a:cs typeface="+mn-cs"/>
            </a:rPr>
            <a:t>a. Formulate an LP model for this problem.</a:t>
          </a:r>
        </a:p>
        <a:p>
          <a:r>
            <a:rPr lang="en-US" sz="1100" b="0" i="0" u="none" strike="noStrike" baseline="0">
              <a:solidFill>
                <a:schemeClr val="dk1"/>
              </a:solidFill>
              <a:latin typeface="+mn-lt"/>
              <a:ea typeface="+mn-ea"/>
              <a:cs typeface="+mn-cs"/>
            </a:rPr>
            <a:t>b. Sketch the feasible region for this problem.</a:t>
          </a:r>
        </a:p>
        <a:p>
          <a:r>
            <a:rPr lang="en-US" sz="1100" b="0" i="0" u="none" strike="noStrike" baseline="0">
              <a:solidFill>
                <a:schemeClr val="dk1"/>
              </a:solidFill>
              <a:latin typeface="+mn-lt"/>
              <a:ea typeface="+mn-ea"/>
              <a:cs typeface="+mn-cs"/>
            </a:rPr>
            <a:t>c. Find the optimal solution.</a:t>
          </a:r>
        </a:p>
      </xdr:txBody>
    </xdr:sp>
    <xdr:clientData/>
  </xdr:twoCellAnchor>
  <xdr:twoCellAnchor>
    <xdr:from>
      <xdr:col>11</xdr:col>
      <xdr:colOff>431800</xdr:colOff>
      <xdr:row>2</xdr:row>
      <xdr:rowOff>12700</xdr:rowOff>
    </xdr:from>
    <xdr:to>
      <xdr:col>19</xdr:col>
      <xdr:colOff>647700</xdr:colOff>
      <xdr:row>13</xdr:row>
      <xdr:rowOff>165100</xdr:rowOff>
    </xdr:to>
    <xdr:sp macro="" textlink="">
      <xdr:nvSpPr>
        <xdr:cNvPr id="3" name="TextBox 2">
          <a:extLst>
            <a:ext uri="{FF2B5EF4-FFF2-40B4-BE49-F238E27FC236}">
              <a16:creationId xmlns:a16="http://schemas.microsoft.com/office/drawing/2014/main" id="{92F2B336-25EF-4A14-CF40-83D73DFCAAEC}"/>
            </a:ext>
          </a:extLst>
        </xdr:cNvPr>
        <xdr:cNvSpPr txBox="1"/>
      </xdr:nvSpPr>
      <xdr:spPr>
        <a:xfrm>
          <a:off x="7835900" y="393700"/>
          <a:ext cx="5600700" cy="2247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LP</a:t>
          </a:r>
          <a:br>
            <a:rPr lang="en-US" sz="1100"/>
          </a:br>
          <a:r>
            <a:rPr lang="en-US" sz="1100" b="0" i="0">
              <a:solidFill>
                <a:schemeClr val="dk1"/>
              </a:solidFill>
              <a:effectLst/>
              <a:latin typeface="+mn-lt"/>
              <a:ea typeface="+mn-ea"/>
              <a:cs typeface="+mn-cs"/>
            </a:rPr>
            <a:t>Let X1</a:t>
          </a:r>
          <a:r>
            <a:rPr lang="ar-AE" sz="1100" b="0" i="0">
              <a:solidFill>
                <a:schemeClr val="dk1"/>
              </a:solidFill>
              <a:effectLst/>
              <a:latin typeface="+mn-lt"/>
              <a:ea typeface="+mn-ea"/>
              <a:cs typeface="+mn-cs"/>
            </a:rPr>
            <a:t> = </a:t>
          </a:r>
          <a:r>
            <a:rPr lang="en-US" sz="1100" b="0" i="0">
              <a:solidFill>
                <a:schemeClr val="dk1"/>
              </a:solidFill>
              <a:effectLst/>
              <a:latin typeface="+mn-lt"/>
              <a:ea typeface="+mn-ea"/>
              <a:cs typeface="+mn-cs"/>
            </a:rPr>
            <a:t>number of His chairs produced</a:t>
          </a:r>
        </a:p>
        <a:p>
          <a:r>
            <a:rPr lang="en-US" sz="1100" b="0" i="0">
              <a:solidFill>
                <a:schemeClr val="dk1"/>
              </a:solidFill>
              <a:effectLst/>
              <a:latin typeface="+mn-lt"/>
              <a:ea typeface="+mn-ea"/>
              <a:cs typeface="+mn-cs"/>
            </a:rPr>
            <a:t>Let X2</a:t>
          </a:r>
          <a:r>
            <a:rPr lang="ar-AE" sz="1100" b="0" i="0">
              <a:solidFill>
                <a:schemeClr val="dk1"/>
              </a:solidFill>
              <a:effectLst/>
              <a:latin typeface="+mn-lt"/>
              <a:ea typeface="+mn-ea"/>
              <a:cs typeface="+mn-cs"/>
            </a:rPr>
            <a:t> = </a:t>
          </a:r>
          <a:r>
            <a:rPr lang="en-US" sz="1100" b="0" i="0">
              <a:solidFill>
                <a:schemeClr val="dk1"/>
              </a:solidFill>
              <a:effectLst/>
              <a:latin typeface="+mn-lt"/>
              <a:ea typeface="+mn-ea"/>
              <a:cs typeface="+mn-cs"/>
            </a:rPr>
            <a:t>number of Hers chairs produced</a:t>
          </a:r>
        </a:p>
        <a:p>
          <a:r>
            <a:rPr lang="en-US" sz="1100" b="0" i="0">
              <a:solidFill>
                <a:schemeClr val="dk1"/>
              </a:solidFill>
              <a:effectLst/>
              <a:latin typeface="+mn-lt"/>
              <a:ea typeface="+mn-ea"/>
              <a:cs typeface="+mn-cs"/>
            </a:rPr>
            <a:t>Max</a:t>
          </a:r>
          <a:r>
            <a:rPr lang="en-US" sz="1100" b="0" i="0" baseline="0">
              <a:solidFill>
                <a:schemeClr val="dk1"/>
              </a:solidFill>
              <a:effectLst/>
              <a:latin typeface="+mn-lt"/>
              <a:ea typeface="+mn-ea"/>
              <a:cs typeface="+mn-cs"/>
            </a:rPr>
            <a:t> profit= 10X1 + 10X2</a:t>
          </a:r>
          <a:br>
            <a:rPr lang="en-US" sz="1100" b="0" i="0" baseline="0">
              <a:solidFill>
                <a:schemeClr val="dk1"/>
              </a:solidFill>
              <a:effectLst/>
              <a:latin typeface="+mn-lt"/>
              <a:ea typeface="+mn-ea"/>
              <a:cs typeface="+mn-cs"/>
            </a:rPr>
          </a:br>
          <a:r>
            <a:rPr lang="en-US" sz="1100" b="0" i="0">
              <a:solidFill>
                <a:schemeClr val="dk1"/>
              </a:solidFill>
              <a:effectLst/>
              <a:latin typeface="+mn-lt"/>
              <a:ea typeface="+mn-ea"/>
              <a:cs typeface="+mn-cs"/>
            </a:rPr>
            <a:t>4</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1+4</a:t>
          </a:r>
          <a:r>
            <a:rPr lang="en-US" sz="1100" b="0" i="1">
              <a:solidFill>
                <a:schemeClr val="dk1"/>
              </a:solidFill>
              <a:effectLst/>
              <a:latin typeface="+mn-lt"/>
              <a:ea typeface="+mn-ea"/>
              <a:cs typeface="+mn-cs"/>
            </a:rPr>
            <a:t>x</a:t>
          </a:r>
          <a:r>
            <a:rPr lang="en-US" sz="1100" b="0" i="0">
              <a:solidFill>
                <a:schemeClr val="dk1"/>
              </a:solidFill>
              <a:effectLst/>
              <a:latin typeface="+mn-lt"/>
              <a:ea typeface="+mn-ea"/>
              <a:cs typeface="+mn-cs"/>
            </a:rPr>
            <a:t>2&lt;=900 (Legs)</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2X1</a:t>
          </a:r>
          <a:r>
            <a:rPr lang="en-US" sz="1100" b="0" i="0" baseline="0">
              <a:solidFill>
                <a:schemeClr val="dk1"/>
              </a:solidFill>
              <a:effectLst/>
              <a:latin typeface="+mn-lt"/>
              <a:ea typeface="+mn-ea"/>
              <a:cs typeface="+mn-cs"/>
            </a:rPr>
            <a:t>+2X2&lt;=400(rockers)</a:t>
          </a: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8X1+4X2&lt;=1056(long dowells)</a:t>
          </a: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4X1+8X2&lt;=1200 (short dowells)</a:t>
          </a:r>
          <a:br>
            <a:rPr lang="en-US" sz="1100" b="0" i="0" baseline="0">
              <a:solidFill>
                <a:schemeClr val="dk1"/>
              </a:solidFill>
              <a:effectLst/>
              <a:latin typeface="+mn-lt"/>
              <a:ea typeface="+mn-ea"/>
              <a:cs typeface="+mn-cs"/>
            </a:rPr>
          </a:br>
          <a:br>
            <a:rPr lang="en-US" sz="1100" b="0" i="0">
              <a:solidFill>
                <a:schemeClr val="dk1"/>
              </a:solidFill>
              <a:effectLst/>
              <a:latin typeface="+mn-lt"/>
              <a:ea typeface="+mn-ea"/>
              <a:cs typeface="+mn-cs"/>
            </a:rPr>
          </a:br>
          <a:endParaRPr lang="en-US" sz="1100" b="0" i="0">
            <a:solidFill>
              <a:schemeClr val="dk1"/>
            </a:solidFill>
            <a:effectLst/>
            <a:latin typeface="+mn-lt"/>
            <a:ea typeface="+mn-ea"/>
            <a:cs typeface="+mn-cs"/>
          </a:endParaRPr>
        </a:p>
      </xdr:txBody>
    </xdr:sp>
    <xdr:clientData/>
  </xdr:twoCellAnchor>
  <xdr:twoCellAnchor>
    <xdr:from>
      <xdr:col>7</xdr:col>
      <xdr:colOff>19050</xdr:colOff>
      <xdr:row>14</xdr:row>
      <xdr:rowOff>184150</xdr:rowOff>
    </xdr:from>
    <xdr:to>
      <xdr:col>13</xdr:col>
      <xdr:colOff>552450</xdr:colOff>
      <xdr:row>29</xdr:row>
      <xdr:rowOff>69850</xdr:rowOff>
    </xdr:to>
    <xdr:graphicFrame macro="">
      <xdr:nvGraphicFramePr>
        <xdr:cNvPr id="4" name="Chart 3">
          <a:extLst>
            <a:ext uri="{FF2B5EF4-FFF2-40B4-BE49-F238E27FC236}">
              <a16:creationId xmlns:a16="http://schemas.microsoft.com/office/drawing/2014/main" id="{925142D4-3289-042C-687A-EFC0CAB53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180976</xdr:colOff>
      <xdr:row>0</xdr:row>
      <xdr:rowOff>171451</xdr:rowOff>
    </xdr:from>
    <xdr:to>
      <xdr:col>13</xdr:col>
      <xdr:colOff>447676</xdr:colOff>
      <xdr:row>11</xdr:row>
      <xdr:rowOff>133351</xdr:rowOff>
    </xdr:to>
    <xdr:sp macro="" textlink="">
      <xdr:nvSpPr>
        <xdr:cNvPr id="2" name="TextBox 1">
          <a:extLst>
            <a:ext uri="{FF2B5EF4-FFF2-40B4-BE49-F238E27FC236}">
              <a16:creationId xmlns:a16="http://schemas.microsoft.com/office/drawing/2014/main" id="{064381A9-480A-44C8-B9FE-673FD4A56BEA}"/>
            </a:ext>
          </a:extLst>
        </xdr:cNvPr>
        <xdr:cNvSpPr txBox="1"/>
      </xdr:nvSpPr>
      <xdr:spPr>
        <a:xfrm>
          <a:off x="3228976" y="171451"/>
          <a:ext cx="5143500" cy="205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Solve using Excel or Desmos</a:t>
          </a:r>
        </a:p>
        <a:p>
          <a:r>
            <a:rPr lang="en-US" sz="1100" kern="1200"/>
            <a:t>X1 = </a:t>
          </a:r>
          <a:r>
            <a:rPr lang="en-US" sz="1100">
              <a:solidFill>
                <a:schemeClr val="dk1"/>
              </a:solidFill>
              <a:effectLst/>
              <a:latin typeface="+mn-lt"/>
              <a:ea typeface="+mn-ea"/>
              <a:cs typeface="+mn-cs"/>
            </a:rPr>
            <a:t>$ investment in </a:t>
          </a:r>
          <a:r>
            <a:rPr lang="en-US" sz="1100" kern="1200"/>
            <a:t> Treasury</a:t>
          </a:r>
          <a:r>
            <a:rPr lang="en-US" sz="1100" kern="1200" baseline="0"/>
            <a:t> notes</a:t>
          </a:r>
        </a:p>
        <a:p>
          <a:r>
            <a:rPr lang="en-US" sz="1100" kern="1200"/>
            <a:t>X2 = $ investment in bonds</a:t>
          </a:r>
        </a:p>
        <a:p>
          <a:r>
            <a:rPr lang="en-US" sz="1100" kern="1200"/>
            <a:t> MAX</a:t>
          </a:r>
          <a:r>
            <a:rPr lang="en-US" sz="1100" kern="1200" baseline="0"/>
            <a:t> ROI = .08X1 + .09X2</a:t>
          </a:r>
          <a:br>
            <a:rPr lang="en-US" sz="1100" kern="1200" baseline="0"/>
          </a:br>
          <a:r>
            <a:rPr lang="en-US" sz="1100" kern="1200" baseline="0"/>
            <a:t>ST</a:t>
          </a:r>
        </a:p>
        <a:p>
          <a:r>
            <a:rPr lang="en-US" sz="1100" kern="1200" baseline="0"/>
            <a:t> X1 =&gt; 130,000</a:t>
          </a:r>
        </a:p>
        <a:p>
          <a:r>
            <a:rPr lang="en-US" sz="1100" kern="1200" baseline="0"/>
            <a:t>X2 &lt;= 100,000</a:t>
          </a:r>
          <a:br>
            <a:rPr lang="en-US" sz="1100" kern="1200" baseline="0"/>
          </a:br>
          <a:r>
            <a:rPr lang="en-US" sz="1100" kern="1200" baseline="0"/>
            <a:t>X1 + X2 &lt; = 120,000</a:t>
          </a:r>
        </a:p>
        <a:p>
          <a:endParaRPr lang="en-US" sz="1100" kern="1200" baseline="0"/>
        </a:p>
        <a:p>
          <a:r>
            <a:rPr lang="en-US" sz="1100" kern="1200" baseline="0"/>
            <a:t>Solve for this problem.  Is it infeasible, redundant, multiple optimal or unbounded?</a:t>
          </a:r>
          <a:endParaRPr lang="en-US" sz="1100" kern="1200"/>
        </a:p>
      </xdr:txBody>
    </xdr:sp>
    <xdr:clientData/>
  </xdr:twoCellAnchor>
  <xdr:twoCellAnchor>
    <xdr:from>
      <xdr:col>8</xdr:col>
      <xdr:colOff>19087</xdr:colOff>
      <xdr:row>11</xdr:row>
      <xdr:rowOff>161502</xdr:rowOff>
    </xdr:from>
    <xdr:to>
      <xdr:col>16</xdr:col>
      <xdr:colOff>51387</xdr:colOff>
      <xdr:row>31</xdr:row>
      <xdr:rowOff>22022</xdr:rowOff>
    </xdr:to>
    <xdr:graphicFrame macro="">
      <xdr:nvGraphicFramePr>
        <xdr:cNvPr id="3" name="Chart 2">
          <a:extLst>
            <a:ext uri="{FF2B5EF4-FFF2-40B4-BE49-F238E27FC236}">
              <a16:creationId xmlns:a16="http://schemas.microsoft.com/office/drawing/2014/main" id="{661213FC-5D46-F48D-B201-8165FDE84F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22023</xdr:colOff>
      <xdr:row>26</xdr:row>
      <xdr:rowOff>22023</xdr:rowOff>
    </xdr:from>
    <xdr:to>
      <xdr:col>7</xdr:col>
      <xdr:colOff>1240636</xdr:colOff>
      <xdr:row>35</xdr:row>
      <xdr:rowOff>139480</xdr:rowOff>
    </xdr:to>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F47661E-7E84-9E15-DCFB-10D042F73301}"/>
                </a:ext>
              </a:extLst>
            </xdr:cNvPr>
            <xdr:cNvSpPr txBox="1"/>
          </xdr:nvSpPr>
          <xdr:spPr>
            <a:xfrm>
              <a:off x="3398902" y="4984566"/>
              <a:ext cx="2569364" cy="18352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This problem is infeasible because the minimum required </a:t>
              </a:r>
              <a14:m>
                <m:oMath xmlns:m="http://schemas.openxmlformats.org/officeDocument/2006/math">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𝑋</m:t>
                      </m:r>
                    </m:e>
                    <m:sub>
                      <m:r>
                        <a:rPr lang="ar-AE" sz="1100" i="0">
                          <a:solidFill>
                            <a:schemeClr val="dk1"/>
                          </a:solidFill>
                          <a:latin typeface="Cambria Math" panose="02040503050406030204" pitchFamily="18" charset="0"/>
                          <a:ea typeface="+mn-ea"/>
                          <a:cs typeface="+mn-cs"/>
                        </a:rPr>
                        <m:t>1</m:t>
                      </m:r>
                    </m:sub>
                  </m:sSub>
                </m:oMath>
              </a14:m>
              <a:r>
                <a:rPr lang="ar-AE" sz="1100" b="0" i="0">
                  <a:solidFill>
                    <a:schemeClr val="dk1"/>
                  </a:solidFill>
                  <a:effectLst/>
                  <a:latin typeface="+mn-lt"/>
                  <a:ea typeface="+mn-ea"/>
                  <a:cs typeface="+mn-cs"/>
                </a:rPr>
                <a:t> (130,000) </a:t>
              </a:r>
              <a:r>
                <a:rPr lang="en-US" sz="1100" b="0" i="0">
                  <a:solidFill>
                    <a:schemeClr val="dk1"/>
                  </a:solidFill>
                  <a:effectLst/>
                  <a:latin typeface="+mn-lt"/>
                  <a:ea typeface="+mn-ea"/>
                  <a:cs typeface="+mn-cs"/>
                </a:rPr>
                <a:t>exceeds the allowed total </a:t>
              </a:r>
              <a14:m>
                <m:oMath xmlns:m="http://schemas.openxmlformats.org/officeDocument/2006/math">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𝑋</m:t>
                      </m:r>
                    </m:e>
                    <m:sub>
                      <m:r>
                        <a:rPr lang="ar-AE" sz="1100" i="0">
                          <a:solidFill>
                            <a:schemeClr val="dk1"/>
                          </a:solidFill>
                          <a:latin typeface="Cambria Math" panose="02040503050406030204" pitchFamily="18" charset="0"/>
                          <a:ea typeface="+mn-ea"/>
                          <a:cs typeface="+mn-cs"/>
                        </a:rPr>
                        <m:t>1</m:t>
                      </m:r>
                    </m:sub>
                  </m:sSub>
                  <m:r>
                    <a:rPr lang="ar-AE"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𝑋</m:t>
                      </m:r>
                    </m:e>
                    <m:sub>
                      <m:r>
                        <a:rPr lang="ar-AE" sz="1100" i="0">
                          <a:solidFill>
                            <a:schemeClr val="dk1"/>
                          </a:solidFill>
                          <a:latin typeface="Cambria Math" panose="02040503050406030204" pitchFamily="18" charset="0"/>
                          <a:ea typeface="+mn-ea"/>
                          <a:cs typeface="+mn-cs"/>
                        </a:rPr>
                        <m:t>2</m:t>
                      </m:r>
                    </m:sub>
                  </m:sSub>
                </m:oMath>
              </a14:m>
              <a:r>
                <a:rPr lang="ar-AE" sz="1100" b="0" i="0">
                  <a:solidFill>
                    <a:schemeClr val="dk1"/>
                  </a:solidFill>
                  <a:effectLst/>
                  <a:latin typeface="+mn-lt"/>
                  <a:ea typeface="+mn-ea"/>
                  <a:cs typeface="+mn-cs"/>
                </a:rPr>
                <a:t> (120,000), </a:t>
              </a:r>
              <a:r>
                <a:rPr lang="en-US" sz="1100" b="0" i="0">
                  <a:solidFill>
                    <a:schemeClr val="dk1"/>
                  </a:solidFill>
                  <a:effectLst/>
                  <a:latin typeface="+mn-lt"/>
                  <a:ea typeface="+mn-ea"/>
                  <a:cs typeface="+mn-cs"/>
                </a:rPr>
                <a:t>so no solution satisfies all constraints. Proving infeasibility involves showing the constraints directly contradict each other and leave no overlapping region.</a:t>
              </a:r>
              <a:endParaRPr lang="en-US" sz="1100"/>
            </a:p>
          </xdr:txBody>
        </xdr:sp>
      </mc:Choice>
      <mc:Fallback xmlns="">
        <xdr:sp macro="" textlink="">
          <xdr:nvSpPr>
            <xdr:cNvPr id="4" name="TextBox 3">
              <a:extLst>
                <a:ext uri="{FF2B5EF4-FFF2-40B4-BE49-F238E27FC236}">
                  <a16:creationId xmlns:a16="http://schemas.microsoft.com/office/drawing/2014/main" id="{2F47661E-7E84-9E15-DCFB-10D042F73301}"/>
                </a:ext>
              </a:extLst>
            </xdr:cNvPr>
            <xdr:cNvSpPr txBox="1"/>
          </xdr:nvSpPr>
          <xdr:spPr>
            <a:xfrm>
              <a:off x="3398902" y="4984566"/>
              <a:ext cx="2569364" cy="18352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This problem is infeasible because the minimum required </a:t>
              </a:r>
              <a:r>
                <a:rPr lang="ar-AE" sz="1100" i="0">
                  <a:solidFill>
                    <a:schemeClr val="dk1"/>
                  </a:solidFill>
                  <a:latin typeface="+mn-lt"/>
                  <a:ea typeface="+mn-ea"/>
                  <a:cs typeface="+mn-cs"/>
                </a:rPr>
                <a:t>𝑋_1</a:t>
              </a:r>
              <a:r>
                <a:rPr lang="ar-AE" sz="1100" b="0" i="0">
                  <a:solidFill>
                    <a:schemeClr val="dk1"/>
                  </a:solidFill>
                  <a:effectLst/>
                  <a:latin typeface="+mn-lt"/>
                  <a:ea typeface="+mn-ea"/>
                  <a:cs typeface="+mn-cs"/>
                </a:rPr>
                <a:t> (130,000) </a:t>
              </a:r>
              <a:r>
                <a:rPr lang="en-US" sz="1100" b="0" i="0">
                  <a:solidFill>
                    <a:schemeClr val="dk1"/>
                  </a:solidFill>
                  <a:effectLst/>
                  <a:latin typeface="+mn-lt"/>
                  <a:ea typeface="+mn-ea"/>
                  <a:cs typeface="+mn-cs"/>
                </a:rPr>
                <a:t>exceeds the allowed total </a:t>
              </a:r>
              <a:r>
                <a:rPr lang="ar-AE" sz="1100" i="0">
                  <a:solidFill>
                    <a:schemeClr val="dk1"/>
                  </a:solidFill>
                  <a:latin typeface="+mn-lt"/>
                  <a:ea typeface="+mn-ea"/>
                  <a:cs typeface="+mn-cs"/>
                </a:rPr>
                <a:t>𝑋_1+𝑋_2</a:t>
              </a:r>
              <a:r>
                <a:rPr lang="ar-AE" sz="1100" b="0" i="0">
                  <a:solidFill>
                    <a:schemeClr val="dk1"/>
                  </a:solidFill>
                  <a:effectLst/>
                  <a:latin typeface="+mn-lt"/>
                  <a:ea typeface="+mn-ea"/>
                  <a:cs typeface="+mn-cs"/>
                </a:rPr>
                <a:t> (120,000), </a:t>
              </a:r>
              <a:r>
                <a:rPr lang="en-US" sz="1100" b="0" i="0">
                  <a:solidFill>
                    <a:schemeClr val="dk1"/>
                  </a:solidFill>
                  <a:effectLst/>
                  <a:latin typeface="+mn-lt"/>
                  <a:ea typeface="+mn-ea"/>
                  <a:cs typeface="+mn-cs"/>
                </a:rPr>
                <a:t>so no solution satisfies all constraints. Proving infeasibility involves showing the constraints directly contradict each other and leave no overlapping region.</a:t>
              </a:r>
              <a:endParaRPr lang="en-US" sz="1100"/>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28575</xdr:colOff>
      <xdr:row>2</xdr:row>
      <xdr:rowOff>47625</xdr:rowOff>
    </xdr:from>
    <xdr:to>
      <xdr:col>14</xdr:col>
      <xdr:colOff>28575</xdr:colOff>
      <xdr:row>15</xdr:row>
      <xdr:rowOff>114300</xdr:rowOff>
    </xdr:to>
    <xdr:sp macro="" textlink="">
      <xdr:nvSpPr>
        <xdr:cNvPr id="2" name="TextBox 1">
          <a:extLst>
            <a:ext uri="{FF2B5EF4-FFF2-40B4-BE49-F238E27FC236}">
              <a16:creationId xmlns:a16="http://schemas.microsoft.com/office/drawing/2014/main" id="{CC69F576-9289-65FB-A700-C9B4E2EADFD0}"/>
            </a:ext>
          </a:extLst>
        </xdr:cNvPr>
        <xdr:cNvSpPr txBox="1"/>
      </xdr:nvSpPr>
      <xdr:spPr>
        <a:xfrm>
          <a:off x="3686175" y="428625"/>
          <a:ext cx="4876800" cy="2543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dk1"/>
              </a:solidFill>
              <a:latin typeface="+mn-lt"/>
              <a:ea typeface="+mn-ea"/>
              <a:cs typeface="+mn-cs"/>
            </a:rPr>
            <a:t>Zippy motorcycle manufacturing produces two popular pocket bikes (miniature motorcycles with 49cc engines): the Razor and the Zoomer. In the coming week the manufacturer wants to produce up to 700 bikes and wants to ensure the number of</a:t>
          </a:r>
        </a:p>
        <a:p>
          <a:r>
            <a:rPr lang="en-US" sz="1100" b="0" i="0" u="none" strike="noStrike" baseline="0">
              <a:solidFill>
                <a:schemeClr val="dk1"/>
              </a:solidFill>
              <a:latin typeface="+mn-lt"/>
              <a:ea typeface="+mn-ea"/>
              <a:cs typeface="+mn-cs"/>
            </a:rPr>
            <a:t>Razors produced does not exceed the number of Zoomer by more than 300. Each Razor produced and sold results in a profit of $70 while each Zoomer results in ap rofit of $40. The bikes are identical mechanically and only differ in the appearance</a:t>
          </a:r>
        </a:p>
        <a:p>
          <a:r>
            <a:rPr lang="en-US" sz="1100" b="0" i="0" u="none" strike="noStrike" baseline="0">
              <a:solidFill>
                <a:schemeClr val="dk1"/>
              </a:solidFill>
              <a:latin typeface="+mn-lt"/>
              <a:ea typeface="+mn-ea"/>
              <a:cs typeface="+mn-cs"/>
            </a:rPr>
            <a:t>of the polymer-based trim around the fuel tank and seat. Each Razor's trim requires 2 pounds of polymer and 3 hours of production time while each Zoomer requires 1 pound of polymer and 4 hours of production time. Assume that 900 pounds of polymer and 2,400 labor hours are available for production of these items</a:t>
          </a:r>
        </a:p>
        <a:p>
          <a:r>
            <a:rPr lang="en-US" sz="1100" b="0" i="0" u="none" strike="noStrike" baseline="0">
              <a:solidFill>
                <a:schemeClr val="dk1"/>
              </a:solidFill>
              <a:latin typeface="+mn-lt"/>
              <a:ea typeface="+mn-ea"/>
              <a:cs typeface="+mn-cs"/>
            </a:rPr>
            <a:t>in the coming week.</a:t>
          </a:r>
        </a:p>
        <a:p>
          <a:r>
            <a:rPr lang="en-US" sz="1100" b="0" i="0" u="none" strike="noStrike" baseline="0">
              <a:solidFill>
                <a:schemeClr val="dk1"/>
              </a:solidFill>
              <a:latin typeface="+mn-lt"/>
              <a:ea typeface="+mn-ea"/>
              <a:cs typeface="+mn-cs"/>
            </a:rPr>
            <a:t>a. Formulate an LP model for this problem.</a:t>
          </a:r>
        </a:p>
        <a:p>
          <a:r>
            <a:rPr lang="en-US" sz="1100" b="0" i="0" u="none" strike="noStrike" baseline="0">
              <a:solidFill>
                <a:schemeClr val="dk1"/>
              </a:solidFill>
              <a:latin typeface="+mn-lt"/>
              <a:ea typeface="+mn-ea"/>
              <a:cs typeface="+mn-cs"/>
            </a:rPr>
            <a:t>b. Sketch the feasible region for this problem.</a:t>
          </a:r>
        </a:p>
        <a:p>
          <a:r>
            <a:rPr lang="en-US" sz="1100" b="0" i="0" u="none" strike="noStrike" baseline="0">
              <a:solidFill>
                <a:schemeClr val="dk1"/>
              </a:solidFill>
              <a:latin typeface="+mn-lt"/>
              <a:ea typeface="+mn-ea"/>
              <a:cs typeface="+mn-cs"/>
            </a:rPr>
            <a:t>c. What is the optimal solution?</a:t>
          </a:r>
        </a:p>
      </xdr:txBody>
    </xdr:sp>
    <xdr:clientData/>
  </xdr:twoCellAnchor>
  <xdr:twoCellAnchor>
    <xdr:from>
      <xdr:col>14</xdr:col>
      <xdr:colOff>101601</xdr:colOff>
      <xdr:row>2</xdr:row>
      <xdr:rowOff>42332</xdr:rowOff>
    </xdr:from>
    <xdr:to>
      <xdr:col>22</xdr:col>
      <xdr:colOff>660400</xdr:colOff>
      <xdr:row>30</xdr:row>
      <xdr:rowOff>108085</xdr:rowOff>
    </xdr:to>
    <xdr:sp macro="" textlink="">
      <xdr:nvSpPr>
        <xdr:cNvPr id="3" name="TextBox 2">
          <a:extLst>
            <a:ext uri="{FF2B5EF4-FFF2-40B4-BE49-F238E27FC236}">
              <a16:creationId xmlns:a16="http://schemas.microsoft.com/office/drawing/2014/main" id="{8C60DFAF-8727-0F0A-F418-10E45D470DB0}"/>
            </a:ext>
          </a:extLst>
        </xdr:cNvPr>
        <xdr:cNvSpPr txBox="1"/>
      </xdr:nvSpPr>
      <xdr:spPr>
        <a:xfrm>
          <a:off x="11153303" y="420630"/>
          <a:ext cx="5963054" cy="53619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Let </a:t>
          </a:r>
        </a:p>
        <a:p>
          <a:r>
            <a:rPr lang="en-US" sz="1100" b="0" i="0">
              <a:solidFill>
                <a:schemeClr val="dk1"/>
              </a:solidFill>
              <a:effectLst/>
              <a:latin typeface="+mn-lt"/>
              <a:ea typeface="+mn-ea"/>
              <a:cs typeface="+mn-cs"/>
            </a:rPr>
            <a:t>X1 = number of Razors produced Let</a:t>
          </a:r>
        </a:p>
        <a:p>
          <a:r>
            <a:rPr lang="en-US" sz="1100" b="0" i="0">
              <a:solidFill>
                <a:schemeClr val="dk1"/>
              </a:solidFill>
              <a:effectLst/>
              <a:latin typeface="+mn-lt"/>
              <a:ea typeface="+mn-ea"/>
              <a:cs typeface="+mn-cs"/>
            </a:rPr>
            <a:t>X2 = number of Zoomers produced </a:t>
          </a:r>
        </a:p>
        <a:p>
          <a:r>
            <a:rPr lang="en-US" sz="1100" b="0" i="0">
              <a:solidFill>
                <a:schemeClr val="dk1"/>
              </a:solidFill>
              <a:effectLst/>
              <a:latin typeface="+mn-lt"/>
              <a:ea typeface="+mn-ea"/>
              <a:cs typeface="+mn-cs"/>
            </a:rPr>
            <a:t>Maximize Z = 70X1 + 40X2 </a:t>
          </a:r>
        </a:p>
        <a:p>
          <a:r>
            <a:rPr lang="en-US" sz="1100" b="0" i="0">
              <a:solidFill>
                <a:schemeClr val="dk1"/>
              </a:solidFill>
              <a:effectLst/>
              <a:latin typeface="+mn-lt"/>
              <a:ea typeface="+mn-ea"/>
              <a:cs typeface="+mn-cs"/>
            </a:rPr>
            <a:t>Subject to: </a:t>
          </a:r>
        </a:p>
        <a:p>
          <a:r>
            <a:rPr lang="en-US" sz="1100" b="0" i="0">
              <a:solidFill>
                <a:schemeClr val="dk1"/>
              </a:solidFill>
              <a:effectLst/>
              <a:latin typeface="+mn-lt"/>
              <a:ea typeface="+mn-ea"/>
              <a:cs typeface="+mn-cs"/>
            </a:rPr>
            <a:t>Total bikes: X1 + X2 ≤ 700 </a:t>
          </a:r>
        </a:p>
        <a:p>
          <a:r>
            <a:rPr lang="en-US" sz="1100" b="0" i="0">
              <a:solidFill>
                <a:schemeClr val="dk1"/>
              </a:solidFill>
              <a:effectLst/>
              <a:latin typeface="+mn-lt"/>
              <a:ea typeface="+mn-ea"/>
              <a:cs typeface="+mn-cs"/>
            </a:rPr>
            <a:t>Razor vs Zoomer limit: X1 - X2 ≤ 300 </a:t>
          </a:r>
        </a:p>
        <a:p>
          <a:r>
            <a:rPr lang="en-US" sz="1100" b="0" i="0">
              <a:solidFill>
                <a:schemeClr val="dk1"/>
              </a:solidFill>
              <a:effectLst/>
              <a:latin typeface="+mn-lt"/>
              <a:ea typeface="+mn-ea"/>
              <a:cs typeface="+mn-cs"/>
            </a:rPr>
            <a:t>Polymer availability: 2X1 + X2 ≤ 900 </a:t>
          </a:r>
        </a:p>
        <a:p>
          <a:r>
            <a:rPr lang="en-US" sz="1100" b="0" i="0">
              <a:solidFill>
                <a:schemeClr val="dk1"/>
              </a:solidFill>
              <a:effectLst/>
              <a:latin typeface="+mn-lt"/>
              <a:ea typeface="+mn-ea"/>
              <a:cs typeface="+mn-cs"/>
            </a:rPr>
            <a:t>Labor hours available: 3X1 + 4X2 ≤ 2400 </a:t>
          </a:r>
        </a:p>
        <a:p>
          <a:pPr marL="0" marR="0" lvl="0" indent="0" defTabSz="914400" eaLnBrk="1" fontAlgn="auto" latinLnBrk="0" hangingPunct="1">
            <a:lnSpc>
              <a:spcPct val="100000"/>
            </a:lnSpc>
            <a:spcBef>
              <a:spcPts val="0"/>
            </a:spcBef>
            <a:spcAft>
              <a:spcPts val="0"/>
            </a:spcAft>
            <a:buClrTx/>
            <a:buSzTx/>
            <a:buFontTx/>
            <a:buNone/>
            <a:tabLst/>
            <a:defRPr/>
          </a:pP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Solving for Optimal solution </a:t>
          </a: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2X1+X2=900</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X2=900-2X1</a:t>
          </a:r>
          <a:br>
            <a:rPr lang="en-US" sz="1100" b="0" i="0" baseline="0">
              <a:solidFill>
                <a:schemeClr val="dk1"/>
              </a:solidFill>
              <a:effectLst/>
              <a:latin typeface="+mn-lt"/>
              <a:ea typeface="+mn-ea"/>
              <a:cs typeface="+mn-cs"/>
            </a:rPr>
          </a:b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using X2= 900-2X1 in labour (3X1+4X2=2400)</a:t>
          </a:r>
          <a:br>
            <a:rPr lang="en-US" sz="1100" b="0" i="0" baseline="0">
              <a:solidFill>
                <a:schemeClr val="dk1"/>
              </a:solidFill>
              <a:effectLst/>
              <a:latin typeface="+mn-lt"/>
              <a:ea typeface="+mn-ea"/>
              <a:cs typeface="+mn-cs"/>
            </a:rPr>
          </a:b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3X1+4(900-2X1)=2400</a:t>
          </a: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3X1+3600-8X1=2400</a:t>
          </a: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-5X1=-1200</a:t>
          </a: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X1=240</a:t>
          </a:r>
          <a:br>
            <a:rPr lang="en-US" sz="1100" b="0" i="0" baseline="0">
              <a:solidFill>
                <a:schemeClr val="dk1"/>
              </a:solidFill>
              <a:effectLst/>
              <a:latin typeface="+mn-lt"/>
              <a:ea typeface="+mn-ea"/>
              <a:cs typeface="+mn-cs"/>
            </a:rPr>
          </a:b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Using X1=240 in labor</a:t>
          </a: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3X1+4X2=2400</a:t>
          </a: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720+4X2=2400</a:t>
          </a: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4X2=1680</a:t>
          </a: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X2=420</a:t>
          </a:r>
          <a:br>
            <a:rPr lang="en-US" sz="1100" b="0" i="0" baseline="0">
              <a:solidFill>
                <a:schemeClr val="dk1"/>
              </a:solidFill>
              <a:effectLst/>
              <a:latin typeface="+mn-lt"/>
              <a:ea typeface="+mn-ea"/>
              <a:cs typeface="+mn-cs"/>
            </a:rPr>
          </a:br>
          <a:br>
            <a:rPr lang="en-US" sz="1100" b="0" i="0" baseline="0">
              <a:solidFill>
                <a:schemeClr val="dk1"/>
              </a:solidFill>
              <a:effectLst/>
              <a:latin typeface="+mn-lt"/>
              <a:ea typeface="+mn-ea"/>
              <a:cs typeface="+mn-cs"/>
            </a:rPr>
          </a:br>
          <a:r>
            <a:rPr lang="en-US" sz="1100" b="0" i="0" baseline="0">
              <a:solidFill>
                <a:schemeClr val="accent2">
                  <a:lumMod val="40000"/>
                  <a:lumOff val="60000"/>
                </a:schemeClr>
              </a:solidFill>
              <a:effectLst/>
              <a:latin typeface="+mn-lt"/>
              <a:ea typeface="+mn-ea"/>
              <a:cs typeface="+mn-cs"/>
            </a:rPr>
            <a:t>So the optimal point is X1=240, X2=420</a:t>
          </a:r>
        </a:p>
        <a:p>
          <a:pPr marL="0" marR="0" lvl="0" indent="0" defTabSz="914400" eaLnBrk="1" fontAlgn="auto" latinLnBrk="0" hangingPunct="1">
            <a:lnSpc>
              <a:spcPct val="100000"/>
            </a:lnSpc>
            <a:spcBef>
              <a:spcPts val="0"/>
            </a:spcBef>
            <a:spcAft>
              <a:spcPts val="0"/>
            </a:spcAft>
            <a:buClrTx/>
            <a:buSzTx/>
            <a:buFontTx/>
            <a:buNone/>
            <a:tabLst/>
            <a:defRPr/>
          </a:pPr>
          <a:endParaRPr lang="en-US" sz="1100"/>
        </a:p>
      </xdr:txBody>
    </xdr:sp>
    <xdr:clientData/>
  </xdr:twoCellAnchor>
  <xdr:twoCellAnchor>
    <xdr:from>
      <xdr:col>5</xdr:col>
      <xdr:colOff>602394</xdr:colOff>
      <xdr:row>29</xdr:row>
      <xdr:rowOff>177259</xdr:rowOff>
    </xdr:from>
    <xdr:to>
      <xdr:col>12</xdr:col>
      <xdr:colOff>576453</xdr:colOff>
      <xdr:row>43</xdr:row>
      <xdr:rowOff>188608</xdr:rowOff>
    </xdr:to>
    <xdr:graphicFrame macro="">
      <xdr:nvGraphicFramePr>
        <xdr:cNvPr id="4" name="Chart 3">
          <a:extLst>
            <a:ext uri="{FF2B5EF4-FFF2-40B4-BE49-F238E27FC236}">
              <a16:creationId xmlns:a16="http://schemas.microsoft.com/office/drawing/2014/main" id="{E35304D7-029C-1244-6671-40731C5955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04T00:53:45.094"/>
    </inkml:context>
    <inkml:brush xml:id="br0">
      <inkml:brushProperty name="width" value="0.3" units="cm"/>
      <inkml:brushProperty name="height" value="0.6" units="cm"/>
      <inkml:brushProperty name="color" value="#FFFC00"/>
      <inkml:brushProperty name="tip" value="rectangle"/>
      <inkml:brushProperty name="rasterOp" value="maskPen"/>
    </inkml:brush>
  </inkml:definitions>
  <inkml:trace contextRef="#ctx0" brushRef="#br0">154 2880,'0'-64,"0"-9,0-1,0-10,0-2,0 4,0 7,0 8,0 6,0 5,0 6,0 7,0 7,0 5,0 5,1 4,1 3,2 3,0 3,2-4,-2 3,0-2,1 0,0 3,-1-4,0 0,0 4,1-4,0 4,2-3,-1 1,-1 2,0-4,-2 0,-1 3,-1-6,-1 8,0-4,0-2,0-4,0-5,0-7,0-4,2-3,2 0,3 0,0 1,0 2,-3 2,0 6,-1 5,-1 2,-1 3,-1 2,0 1,1 1,1 0,-1-4,1 4,-2-3,0 5,0-1,0-2,0 1,0-2,0-4,0-2,0-2,0 2,-2 1,0 0,-2 2,0-3,0-3,0-2,-1-2,-1 2,1 2,-1 2,2 3,1 3,2 1,1 3,0-5,-2 7,1-6,0-1,0 2,0-8,-2 3,-3-3,-3-2,0-1,0 2,3 2,0 4,2 3,1 4,-3 0,3 0,1-2,2 0,2 1,-2 0,-3-1,-2 2,-3-2,4 2,-6-1,3 3,-11 34,8-14,-4 24,10-24,-1-1,-6 15,4-7,-4 8,7-11,0 2,1 4,-1 0,3 2,-1-5,0 1,1 0,-2 0,2 2,-2 2,-1 1,1 1,-1 0,0-2,1-2,1-1,0-1,2 0,0 0,0 0,0 0,0 1,0 1,2 1,2 1,1 1,2-1,-2 1,1-1,1 3,1 2,1 1,1 0,-1-1,-1-2,-1-2,0 0,-1-2,-1 1,1-1,-3-1,2-1,0 0,-1 1,1 2,0 4,1 6,0 5,1 5,0 4,-2-1,-2 2,-2 2,-1 3,0 2,0 2,0 2,0 0,0 0,0 0,0-2,0-2,0-2,0-3,1 1,1 0,1 0,0 0,1-4,0-3,1-5,2-4,-2-6,0-6,-1-5,1-1,0-1,-1 9,0 3,2 16,4 14,3 6,-2-2,0-13,-3-17,-2-9,-1-6,-2-1,0 2,-2 2,0 0,-1-2,0 2,0-4,0 4,13-54,-10 32,9-38,11 59,-13-11,17 11,-16-16,0 0,9 0,-2 2,9 4,-6 3,2 2,-1 1,2-1,2 0,3 0,4-1,2-1,3 0,-2-2,-1-2,-4-1,-4-1,-4 0,-4-1,-1-1,-1-1,1 0,1 0,1 0,1 0,-2 0,0 0,0 0,0 0,1 0,0 0,-4 0,-1 0,0 0,0 0,3 0,1 0,0 0,1 0,-2 0,1 0,-2 0,0 0,-1 0,-2 0,2 0,3 0,-4 0,3 0,2 3,-3-3,6 2,-5-1,1 1,-1-1,0 0,-1-1,-1 0,0 0,0 0,0 0,0 0,-1 0,6 0,-4 0,4 0,-5 0,0 0,0 0,0 0,3 0,-4 0,4 0,-3 0,-3 0,6 0,-2 0,0 0,1 0,1 0,-4 0,6 0,-6 0,-1 0,5 0,-4 0,4 0,-2 0,-4 0,7 0,-4 0,0 0,4 0,-8 0,5 0,-1 0,-3 0,5 0,1 0,-2 0,5 0,-6 0,3 0,1 0,1 0,0 0,-1 0,-3 0,-2 0,0 0,6 0,-6 0,4 0,0 0,-7 0,10 0,-9 0,4 0,-1 0,1 0,0 0,0 0,0 0,-3 0,7 0,-6 0,6 0,-3 0,-1 0,-2 0,1 0,-2 0,3 0,-3 0,2 0,-1 0,0 0,1 0,1 0,-3 0,2 0,-1 0,-1 0,2 0,0 0,-55-3,31 1,-44-2,45 2,2-1,-12-11,9 7,-9-9,7 5,4 5,-13-10,8 10,-3-3,-3 2,8 2,-8-2,2 1,2 2,-6-2,4 2,-2-1,1 1,2-1,1 1,-3-3,4 0,-3-1,4-4,0 4,0-7,2 5,-2 0,2-4,2 1,3-2,4-3,0 4,0-4,0 4,0-3,0-1,0 5,0-6,0 4,0-1,-3-2,0 6,-3-6,-2 3,2 3,-1-7,3 9,-2-8,1 5,-2 0,1-5,-1 6,1-4,-2 0,1 4,-1-3,1 0,1 3,1-4,-1 3,-1 0,-2-1,-1 3,-2-1,-2 6,-4 2,3 3,-2 1,3 0,-4 0,3 0,-2 0,0 0,-3 0,-7-1,-6-1,-5 1,-4-1,2 2,3 0,2 0,3 0,1 0,1 0,0-1,0-1,-2-1,-2-1,0-1,-1 0,-2 1,-6 2,-11-1,-8-1,-9-3,-3-2,3-2,3-1,10 3,8 0,7 2,6 2,6 0,5 1,2 0,1 0,0-2,1 0,1 0,2 0,2-2,3 0,2-1,1-3,4-4,1-8,2-9,1-12,0-9,-2-5,-3-6,-6-2,-3-2,-2-2,2 3,2 5,3 7,1 5,1 6,0 5,-2 2,-1 2,-4 1,-1 1,-2 2,-1-1,1 4,2 1,3 3,1 6,3 4,2 4,0-3,2-1,3 1,2-9,2 10,0-7,-1 5,-2 1,0-10,0 5,-1-9,1 6,0 0,2 1,1 1,0 3,0 1,0 3,2-8,0 5,1-5,0 8,0-3,3 0,-1-1,2 1,-1 2,18 34,-12-13,13 29,-17-19,0-1,-1 2,1 1,1 1,1 0,2 0,2-1,1 1,0 1,1-1,2 1,-1-2,3-2,1-2,-1-2,-1-1,0-1,-1 0,1-1,1 0,0 0,-1-2,2 1,-2 1,1 0,-1 1,0 0,2 0,0 0,-1-1,-1-1,-3 0,-1 0,-2 2,-1-1,-2 0,4 5,-2-3,3 4,-5-4,0-1,0 0,6 4,-3-4,4 4,-4-4,2 1,2 1,1 0,1 1,0 0,-1-1,-1-1,-2-1,-2-1,0 1,0-1,1 1,1 1,2 0,1 2,1-1,-1 0,0 1,0-2,0 0,2-1,-1 0,0 1,-1 1,-1-1,0 0,0-1,3 2,1 0,1 3,1 0,-1-1,0 0,-2 0,-2 0,-1-2,-2 0,0 0,-2-1,1 0,1-2,1 1,2 0,-3-1,0 1,-2-1,0 1,3-1,1 1,3 1,0 2,-1 1,-1 0,-2-2,-3-1,-1-2,-2 0,-5 5,3-1,-4 2,5-4,-1 0,4 0,-1 1,-1-3,2 4,-20 2,1 0,-14 1,2-7,2-1,-1-3,-1-1,-2-3,-2-2,-1 0,0 0,1 0,3 0,2-5,1-2,-1-4,-3-1,-4-1,-3-1,-1-3,-1-1,2 1,0-1,3 3,2 1,0 3,2 0,-2 0,-1-2,-4-4,-2-2,0 0,-3-3,1 2,-2-2,-4-1,-3-1,-6 1,-3 3,2 5,1 6,2 4,0 2,1 2,4-1,5 1,8 1,5 1,5 2,2 1,0 2,2 1,-1 1,1 1,-1 1,0 0,-1 1,2-1,4 5,4 1,3 1,2-1,0 0,0 2,0 2,0 4,-1-1,0 1,-4 2,-3 1,-3 7,-4 9,-1 9,0 3,3 0,3-8,5-6,2-4,2 1,1 4,0 8,1 5,3 4,5 1,7-2,6-5,2-8,2-10,1-10,2-8,3-4,3-1,5 1,5 0,6 1,5 2,9 2,9 0,10-2,12-2,-43-8,3-3,3 0,0-1,2-1,-1 0,-2 0,-2-1,38 2,-22 2,-24 0,-19-1,-11 1,-7-2,-49-24,5 11,-48-20,15 17,-24-7,42 8,-2 0,-3-3,-1 0,-1-1,1-1,6 2,1 0,-2 0,0 1,-46-14,10 2,11 4,20 4,14 4,13 5,11 2,6 2,46 1,-9 2,41 2,-16 1,7 0,-1 0,-6 0,-12 0,-12 0,-9 0,-72-2,21-2,-60-6,36-6,-11-3,-7-1,0-1,6 0,13 1,11 0,8 1,4 0,1-2,1-1,2-1,4-1,3 2,5 2,4 1,3 0,3-1,3-4,0-4,0-5,0-2,0 0,0 3,0 5,2 3,0 2,1 0,0 1,0 2,0 0,0 3,4 2,1 0,31 39,5 7,0 6,4 4,6 0,3 1,11 7,3 0,5 2,2-1,1 0,-1-2,-6-6,-1-2,-9-6,-1-3,-9-5,-2-2,24 13,-17-7,-14-8,-9-3,-3-3,-3-3,-3-2,-4-3,0-2,0-1,1-2,1 0,3-1,3 1,5-2,5 0,-1-2,-2 0,-8 0,-7 0,-4-1,-4-15,-4 3,-2-9,-6 7,0 5</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9-04T01:22:23.014"/>
    </inkml:context>
    <inkml:brush xml:id="br0">
      <inkml:brushProperty name="width" value="0.05" units="cm"/>
      <inkml:brushProperty name="height" value="0.05" units="cm"/>
      <inkml:brushProperty name="color" value="#66CC00"/>
    </inkml:brush>
  </inkml:definitions>
  <inkml:trace contextRef="#ctx0" brushRef="#br0">0 1 24575,'0'0'0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04T16:37:26.191"/>
    </inkml:context>
    <inkml:brush xml:id="br0">
      <inkml:brushProperty name="width" value="0.1" units="cm"/>
      <inkml:brushProperty name="height" value="0.2" units="cm"/>
      <inkml:brushProperty name="color" value="#FFFC00"/>
      <inkml:brushProperty name="tip" value="rectangle"/>
      <inkml:brushProperty name="rasterOp" value="maskPen"/>
    </inkml:brush>
  </inkml:definitions>
  <inkml:trace contextRef="#ctx0" brushRef="#br0">47 70,'0'24,"0"4,0 2,0 5,0 4,0-2,0-3,0-3,0-3,0-2,0-1,0 1,0 0,0 2,0 4,0 1,0 5,0 1,0 1,0 3,0-3,0-3,0-2,0-4,0-3,0-2,0-4,0-2,0 1,0 9,0 12,0 13,0 13,0 1,0-4,0-7,0-9,0-2,0 2,0 3,0 1,0-5,0-10,0-7,0-6,-2 1,1 2,0 1,-1-4,1-4,-1-5,-1-4,-1-3,-1-2,1-1,1 1,1 0,2 5,0 2,0 3,0 2,0-4,0-2,0-3,0 18,-4 42,2-12,0 8,-1 11,1 3,0 4,0-1,3-9,0-2,0-14,1-4,3 35,0-32,0-15,0-4,1 4,-1 10,-1 1,-3-6,0-13,-1-14,0-8,0-4,5-2,5-2,9-3,8 0,3-1,7 0,7 0,5 0,2 2,-5 6,-6 5,-4 5,1 1,4-3,2-3,0-4,-1-3,0-2,6 1,12 0,10 0,6-3,-5-3,-7-3,0-2,15 1,9 1,10 2,2 1,-5 1,-1 0,-10 0,-7 1,-12 3,-3 2,-6 3,-4 1,-2 0,-2 1,-2-2,0-4,0-3,1-2,5-3,16-12,21-17,-40 12,0-2,1-1,-1 0,36-13,-17 17,-14 9,-15 8,-13 2,-9 0,-7 0,-4 0,-1 0,0 0,4 0,5 0,6 0,2 0,1 0,1 0,1-1,1-3,0-1,-3-1,-5 2,1 0,8 2,12 1,8 8,4 14,-4 12,-8 8,-10-6,-10-11,-9-12,-12-11,-10-5,-6-5,-9-3,-9-5,-7-3,-4-3,4 4,8 3,8 2,10 5,8 1,1 0,-4-3,-3-3,-2-1,2 2,2 1,-4-2,-7-7,-10-10,-6-6,3 5,9 7,10 9,6 2,0-3,-4-2,-1-2,2 3,-1 1,-2-3,-4-4,0-1,4 4,0 3,-3 0,-3-1,-2-2,-4-3,-5-4,-7-7,-6-3,-1-2,5 4,8 6,11 8,11 10,5 3,1 2,-4-2,-10-6,-9-9,-7-8,-3-3,1-2,4 1,5 2,2 0,-3-2,-4-6,-5-7,-3-5,1 0,1 3,3 8,4 7,5 11,5 11,5 7,7 6,5 3,5 1,3 3,-16-10,-29-21,6-3,-4-6,-17-17,-3-5,-1-5,1-3,6 5,4 1,11 10,4 3,-12-17,1 9,-14-2,23 22,-3 0,-2-3,-1 1,1-1,1 0,5 3,2 0,-21-26,11 5,11 6,6 6,4 6,5 8,4 5,4 5,-2 2,-1 1,-1-1,-1-1,0-1,1-2,2-3,2-3,3-2,3 1,2 3,0 3,2 1,0 1,0 0,1-1,-1 1,0 0,1-1,0 1,1 0,0-1,0 1,1 1,0 2,-1 3,-1 2,1 2,0-1,1 1,0 2,0 2,-5 2,1 1,-5 1,3 1,-1 0,1 0,0 0,-3 1,0 1,-1 2,1-1,1-2,1 0,1-1,-1 0,1 0,0 0,0 0,1 0,1 5,3 1,2 6,4 2,4 1,2 1,2 0,2 2,1 3,1-1,2 3,-1-1,2-1,-1-1,1-1,0 1,2-1,2 1,2-1,1 0,1-1,1 0,0 0,-3-1,-3-2,-5-1,-1-1,-2 1,0-2,0 1,-1-1,2 0,3 1,5 0,2 2,3-1,-3-1,-1-2,0-1,2 0,4 0,9-1,15-3,0-2,-13-3,-20 0,-24 0,-12 10,16 3,3 15,23 7,11 9,2-1,-3-3,-6-7,-8-8,-4-5,-1-3,1 0,0-2,1-1,-2 0,2-2,3 1,3-2,2-1,-2-2,-1-3,1 1,3 0,0 3,-1 0,-8 0,-6-2,-6 0,-1-1,0 2,0 1,1 0,-1-1,-1-2,1 1,1 0,1 2,0 0,0 0,-1 0,0 0,-1 2,-1-1,-2-1,0 1,-1 2,2 1,0 1,-1-1,-2-4,-1-2,1-2,2 2,0 1,1 3,-2-1,0-1,0-2,0 1,0-1,0-2,-1-3,1-1,2 2,0-1,-1 1,-1-1,2 1,0 2,6 2,8 2,2 0,-3-3,-8-4,-11-5,-11-10,5 6,-6-7,8 8,1 2,9 21,3-4,8 19,0-9,0 0,1 1,1-1,1 0,3 0,2 0,2 2,1-1,-1-1,0-4,-5-2,-4-5,-4-4,-6-4,0-4,4-1,5 0,3 0,0 0,-7 0,-4 0,-3 0,3 2,6 5,8 7,5 5,-3 2,-6-5,-7-3,-3 0,1 3,2 6,3 8,2 2,0 2,-1-1,1 0,1 5,1 7,1 3,-2-4,-4-9,-4-12,-5-10,-1-3,0 1,4 5,2 6,2 2,-3-6,-3-6,0-2,5 4,8 7,5 8,0-2,-5-5,-7-8,-5-7,-2-1,4 4,7 7,3 4,1 0,-1-4,1-3,6 2,7 4,3 2,-1 1,-7-4,-9-5,-3-3,-1 0,1 3,1 0,-4 0,-2-2,-4-1,-2-1,-3 0,0-2,0 1,0 0,2 2,2 3,3 5,1 1,-1-1,-1-3,-2-4,-5-6,-24-19,-21-26,8 7,-3-3,-1-3,0 0,-30-29,20 21,21 20,6 7,-6-3,-9-7,-7-7,3-1,13 7,8 7,3 1,-7-9,-9-6,-4-4,5 5,5 6,2 3,1 1,-10-11,-2-3,-3-2,2 2,6 10,1 2,0 4,2 1,0 0,-3-3,0-3,0 1,5 3,-1-2,-6-6,-9-8,-5-4,1 0,3 3,8 7,3 4,5 3,2 0,0 0,1-1,-1 0,-2-3,-1-1,-2 0,4 5,5 6,5 3,5 4,0 0,0 0,-1 0,-1-1,0 1,-1 0,-1 0,-1 0,-1-1,0 0,-1-1,0 1,-2-2,-1 0,-2-2,-1-3,1-2,0 0,3 0,1 2,1-2,1-1,1-3,0 3,3 2,2 5,3 5,1 4,1 2,0 2,0 1,-3 0,-5 0,-6-2,-5-2,-4-2,-1-3,1 0,4 2,5 1,5 3,6 2,2 2,2 0,0 2,1 1,-1 0,1 3,2 6,1 5,14 22,16 15,15 17,12 6,1-3,0-4,2-3,-1-1,-3-5,-3-3,0 1,6 5,1 3,3 5,1 1,-3 0,-1-2,-3-7,-6-10,-5-8,-6-8,-7-6,-2-4,-2 0,-1-1,-1 0,-2-2,-3 0,-3-3,-2-2,1-2,1-1,2-1,5 1,5 2,7 2,4 3,0 3,-6-1,-8-3,-5 0,-1 5,6 10,10 14,14 12,10 0,10-3,3-8,-4-7,-10-3,-17-10,-12-6,-1 4,13 12,19 19,-24-23,1 0,-1 0,0-2,20 21,-21-19,-17-16,-5-8,6 5,11 9,9 10,-2 2,-9-7,-11-10,-11-8,-4-4,-6-1,-4 0,-3-1,-2-3,-11-10,-20-18,-19-16,-8-8,8 6,17 12,16 12,6 6,-14-2,-40-8,19 7,-7-3,-13-2,-3-2,-1 1,3 0,11 3,4 2,11 2,3 1,-36-13,40 8,-1-4,-10-8,-3-4,-8-7,0-3,-4-5,1-1,3-2,3-2,9 3,3-3,8 1,2-2,3 0,1-2,3 3,0 0,1 2,0 0,0 2,1 1,1 2,2 1,0 0,1-1,-1-1,1-2,1-1,1-1,-1-1,1 0,0-2,0 0,2 2,1 1,3 6,0 1,-15-33,9 20,7 14,2 8,3 6,0 4,-1 5,2 5,0 3,-3 1,-1 1,-2-1,-3 1,-2-2,-4-4,0-3,4 0,4 1,8 4,7 5,3 9,-2 15,-1 0,-5 10,0-6,2 1,3 5,4 12,2 21,3 23,4 13,9 6,9-1,8-7,3-5,0-9,-4-8,-3-7,-4-6,-3-9,-4-11,-3-11,-3-11,-2-7,-1-7,-2-8,-2-11,-2-16,-10-15,-11-12,-13-7,-9-1,-1 6,7 13,10 14,11 20,8 14,5 15,7 17,15 21,21 24,-14-31,4 1,2 1,1 0,29 32,-13-22,-15-20,-13-17,-10-13,-6-9,-5-13,-5-9,-3-4,-3 7,1 11,5 19,1 22,11 27,16 30,-2-29,5 2,10 10,5 1,9 6,5 0,-14-24,2-1,1-1,24 19,0-5,-6-9,-1-5,-11-11,-5-3,17 11,-28-17,-17-15,-13-13,-13-17,-34-31,4 11,-7-5,-23-17,-6-3,21 19,-2 0,2 2,-18-12,5 4,13 12,7 7,7 8,22 17,10 13,5 12,1 21,-3 25,1-18,0 6,0 17,0 5,0 10,1 1,1-1,0-3,0-14,0-5,0 22,0-44,-2-23,-21-23,-34-25,13 3,-3-4,-11-8,-2-2,4-1,3 1,9 6,5 3,-13-12,28 22,13 12,7 5,2 1,-6 3,1-3,-4 2,3 0,4 2,3 6,1 13,0 14,0 12,-3 4,-1-8,-1-11,0-12,2-8,-1-1,-1 6,-2 5,1 2,0-4,4-6,0-9,2-29,0 2,0-26,0-1,0-20,2-20,1-9,2 10,3 13,-2 15,0 13,-1 7,-2 3,-1-7,-1-17,-1-19,0-17,0 44,0-2,0-2,0-1,0-1,2 0,0 4,1 2,6-36,4 26,-1 28,-3 17,-3 14,-3 6,-2 13,-5 19,-1 29,0 34,3-34,3 3,3 13,5 3,6 12,5 0,6 2,3-1,2-8,2-4,-4-16,-2-7,12 16,-16-38,-9-26,-7-24,-3-33,-9-38,-2 28,-3-2,-3-3,-1 2,-1 6,0 5,-7-16,11 32,8 30,9 29,16 28,17 28,-11-35,2 1,2-2,2-1,0-5,1-4,30 19,-14-24,-15-16,-20-13,-16-6,-21-2,3 1,-6 3,15 7,7 7,13 10,23 12,28 13,-17-22,3 0,2-1,0-2,-2-4,-2-2,26 7,-28-13,-21-6,-15-7,-8-4,-9-2,2 2,-3 0,8 3,2-1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04T16:37:38.941"/>
    </inkml:context>
    <inkml:brush xml:id="br0">
      <inkml:brushProperty name="width" value="0.1" units="cm"/>
      <inkml:brushProperty name="height" value="0.2" units="cm"/>
      <inkml:brushProperty name="color" value="#FFFC00"/>
      <inkml:brushProperty name="tip" value="rectangle"/>
      <inkml:brushProperty name="rasterOp" value="maskPen"/>
    </inkml:brush>
  </inkml:definitions>
  <inkml:trace contextRef="#ctx0" brushRef="#br0">3085 2941,'-43'0,"-12"0,-26 0,-17 0,-1 0,1 0,6 0,6-1,-5-2,-5-5,45 3,0 0,-3-1,1-1,1 1,0-1,-42-5,16 2,15 2,12 1,8 3,-1 2,-2 2,-3 0,-6 1,-5 1,-7 1,-4 2,5-2,5 0,9-2,8-1,6 0,0 1,-3 1,-8-1,-7 0,-7-1,-2 0,-1 0,-1 0,-2 0,0 0,4 0,9 0,12 0,11 0,10-1,11 0,8 2,35 8,19 7,-3-2,7 2,8 2,2 0,8 2,2 0,-2-2,0 0,-8-2,-2-1,-8-1,-2-1,-3 0,0-1,1-1,0 0,3-1,0-1,0-1,0-3,47 2,-12-4,-14-3,-7 0,-5 0,1 0,-1 0,1 0,-1 0,1 0,1 0,-3 0,-7 0,-9 0,-5 0,1 0,6 0,7 0,2 0,-2 0,-3 0,1-1,4-1,2-3,-2-3,-9-1,-16 1,-18 3,-64 2,-20-3,4 2,-6-1,-3-3,-2 0,-11-2,-3 0,26 3,-2 0,0 0,-5 1,-2-1,0 1,-3 0,-1 1,1-1,3 1,1 0,2-1,-27-3,6 0,17 0,7 0,-24-5,37 5,33 5,25 3,30-4,40-2,-16 2,5 1,16 0,4 0,4 2,1 1,-5 0,-3 0,-12 1,-4 1,27 1,-34 2,-27 1,-26 0,-35-2,-20-1,-14-2,-1-1,-8 0,-5-3,2 0,-4-1,-3-2,-1 0,-10-3,-2-1,-1-1,2-1,8 0,1-1,2-1,3 0,-12-4,4 0,8 1,-5-2,13 3,1 0,63 10,75 8,3 1,12 1,-8 0,4 1,4 0,11 1,2 1,1-1,-3 0,-1 0,-3-1,-10 0,-2-1,-4-1,11 0,-8-1,18-1,-38-3,-31-4,-24-5,-31-4,-56-4,24 8,-6 1,-11-1,-1 1,1 0,4 0,17 2,6 0,-16-6,40 3,36 3,32 2,23 2,17 2,-3 2,-18 0,-16-3,-18-7,-11-13,-18-17,-24-42,6 25,-4-4,-9-17,-2-3,-3-1,-1 1,4 13,0 6,6 14,1 9,-11 7,19 46,15 49,7-8,3 7,3 16,4 5,8 8,5 1,7-3,8-5,3-15,6-8,0-16,3-9,37-2,-10-38,-15-37,-34-4,-8-12,-1-32,-7-10,-7 21,-5-4,-2 0,-5-3,-3-1,-4 4,-3 8,-3 3,-3 7,-10-4,-3 14,-21 5,24 71,21 67,14-22,6 7,10 16,7 1,6 0,6-2,5-10,3-7,-2-16,1-7,20 4,-18-35,-19-34,-19-45,-17 4,-10-9,-4 4,-7-5,-2 0,-7-5,-3-1,-3 2,-3 1,-3 2,1 5,7 10,-1 4,3 6,-2 2,4 16,-8 30,49 42,18 21,6 3,9 8,3 3,-3-10,4 4,2 0,0-1,4 1,1 0,1-1,0-3,10 13,0-3,-2-7,8 6,-2-12,-15-16,-2-21,12-51,-35-29,-11-25,-2-7,1-6,-3-10,-1-6,-2-1,-2 9,0-3,-2-2,0 0,-2 1,0 2,-2-2,0 2,-1 2,-1 5,-2-2,-1 4,-1 4,-1 8,-11-23,1 15,-5-6,17 81,14 70,7-7,4 7,6 21,5 4,4 6,3-2,1-10,1-5,-6-16,0-9,9-1,-14-59,-17-66,-8 20,-3-4,-2-4,-3 2,-12-35,8 49,9 42,16 49,32 47,-6-24,6 4,8 7,3-1,-1-4,0-4,-10-12,-2-6,13 12,-21-52,-16-78,-10 11,-3-7,0-12,-1-1,-1 7,0 5,-2-13,-1 52,0 81,6 1,3 10,8 21,4 6,-3-26,3 0,1-1,12 21,3-6,-4-16,0-7,8 11,-19-39,-34-43,-26-25,-16-11,0 6,19 22,19 33,13 74,8-1,6 15,1-15,3 7,2 0,2 6,2 2,2-4,1-11,1-2,1-6,7 6,-1-11,7 4,-29-75,-58-81,5 16,-8-5,11 15,-2-1,-1 2,-22-21,3 5,17 19,4 8,-6-4,36 42,38 42,32 30,-16-25,3 0,3-1,1-3,30 15,-24-33,-28-56,-26-44,-5 27,-3-2,0 0,-1 3,-4-17,18 38,35 38,41 28,-26-11,4-1,6 1,-1-1,-6-6,-4-3,20 1,-31-11,-25-8,-14-2,-4 0,32 13,30 0,35 4,3-15,-24-23,-42-25,-60-19,-11 32,-9 4,-9 5,-4 5,1 7,3 5,-26 4,42 13,34 14,46 21,32 14,-25-25,2-1,-2-3,-3-3,16 3,-34-19,-40-21,-34-15,-19-9,4 3,23 12,30 16,58 44,-8-11,24 22,-41-33,-40-27,-57-31,20 13,-4 0,-7-4,-1 1,10 7,4 3,-12-3,30 15,29 16,25 21,16 16,11 6,0-7,-15-26,-28-41,-42-39,4 20,-4 0,-7-3,-3 4,5 10,1 5,-19-2,26 23,22 19,16 5,11 1,7-9,4-25,-7-29,-24-32,-9 27,-8-1,-11-4,-6 2,-9 1,-5 5,2 7,-3 7,6 8,2 7,-25 2,28 26,28 29,28 21,20 10,11-10,-1-24,-18-35,-46-51,-19 2,-14-4,6 9,-6 1,-3 0,-5 1,-3 1,1 4,-27-7,4 9,24 15,8 9,-10 18,45 43,45 36,3-31,6 0,8 0,5-4,2-10,2-6,35 7,-25-39,-41-52,-34-2,-15-5,-14-15,-9 0,-8 0,-4 4,3 12,1 10,-25-4,38 34,27 24,33 27,27 18,21 8,8-9,-10-19,-17-22,-26-31,-41-33,-5 15,-7-2,-10-3,-3 3,-1 5,0 5,-25-6,35 28,28 25,29 24,20 10,14-2,6-15,-11-30,-12-44,-19-13,-7-12,-2-18,-6-5,-5-11,-4 0,-2 8,-3 8,1 27,-2 9,-11-4,11 63,5 52,8-14,1 3,2 8,0 1,1-5,2-3,2 30,4-31,3-28,3-61,-2-23,0-12,2-20,1-6,-4 26,0-2,0 4,4-18,-1 10,4-6,-6 55,-6 55,-3 46,-1 26,-1-46,0-1,0 30,3-36,2-39,-1-48,-10-31,-18-14,-10 13,-6 30,10 27,12 27,8 34,1 42,4-31,1 3,-1 5,0-1,1-6,1-5,0 19,3-34,0-51,-15-75,0 16,-3-6,-3-13,-3-1,0 4,0 7,7 22,1 14,0 23,7 92,5-1,1 8,-2 16,0 2,0-2,1-3,0-17,1-7,1 22,7-44,2-35,0-15,-3-8,-7 1,-4 5,-1 12,1 31,4 42,2-14,2 6,1 16,3 2,5 1,5-2,4-10,6-6,4-16,5-9,34 12,-8-28,-14-16,-19-5,-14 0,-9 6,-8 13,-5 20,-3 28,1 17,9 6,13-14,11-27,9-22,1-19,-5-11,-8-7,-11-4,-14 0,-13 3,-11 19,-3 22,9 23,12 20,28-5,34-14,34-23,-31-30,2-8,-5-6,-2-7,25-26,-33-12,-24 7,-11 18,-4 33,19 40,11-7,11 3,30 11,16-3,-5-16,9-3,3-5,-17-8,4-2,0-3,-1-3,-4-3,1-2,-2-3,-3-4,12-4,-4-6,-9-6,3-14,-23-13,-42-13,-24-7,-19 13,-15 0,-7 3,-10-2,-8 5,-1 3,-4 3,-3 5,5 4,-16-2,9 13,-9 26,49 58,45-9,13 8,11 15,7 2,6-2,5-6,2-14,3-9,-3-12,1-12,34-16,-10-56,-43 3,-7-8,-7-8,-7-3,-5 4,-9 2,-27-20,-25 42,-19 45,-1 31,15 15,28-6,64-22,17-30,10-10,13-7,2-7,7-8,-6-6,-13-1,-17-5,-34-32,-42 39,-16 6,-18 2,-9 7,-9 4,-1 5,12 4,6 4,-18 11,39 18,59 22,67 18,-9-31,10-8,13-6,4-14,3-21,-7-20,-15-26,-17-17,-32 19,-10-5,-10-1,-10-3,-11-2,-9 5,-10 5,-9 6,-6 6,-30-8,-7 14,6 14,2 13,13 15,7 12,-20 31,39 23,44 13,39-6,27-15,12-21,-22-36,-27-41,-31-35,-12 29,-7-1,-20-41,-9 31,-1 27,0 36,2 27,10 24,11 16,17-6,15-12,11-20,3-20,-3-24,-19-20,-18-9,-12 3,-6 17,5 30,7 28,7 21,7 16,20-7,32-16,21-23,6-47,-28-46,-46 14,-15-3,-17-9,-11 3,-9 6,-5 8,0 10,2 7,-25 0,42 20,24 8</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04T16:41:28.851"/>
    </inkml:context>
    <inkml:brush xml:id="br0">
      <inkml:brushProperty name="width" value="0.1" units="cm"/>
      <inkml:brushProperty name="height" value="0.2" units="cm"/>
      <inkml:brushProperty name="color" value="#FFFC00"/>
      <inkml:brushProperty name="tip" value="rectangle"/>
      <inkml:brushProperty name="rasterOp" value="maskPen"/>
    </inkml:brush>
  </inkml:definitions>
  <inkml:trace contextRef="#ctx0" brushRef="#br0">1 0,'0'0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2E804-CCAF-4A3D-88CB-234C4F47D9D0}">
  <dimension ref="D13:F24"/>
  <sheetViews>
    <sheetView zoomScale="88" zoomScaleNormal="385" workbookViewId="0">
      <selection activeCell="L31" sqref="L31"/>
    </sheetView>
  </sheetViews>
  <sheetFormatPr baseColWidth="10" defaultColWidth="8.83203125" defaultRowHeight="15" x14ac:dyDescent="0.2"/>
  <cols>
    <col min="4" max="4" width="13.1640625" bestFit="1" customWidth="1"/>
    <col min="5" max="5" width="14.1640625" bestFit="1" customWidth="1"/>
  </cols>
  <sheetData>
    <row r="13" spans="5:6" x14ac:dyDescent="0.2">
      <c r="E13" s="1" t="s">
        <v>0</v>
      </c>
      <c r="F13" s="1" t="s">
        <v>1</v>
      </c>
    </row>
    <row r="14" spans="5:6" x14ac:dyDescent="0.2">
      <c r="E14" s="1">
        <v>0</v>
      </c>
      <c r="F14" s="1">
        <v>160</v>
      </c>
    </row>
    <row r="15" spans="5:6" x14ac:dyDescent="0.2">
      <c r="E15" s="1">
        <v>160</v>
      </c>
      <c r="F15" s="1">
        <v>0</v>
      </c>
    </row>
    <row r="16" spans="5:6" x14ac:dyDescent="0.2">
      <c r="E16" s="1">
        <v>0</v>
      </c>
      <c r="F16" s="1">
        <v>160</v>
      </c>
    </row>
    <row r="17" spans="4:6" x14ac:dyDescent="0.2">
      <c r="E17" s="1">
        <v>80</v>
      </c>
      <c r="F17" s="1">
        <v>0</v>
      </c>
    </row>
    <row r="18" spans="4:6" x14ac:dyDescent="0.2">
      <c r="E18" s="1">
        <v>0</v>
      </c>
      <c r="F18" s="1">
        <v>100</v>
      </c>
    </row>
    <row r="19" spans="4:6" x14ac:dyDescent="0.2">
      <c r="E19" s="1">
        <v>100</v>
      </c>
      <c r="F19" s="1">
        <v>0</v>
      </c>
    </row>
    <row r="20" spans="4:6" x14ac:dyDescent="0.2">
      <c r="E20" s="1">
        <f>F24/100</f>
        <v>100</v>
      </c>
      <c r="F20" s="1">
        <v>0</v>
      </c>
    </row>
    <row r="21" spans="4:6" x14ac:dyDescent="0.2">
      <c r="E21" s="1">
        <v>0</v>
      </c>
      <c r="F21" s="1">
        <f>F24/100</f>
        <v>100</v>
      </c>
    </row>
    <row r="23" spans="4:6" x14ac:dyDescent="0.2">
      <c r="D23">
        <v>10000</v>
      </c>
    </row>
    <row r="24" spans="4:6" x14ac:dyDescent="0.2">
      <c r="D24" s="30" t="s">
        <v>14</v>
      </c>
      <c r="E24" t="s">
        <v>15</v>
      </c>
      <c r="F24" s="1">
        <v>10000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AD455-EF5C-49F6-B831-C98EA88847FD}">
  <dimension ref="G19:S37"/>
  <sheetViews>
    <sheetView topLeftCell="I1" zoomScale="138" zoomScaleNormal="272" workbookViewId="0">
      <selection activeCell="X21" sqref="X21"/>
    </sheetView>
  </sheetViews>
  <sheetFormatPr baseColWidth="10" defaultColWidth="8.83203125" defaultRowHeight="14" x14ac:dyDescent="0.15"/>
  <cols>
    <col min="1" max="7" width="8.83203125" style="3"/>
    <col min="8" max="8" width="12.1640625" style="3" bestFit="1" customWidth="1"/>
    <col min="9" max="9" width="9.1640625" style="3" bestFit="1" customWidth="1"/>
    <col min="10" max="16384" width="8.83203125" style="3"/>
  </cols>
  <sheetData>
    <row r="19" spans="7:19" x14ac:dyDescent="0.15">
      <c r="G19" s="4" t="s">
        <v>0</v>
      </c>
      <c r="H19" s="4" t="s">
        <v>1</v>
      </c>
      <c r="I19" s="4" t="s">
        <v>2</v>
      </c>
    </row>
    <row r="20" spans="7:19" x14ac:dyDescent="0.15">
      <c r="G20" s="5">
        <v>1200</v>
      </c>
      <c r="H20" s="5">
        <v>0</v>
      </c>
      <c r="I20" s="47" t="s">
        <v>3</v>
      </c>
    </row>
    <row r="21" spans="7:19" x14ac:dyDescent="0.15">
      <c r="G21" s="5">
        <v>0</v>
      </c>
      <c r="H21" s="5">
        <v>1500</v>
      </c>
      <c r="I21" s="47"/>
    </row>
    <row r="22" spans="7:19" x14ac:dyDescent="0.15">
      <c r="G22" s="6">
        <v>900</v>
      </c>
      <c r="H22" s="6">
        <v>0</v>
      </c>
      <c r="I22" s="48" t="s">
        <v>4</v>
      </c>
    </row>
    <row r="23" spans="7:19" x14ac:dyDescent="0.15">
      <c r="G23" s="6">
        <v>0</v>
      </c>
      <c r="H23" s="6">
        <v>1800</v>
      </c>
      <c r="I23" s="48"/>
    </row>
    <row r="24" spans="7:19" x14ac:dyDescent="0.15">
      <c r="G24" s="7">
        <v>1000</v>
      </c>
      <c r="H24" s="7">
        <v>0</v>
      </c>
      <c r="I24" s="49" t="s">
        <v>5</v>
      </c>
    </row>
    <row r="25" spans="7:19" x14ac:dyDescent="0.15">
      <c r="G25" s="7">
        <v>0</v>
      </c>
      <c r="H25" s="7">
        <v>2000</v>
      </c>
      <c r="I25" s="49"/>
      <c r="S25" s="3">
        <f>6*(500)+4.5*(500)</f>
        <v>5250</v>
      </c>
    </row>
    <row r="26" spans="7:19" x14ac:dyDescent="0.15">
      <c r="G26" s="8">
        <v>1400</v>
      </c>
      <c r="H26" s="8">
        <v>0</v>
      </c>
      <c r="I26" s="50" t="s">
        <v>6</v>
      </c>
    </row>
    <row r="27" spans="7:19" x14ac:dyDescent="0.15">
      <c r="G27" s="8">
        <v>0</v>
      </c>
      <c r="H27" s="8">
        <v>1750</v>
      </c>
      <c r="I27" s="50"/>
    </row>
    <row r="28" spans="7:19" x14ac:dyDescent="0.15">
      <c r="G28" s="9">
        <v>1500</v>
      </c>
      <c r="H28" s="9">
        <v>0</v>
      </c>
      <c r="I28" s="51" t="s">
        <v>7</v>
      </c>
    </row>
    <row r="29" spans="7:19" x14ac:dyDescent="0.15">
      <c r="G29" s="9">
        <v>0</v>
      </c>
      <c r="H29" s="9">
        <v>1500</v>
      </c>
      <c r="I29" s="51"/>
    </row>
    <row r="30" spans="7:19" x14ac:dyDescent="0.15">
      <c r="G30" s="10">
        <f>S25/6</f>
        <v>875</v>
      </c>
      <c r="H30" s="10">
        <v>0</v>
      </c>
      <c r="I30" s="46" t="s">
        <v>8</v>
      </c>
    </row>
    <row r="31" spans="7:19" x14ac:dyDescent="0.15">
      <c r="G31" s="10">
        <v>0</v>
      </c>
      <c r="H31" s="10">
        <f>S25/4.5</f>
        <v>1166.6666666666667</v>
      </c>
      <c r="I31" s="46"/>
    </row>
    <row r="32" spans="7:19" x14ac:dyDescent="0.15">
      <c r="G32" s="2"/>
      <c r="H32" s="2"/>
      <c r="I32" s="2"/>
    </row>
    <row r="33" spans="7:9" x14ac:dyDescent="0.15">
      <c r="G33" s="2"/>
      <c r="H33" s="2"/>
      <c r="I33" s="2"/>
    </row>
    <row r="34" spans="7:9" x14ac:dyDescent="0.15">
      <c r="G34" s="2"/>
      <c r="H34" s="2"/>
      <c r="I34" s="2"/>
    </row>
    <row r="35" spans="7:9" x14ac:dyDescent="0.15">
      <c r="G35" s="2"/>
      <c r="H35" s="2"/>
      <c r="I35" s="2"/>
    </row>
    <row r="36" spans="7:9" x14ac:dyDescent="0.15">
      <c r="G36" s="2"/>
      <c r="H36" s="2"/>
      <c r="I36" s="2"/>
    </row>
    <row r="37" spans="7:9" x14ac:dyDescent="0.15">
      <c r="G37" s="2"/>
      <c r="H37" s="2"/>
      <c r="I37" s="2"/>
    </row>
  </sheetData>
  <mergeCells count="6">
    <mergeCell ref="I30:I31"/>
    <mergeCell ref="I20:I21"/>
    <mergeCell ref="I22:I23"/>
    <mergeCell ref="I24:I25"/>
    <mergeCell ref="I26:I27"/>
    <mergeCell ref="I28:I2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FAA01-65AA-45BD-8B2A-2C9540FCC3ED}">
  <dimension ref="E16:G33"/>
  <sheetViews>
    <sheetView topLeftCell="C1" zoomScale="160" workbookViewId="0">
      <selection activeCell="J37" sqref="J37"/>
    </sheetView>
  </sheetViews>
  <sheetFormatPr baseColWidth="10" defaultColWidth="8.83203125" defaultRowHeight="15" x14ac:dyDescent="0.2"/>
  <cols>
    <col min="7" max="7" width="11.33203125" bestFit="1" customWidth="1"/>
  </cols>
  <sheetData>
    <row r="16" spans="5:7" x14ac:dyDescent="0.2">
      <c r="E16" s="11" t="s">
        <v>0</v>
      </c>
      <c r="F16" s="12" t="s">
        <v>1</v>
      </c>
      <c r="G16" s="13" t="s">
        <v>9</v>
      </c>
    </row>
    <row r="17" spans="5:7" x14ac:dyDescent="0.2">
      <c r="E17" s="14">
        <v>225</v>
      </c>
      <c r="F17" s="15">
        <v>0</v>
      </c>
      <c r="G17" s="52" t="s">
        <v>10</v>
      </c>
    </row>
    <row r="18" spans="5:7" x14ac:dyDescent="0.2">
      <c r="E18" s="16">
        <v>0</v>
      </c>
      <c r="F18" s="17">
        <v>225</v>
      </c>
      <c r="G18" s="53"/>
    </row>
    <row r="19" spans="5:7" x14ac:dyDescent="0.2">
      <c r="E19" s="18">
        <v>200</v>
      </c>
      <c r="F19" s="19">
        <v>0</v>
      </c>
      <c r="G19" s="54" t="s">
        <v>11</v>
      </c>
    </row>
    <row r="20" spans="5:7" x14ac:dyDescent="0.2">
      <c r="E20" s="20">
        <v>0</v>
      </c>
      <c r="F20" s="21">
        <v>200</v>
      </c>
      <c r="G20" s="55"/>
    </row>
    <row r="21" spans="5:7" x14ac:dyDescent="0.2">
      <c r="E21" s="22">
        <v>132</v>
      </c>
      <c r="F21" s="23">
        <v>0</v>
      </c>
      <c r="G21" s="58" t="s">
        <v>13</v>
      </c>
    </row>
    <row r="22" spans="5:7" x14ac:dyDescent="0.2">
      <c r="E22" s="24">
        <v>0</v>
      </c>
      <c r="F22" s="25">
        <v>264</v>
      </c>
      <c r="G22" s="59"/>
    </row>
    <row r="23" spans="5:7" x14ac:dyDescent="0.2">
      <c r="E23" s="26">
        <v>300</v>
      </c>
      <c r="F23" s="27">
        <v>0</v>
      </c>
      <c r="G23" s="56" t="s">
        <v>12</v>
      </c>
    </row>
    <row r="24" spans="5:7" x14ac:dyDescent="0.2">
      <c r="E24" s="28">
        <v>0</v>
      </c>
      <c r="F24" s="29">
        <v>150</v>
      </c>
      <c r="G24" s="57"/>
    </row>
    <row r="25" spans="5:7" x14ac:dyDescent="0.2">
      <c r="E25" s="31">
        <f>F33/10</f>
        <v>130</v>
      </c>
      <c r="F25" s="31">
        <v>0</v>
      </c>
      <c r="G25" s="60" t="s">
        <v>19</v>
      </c>
    </row>
    <row r="26" spans="5:7" x14ac:dyDescent="0.2">
      <c r="E26" s="31">
        <v>0</v>
      </c>
      <c r="F26" s="31">
        <f>F33/10</f>
        <v>130</v>
      </c>
      <c r="G26" s="61"/>
    </row>
    <row r="30" spans="5:7" x14ac:dyDescent="0.2">
      <c r="E30" s="30" t="s">
        <v>16</v>
      </c>
    </row>
    <row r="32" spans="5:7" x14ac:dyDescent="0.2">
      <c r="E32" t="s">
        <v>17</v>
      </c>
    </row>
    <row r="33" spans="5:6" x14ac:dyDescent="0.2">
      <c r="E33" t="s">
        <v>18</v>
      </c>
      <c r="F33">
        <v>1300</v>
      </c>
    </row>
  </sheetData>
  <mergeCells count="5">
    <mergeCell ref="G17:G18"/>
    <mergeCell ref="G19:G20"/>
    <mergeCell ref="G23:G24"/>
    <mergeCell ref="G21:G22"/>
    <mergeCell ref="G25:G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CA7DA-6AC5-42B0-9E37-4A3C9EC4EB51}">
  <dimension ref="F19:H25"/>
  <sheetViews>
    <sheetView topLeftCell="A4" zoomScale="140" workbookViewId="0">
      <selection activeCell="J34" sqref="J34"/>
    </sheetView>
  </sheetViews>
  <sheetFormatPr baseColWidth="10" defaultColWidth="8.83203125" defaultRowHeight="15" x14ac:dyDescent="0.2"/>
  <cols>
    <col min="8" max="8" width="16.5" bestFit="1" customWidth="1"/>
  </cols>
  <sheetData>
    <row r="19" spans="6:8" x14ac:dyDescent="0.2">
      <c r="F19" s="32" t="s">
        <v>0</v>
      </c>
      <c r="G19" s="32" t="s">
        <v>1</v>
      </c>
      <c r="H19" s="33" t="s">
        <v>23</v>
      </c>
    </row>
    <row r="20" spans="6:8" x14ac:dyDescent="0.2">
      <c r="F20" s="34">
        <v>130000</v>
      </c>
      <c r="G20" s="35">
        <v>0</v>
      </c>
      <c r="H20" s="62" t="s">
        <v>20</v>
      </c>
    </row>
    <row r="21" spans="6:8" x14ac:dyDescent="0.2">
      <c r="F21" s="34">
        <v>130000</v>
      </c>
      <c r="G21" s="34">
        <v>120000</v>
      </c>
      <c r="H21" s="63"/>
    </row>
    <row r="22" spans="6:8" x14ac:dyDescent="0.2">
      <c r="F22" s="36">
        <v>0</v>
      </c>
      <c r="G22" s="37">
        <v>100000</v>
      </c>
      <c r="H22" s="64" t="s">
        <v>21</v>
      </c>
    </row>
    <row r="23" spans="6:8" x14ac:dyDescent="0.2">
      <c r="F23" s="37">
        <v>130000</v>
      </c>
      <c r="G23" s="37">
        <v>100000</v>
      </c>
      <c r="H23" s="64"/>
    </row>
    <row r="24" spans="6:8" x14ac:dyDescent="0.2">
      <c r="F24" s="38">
        <v>120000</v>
      </c>
      <c r="G24" s="39">
        <v>0</v>
      </c>
      <c r="H24" s="65" t="s">
        <v>22</v>
      </c>
    </row>
    <row r="25" spans="6:8" x14ac:dyDescent="0.2">
      <c r="F25" s="39">
        <v>0</v>
      </c>
      <c r="G25" s="38">
        <v>120000</v>
      </c>
      <c r="H25" s="65"/>
    </row>
  </sheetData>
  <mergeCells count="3">
    <mergeCell ref="H20:H21"/>
    <mergeCell ref="H22:H23"/>
    <mergeCell ref="H24:H2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961BB-62BA-4AEB-AE84-C7184C516BF4}">
  <dimension ref="G20:M28"/>
  <sheetViews>
    <sheetView tabSelected="1" topLeftCell="F13" zoomScale="134" workbookViewId="0">
      <selection activeCell="H25" sqref="H25"/>
    </sheetView>
  </sheetViews>
  <sheetFormatPr baseColWidth="10" defaultColWidth="8.83203125" defaultRowHeight="15" x14ac:dyDescent="0.2"/>
  <cols>
    <col min="1" max="6" width="8.83203125" style="1"/>
    <col min="7" max="7" width="4.1640625" style="1" bestFit="1" customWidth="1"/>
    <col min="8" max="8" width="6.33203125" style="1" bestFit="1" customWidth="1"/>
    <col min="9" max="9" width="15.6640625" style="1" bestFit="1" customWidth="1"/>
    <col min="10" max="16384" width="8.83203125" style="1"/>
  </cols>
  <sheetData>
    <row r="20" spans="7:13" x14ac:dyDescent="0.2">
      <c r="G20" s="40" t="s">
        <v>0</v>
      </c>
      <c r="H20" s="41" t="s">
        <v>1</v>
      </c>
      <c r="I20" s="41" t="s">
        <v>24</v>
      </c>
    </row>
    <row r="21" spans="7:13" x14ac:dyDescent="0.2">
      <c r="G21" s="42">
        <v>0</v>
      </c>
      <c r="H21" s="42">
        <v>700</v>
      </c>
      <c r="I21" s="49" t="s">
        <v>25</v>
      </c>
    </row>
    <row r="22" spans="7:13" x14ac:dyDescent="0.2">
      <c r="G22" s="42">
        <v>700</v>
      </c>
      <c r="H22" s="42">
        <v>0</v>
      </c>
      <c r="I22" s="49"/>
    </row>
    <row r="23" spans="7:13" x14ac:dyDescent="0.2">
      <c r="G23" s="43">
        <v>0</v>
      </c>
      <c r="H23" s="43">
        <v>-300</v>
      </c>
      <c r="I23" s="66" t="s">
        <v>26</v>
      </c>
    </row>
    <row r="24" spans="7:13" x14ac:dyDescent="0.2">
      <c r="G24" s="43">
        <v>300</v>
      </c>
      <c r="H24" s="43">
        <v>600</v>
      </c>
      <c r="I24" s="66"/>
      <c r="L24" s="1">
        <v>11000</v>
      </c>
      <c r="M24" s="1" t="s">
        <v>28</v>
      </c>
    </row>
    <row r="25" spans="7:13" x14ac:dyDescent="0.2">
      <c r="G25" s="44">
        <v>0</v>
      </c>
      <c r="H25" s="44">
        <v>900</v>
      </c>
      <c r="I25" s="67" t="s">
        <v>27</v>
      </c>
    </row>
    <row r="26" spans="7:13" x14ac:dyDescent="0.2">
      <c r="G26" s="44">
        <v>450</v>
      </c>
      <c r="H26" s="44">
        <v>0</v>
      </c>
      <c r="I26" s="67"/>
    </row>
    <row r="27" spans="7:13" x14ac:dyDescent="0.2">
      <c r="G27" s="45">
        <v>0</v>
      </c>
      <c r="H27" s="45">
        <v>600</v>
      </c>
      <c r="I27" s="68" t="s">
        <v>6</v>
      </c>
      <c r="L27" s="1">
        <f>L24/70</f>
        <v>157.14285714285714</v>
      </c>
      <c r="M27" s="1">
        <v>0</v>
      </c>
    </row>
    <row r="28" spans="7:13" x14ac:dyDescent="0.2">
      <c r="G28" s="45">
        <v>800</v>
      </c>
      <c r="H28" s="45">
        <v>0</v>
      </c>
      <c r="I28" s="68"/>
      <c r="L28" s="1">
        <v>0</v>
      </c>
      <c r="M28" s="1">
        <f>L24/40</f>
        <v>275</v>
      </c>
    </row>
  </sheetData>
  <mergeCells count="4">
    <mergeCell ref="I21:I22"/>
    <mergeCell ref="I23:I24"/>
    <mergeCell ref="I25:I26"/>
    <mergeCell ref="I27:I2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#1</vt:lpstr>
      <vt:lpstr>#2</vt:lpstr>
      <vt:lpstr>#3</vt:lpstr>
      <vt:lpstr>#4</vt:lpstr>
      <vt:lpstr>#5</vt:lpstr>
    </vt:vector>
  </TitlesOfParts>
  <Company>Quinnipiac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Ceccucci, Wendy A. Prof.</dc:creator>
  <cp:lastModifiedBy>Khanna, Dhruva Navin</cp:lastModifiedBy>
  <dcterms:created xsi:type="dcterms:W3CDTF">2025-09-02T18:40:39Z</dcterms:created>
  <dcterms:modified xsi:type="dcterms:W3CDTF">2025-09-09T17:07:51Z</dcterms:modified>
</cp:coreProperties>
</file>