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202300"/>
  <mc:AlternateContent xmlns:mc="http://schemas.openxmlformats.org/markup-compatibility/2006">
    <mc:Choice Requires="x15">
      <x15ac:absPath xmlns:x15ac="http://schemas.microsoft.com/office/spreadsheetml/2010/11/ac" url="/Users/dhruv/Desktop/OPTIMIZATION/"/>
    </mc:Choice>
  </mc:AlternateContent>
  <xr:revisionPtr revIDLastSave="0" documentId="13_ncr:1_{8C84FD64-588C-4D4F-AAA0-0AF261F949AF}" xr6:coauthVersionLast="47" xr6:coauthVersionMax="47" xr10:uidLastSave="{00000000-0000-0000-0000-000000000000}"/>
  <bookViews>
    <workbookView xWindow="0" yWindow="740" windowWidth="29400" windowHeight="18380" activeTab="8" xr2:uid="{2F7EEAFF-AECB-40EC-BC8A-ED2D0AB92164}"/>
  </bookViews>
  <sheets>
    <sheet name="Sensitivity Report 1" sheetId="7" r:id="rId1"/>
    <sheet name="#1" sheetId="2" r:id="rId2"/>
    <sheet name="Sensitivity Report 2" sheetId="8" r:id="rId3"/>
    <sheet name="#2" sheetId="1" r:id="rId4"/>
    <sheet name="Sensitivity Report 3" sheetId="9" r:id="rId5"/>
    <sheet name="#3" sheetId="3" r:id="rId6"/>
    <sheet name="Sensitivity Report 4" sheetId="10" r:id="rId7"/>
    <sheet name="#4" sheetId="5" r:id="rId8"/>
    <sheet name="#5" sheetId="6" r:id="rId9"/>
  </sheets>
  <definedNames>
    <definedName name="coin_cuttype" localSheetId="7" hidden="1">1</definedName>
    <definedName name="coin_dualtol" localSheetId="7" hidden="1">0.0000001</definedName>
    <definedName name="coin_heurs" localSheetId="7" hidden="1">1</definedName>
    <definedName name="coin_integerpresolve" localSheetId="7" hidden="1">1</definedName>
    <definedName name="coin_presolve1" localSheetId="7" hidden="1">1</definedName>
    <definedName name="coin_primaltol" localSheetId="7" hidden="1">0.0000001</definedName>
    <definedName name="grb_async_callbacks" localSheetId="7" hidden="1">1</definedName>
    <definedName name="grb_bariter" localSheetId="7" hidden="1">1E+100</definedName>
    <definedName name="grb_bartol" localSheetId="7" hidden="1">0.00000001</definedName>
    <definedName name="grb_crossover" localSheetId="7" hidden="1">-1</definedName>
    <definedName name="grb_cutoff" localSheetId="7" hidden="1">1E+100</definedName>
    <definedName name="grb_cuts" localSheetId="7" hidden="1">-1</definedName>
    <definedName name="grb_focus" localSheetId="7" hidden="1">0</definedName>
    <definedName name="grb_heur" localSheetId="7" hidden="1">0.05</definedName>
    <definedName name="grb_infeas" localSheetId="7" hidden="1">0.000001</definedName>
    <definedName name="grb_inttol" localSheetId="7" hidden="1">0.00001</definedName>
    <definedName name="grb_method" localSheetId="7" hidden="1">1</definedName>
    <definedName name="grb_nodefilestart" localSheetId="7" hidden="1">1E+100</definedName>
    <definedName name="grb_optimal" localSheetId="7" hidden="1">0.000001</definedName>
    <definedName name="grb_order" localSheetId="7" hidden="1">-1</definedName>
    <definedName name="grb_presolve" localSheetId="7" hidden="1">-1</definedName>
    <definedName name="grb_pricing" localSheetId="7" hidden="1">-1</definedName>
    <definedName name="grb_psdtol" localSheetId="7" hidden="1">0.000001</definedName>
    <definedName name="grb_relmip" localSheetId="7" hidden="1">0.0001</definedName>
    <definedName name="grb_submip" localSheetId="7" hidden="1">500</definedName>
    <definedName name="grb_symmetry" localSheetId="7" hidden="1">-1</definedName>
    <definedName name="grb_threads" localSheetId="7" hidden="1">0</definedName>
    <definedName name="grb_var" localSheetId="7" hidden="1">-1</definedName>
    <definedName name="gurobi_qp" localSheetId="7" hidden="1">0</definedName>
    <definedName name="solver_adj" localSheetId="1" hidden="1">'#1'!$C$5:$F$5</definedName>
    <definedName name="solver_adj" localSheetId="3" hidden="1">'#2'!$B$8:$D$9</definedName>
    <definedName name="solver_adj" localSheetId="5" hidden="1">'#3'!$B$3:$D$3</definedName>
    <definedName name="solver_adj" localSheetId="7" hidden="1">'#4'!$B$4:$C$4</definedName>
    <definedName name="solver_adj_ob" localSheetId="7" hidden="1">1</definedName>
    <definedName name="solver_cha" localSheetId="7" hidden="1">0</definedName>
    <definedName name="solver_chc1" localSheetId="7" hidden="1">0</definedName>
    <definedName name="solver_chc2" localSheetId="7" hidden="1">0</definedName>
    <definedName name="solver_chn" localSheetId="7" hidden="1">4</definedName>
    <definedName name="solver_chp1" localSheetId="7" hidden="1">0</definedName>
    <definedName name="solver_chp2" localSheetId="7" hidden="1">0</definedName>
    <definedName name="solver_cht" localSheetId="7" hidden="1">0</definedName>
    <definedName name="solver_cir1" localSheetId="7" hidden="1">1</definedName>
    <definedName name="solver_cir2" localSheetId="7" hidden="1">1</definedName>
    <definedName name="solver_con" localSheetId="7" hidden="1">" "</definedName>
    <definedName name="solver_con1" localSheetId="7" hidden="1">" "</definedName>
    <definedName name="solver_con2" localSheetId="7" hidden="1">" "</definedName>
    <definedName name="solver_corr" hidden="1">1</definedName>
    <definedName name="solver_ctp1" hidden="1">0</definedName>
    <definedName name="solver_ctp2" hidden="1">0</definedName>
    <definedName name="solver_cvg" localSheetId="1" hidden="1">0.0001</definedName>
    <definedName name="solver_cvg" localSheetId="3" hidden="1">0.0001</definedName>
    <definedName name="solver_cvg" localSheetId="5" hidden="1">0.0001</definedName>
    <definedName name="solver_cvg" localSheetId="7" hidden="1">0.0001</definedName>
    <definedName name="solver_dia" localSheetId="7" hidden="1">5</definedName>
    <definedName name="solver_disp" hidden="1">0</definedName>
    <definedName name="solver_drv" localSheetId="1" hidden="1">1</definedName>
    <definedName name="solver_drv" localSheetId="3" hidden="1">1</definedName>
    <definedName name="solver_drv" localSheetId="5" hidden="1">1</definedName>
    <definedName name="solver_drv" localSheetId="7" hidden="1">1</definedName>
    <definedName name="solver_eng" localSheetId="1" hidden="1">2</definedName>
    <definedName name="solver_eng" localSheetId="3" hidden="1">2</definedName>
    <definedName name="solver_eng" localSheetId="5" hidden="1">2</definedName>
    <definedName name="solver_eng" localSheetId="7" hidden="1">2</definedName>
    <definedName name="solver_est" localSheetId="1" hidden="1">1</definedName>
    <definedName name="solver_est" localSheetId="7" hidden="1">1</definedName>
    <definedName name="solver_eval" hidden="1">0</definedName>
    <definedName name="solver_iao" localSheetId="7" hidden="1">0</definedName>
    <definedName name="solver_ibd" localSheetId="1" hidden="1">2</definedName>
    <definedName name="solver_ibd" localSheetId="7" hidden="1">2</definedName>
    <definedName name="solver_int" localSheetId="7" hidden="1">0</definedName>
    <definedName name="solver_irs" localSheetId="7" hidden="1">0</definedName>
    <definedName name="solver_ism" localSheetId="7" hidden="1">0</definedName>
    <definedName name="solver_itr" localSheetId="1" hidden="1">100</definedName>
    <definedName name="solver_itr" localSheetId="3" hidden="1">2147483647</definedName>
    <definedName name="solver_itr" localSheetId="5" hidden="1">2147483647</definedName>
    <definedName name="solver_itr" localSheetId="7" hidden="1">100</definedName>
    <definedName name="solver_kiv" localSheetId="7" hidden="1">2E+30</definedName>
    <definedName name="solver_lcens" hidden="1">-1E+30</definedName>
    <definedName name="solver_lcut" hidden="1">-1E+30</definedName>
    <definedName name="solver_lhs_ob1" localSheetId="7" hidden="1">0</definedName>
    <definedName name="solver_lhs_ob2" localSheetId="7" hidden="1">0</definedName>
    <definedName name="solver_lhs1" localSheetId="1" hidden="1">'#1'!$C$5:$F$5</definedName>
    <definedName name="solver_lhs1" localSheetId="3" hidden="1">'#2'!$B$10:$D$10</definedName>
    <definedName name="solver_lhs1" localSheetId="5" hidden="1">'#3'!$B$5</definedName>
    <definedName name="solver_lhs1" localSheetId="7" hidden="1">'#4'!$B$4:$C$4</definedName>
    <definedName name="solver_lhs2" localSheetId="1" hidden="1">'#1'!$C$5:$F$5</definedName>
    <definedName name="solver_lhs2" localSheetId="3" hidden="1">'#2'!$B$8</definedName>
    <definedName name="solver_lhs2" localSheetId="5" hidden="1">'#3'!$E$3</definedName>
    <definedName name="solver_lhs2" localSheetId="7" hidden="1">'#4'!$D$8:$D$9</definedName>
    <definedName name="solver_lhs3" localSheetId="1" hidden="1">'#1'!$G$16:$G$19</definedName>
    <definedName name="solver_lhs3" localSheetId="3" hidden="1">'#2'!$B$8:$D$9</definedName>
    <definedName name="solver_lhs3" localSheetId="5" hidden="1">'#3'!$E$3</definedName>
    <definedName name="solver_lhs4" localSheetId="1" hidden="1">'#1'!$G$22:$G$23</definedName>
    <definedName name="solver_lhs4" localSheetId="3" hidden="1">'#2'!$C$10</definedName>
    <definedName name="solver_lhs5" localSheetId="3" hidden="1">'#2'!$E$8:$E$9</definedName>
    <definedName name="solver_lin" localSheetId="1" hidden="1">1</definedName>
    <definedName name="solver_lin" localSheetId="3" hidden="1">1</definedName>
    <definedName name="solver_lin" localSheetId="5" hidden="1">1</definedName>
    <definedName name="solver_lin" localSheetId="7" hidden="1">1</definedName>
    <definedName name="solver_loc" localSheetId="1" hidden="1">1</definedName>
    <definedName name="solver_lva" localSheetId="1" hidden="1">2</definedName>
    <definedName name="solver_lva" localSheetId="7" hidden="1">2</definedName>
    <definedName name="solver_mda" localSheetId="7" hidden="1">4</definedName>
    <definedName name="solver_mip" localSheetId="1" hidden="1">5000</definedName>
    <definedName name="solver_mip" localSheetId="3" hidden="1">2147483647</definedName>
    <definedName name="solver_mip" localSheetId="5" hidden="1">2147483647</definedName>
    <definedName name="solver_mip" localSheetId="7" hidden="1">5000</definedName>
    <definedName name="solver_mni" localSheetId="1" hidden="1">30</definedName>
    <definedName name="solver_mni" localSheetId="3" hidden="1">30</definedName>
    <definedName name="solver_mni" localSheetId="5" hidden="1">30</definedName>
    <definedName name="solver_mni" localSheetId="7" hidden="1">30</definedName>
    <definedName name="solver_mod" localSheetId="7" hidden="1">3</definedName>
    <definedName name="solver_mrt" localSheetId="1" hidden="1">0.075</definedName>
    <definedName name="solver_mrt" localSheetId="3" hidden="1">0.075</definedName>
    <definedName name="solver_mrt" localSheetId="5" hidden="1">0.075</definedName>
    <definedName name="solver_mrt" localSheetId="7" hidden="1">0.075</definedName>
    <definedName name="solver_msl" localSheetId="1" hidden="1">2</definedName>
    <definedName name="solver_msl" localSheetId="3" hidden="1">2</definedName>
    <definedName name="solver_msl" localSheetId="5" hidden="1">2</definedName>
    <definedName name="solver_msl" localSheetId="7" hidden="1">2</definedName>
    <definedName name="solver_neg" localSheetId="1" hidden="1">2</definedName>
    <definedName name="solver_neg" localSheetId="3" hidden="1">1</definedName>
    <definedName name="solver_neg" localSheetId="5" hidden="1">1</definedName>
    <definedName name="solver_neg" localSheetId="7" hidden="1">2</definedName>
    <definedName name="solver_nod" localSheetId="1" hidden="1">5000</definedName>
    <definedName name="solver_nod" localSheetId="3" hidden="1">2147483647</definedName>
    <definedName name="solver_nod" localSheetId="5" hidden="1">2147483647</definedName>
    <definedName name="solver_nod" localSheetId="7" hidden="1">5000</definedName>
    <definedName name="solver_nsim" hidden="1">1</definedName>
    <definedName name="solver_nssim" hidden="1">-1</definedName>
    <definedName name="solver_ntr" localSheetId="7" hidden="1">0</definedName>
    <definedName name="solver_ntri" hidden="1">1000</definedName>
    <definedName name="solver_num" localSheetId="1" hidden="1">4</definedName>
    <definedName name="solver_num" localSheetId="3" hidden="1">5</definedName>
    <definedName name="solver_num" localSheetId="5" hidden="1">2</definedName>
    <definedName name="solver_num" localSheetId="7" hidden="1">2</definedName>
    <definedName name="solver_nwt" localSheetId="1" hidden="1">1</definedName>
    <definedName name="solver_nwt" localSheetId="7" hidden="1">1</definedName>
    <definedName name="solver_obc" localSheetId="7" hidden="1">0</definedName>
    <definedName name="solver_obp" localSheetId="7" hidden="1">0</definedName>
    <definedName name="solver_ofx" localSheetId="1" hidden="1">2</definedName>
    <definedName name="solver_ofx" localSheetId="7" hidden="1">2</definedName>
    <definedName name="solver_opt" localSheetId="1" hidden="1">'#1'!$C$13</definedName>
    <definedName name="solver_opt" localSheetId="3" hidden="1">'#2'!$B$13</definedName>
    <definedName name="solver_opt" localSheetId="5" hidden="1">'#3'!$B$5</definedName>
    <definedName name="solver_opt" localSheetId="7" hidden="1">'#4'!$E$4</definedName>
    <definedName name="solver_opt_ob" localSheetId="7" hidden="1">1</definedName>
    <definedName name="solver_piv" localSheetId="1" hidden="1">0.000001</definedName>
    <definedName name="solver_piv" localSheetId="7" hidden="1">0.000001</definedName>
    <definedName name="solver_pre" localSheetId="1" hidden="1">0.000001</definedName>
    <definedName name="solver_pre" localSheetId="3" hidden="1">0.000001</definedName>
    <definedName name="solver_pre" localSheetId="5" hidden="1">0.000001</definedName>
    <definedName name="solver_pre" localSheetId="7" hidden="1">0.000001</definedName>
    <definedName name="solver_pro" localSheetId="1" hidden="1">2</definedName>
    <definedName name="solver_pro" localSheetId="7" hidden="1">2</definedName>
    <definedName name="solver_psi" localSheetId="7" hidden="1">0</definedName>
    <definedName name="solver_rbv" localSheetId="1" hidden="1">1</definedName>
    <definedName name="solver_rbv" localSheetId="3" hidden="1">1</definedName>
    <definedName name="solver_rbv" localSheetId="5" hidden="1">1</definedName>
    <definedName name="solver_rbv" localSheetId="7" hidden="1">1</definedName>
    <definedName name="solver_rdp" localSheetId="7" hidden="1">0</definedName>
    <definedName name="solver_red" localSheetId="1" hidden="1">0.000001</definedName>
    <definedName name="solver_red" localSheetId="7" hidden="1">0.000001</definedName>
    <definedName name="solver_rel1" localSheetId="1" hidden="1">1</definedName>
    <definedName name="solver_rel1" localSheetId="3" hidden="1">2</definedName>
    <definedName name="solver_rel1" localSheetId="5" hidden="1">3</definedName>
    <definedName name="solver_rel1" localSheetId="7" hidden="1">3</definedName>
    <definedName name="solver_rel2" localSheetId="1" hidden="1">3</definedName>
    <definedName name="solver_rel2" localSheetId="3" hidden="1">2</definedName>
    <definedName name="solver_rel2" localSheetId="5" hidden="1">3</definedName>
    <definedName name="solver_rel2" localSheetId="7" hidden="1">1</definedName>
    <definedName name="solver_rel3" localSheetId="1" hidden="1">1</definedName>
    <definedName name="solver_rel3" localSheetId="3" hidden="1">3</definedName>
    <definedName name="solver_rel3" localSheetId="5" hidden="1">3</definedName>
    <definedName name="solver_rel4" localSheetId="1" hidden="1">1</definedName>
    <definedName name="solver_rel4" localSheetId="3" hidden="1">1</definedName>
    <definedName name="solver_rel5" localSheetId="3" hidden="1">1</definedName>
    <definedName name="solver_reo" localSheetId="1" hidden="1">2</definedName>
    <definedName name="solver_reo" localSheetId="7" hidden="1">2</definedName>
    <definedName name="solver_rep" localSheetId="1" hidden="1">2</definedName>
    <definedName name="solver_rep" localSheetId="7" hidden="1">2</definedName>
    <definedName name="solver_rhs1" localSheetId="1" hidden="1">'#1'!$C$7:$F$7</definedName>
    <definedName name="solver_rhs1" localSheetId="3" hidden="1">'#2'!$B$11:$D$11</definedName>
    <definedName name="solver_rhs1" localSheetId="5" hidden="1">1</definedName>
    <definedName name="solver_rhs1" localSheetId="7" hidden="1">0</definedName>
    <definedName name="solver_rhs2" localSheetId="1" hidden="1">'#1'!$C$6:$F$6</definedName>
    <definedName name="solver_rhs2" localSheetId="3" hidden="1">1</definedName>
    <definedName name="solver_rhs2" localSheetId="5" hidden="1">1</definedName>
    <definedName name="solver_rhs2" localSheetId="7" hidden="1">'#4'!$E$8:$E$9</definedName>
    <definedName name="solver_rhs3" localSheetId="1" hidden="1">'#1'!$H$16:$H$19</definedName>
    <definedName name="solver_rhs3" localSheetId="3" hidden="1">0</definedName>
    <definedName name="solver_rhs3" localSheetId="5" hidden="1">2</definedName>
    <definedName name="solver_rhs4" localSheetId="1" hidden="1">'#1'!$H$22:$H$23</definedName>
    <definedName name="solver_rhs4" localSheetId="3" hidden="1">14</definedName>
    <definedName name="solver_rhs5" localSheetId="3" hidden="1">'#2'!$F$8:$F$9</definedName>
    <definedName name="solver_rlx" localSheetId="1" hidden="1">2</definedName>
    <definedName name="solver_rlx" localSheetId="3" hidden="1">2</definedName>
    <definedName name="solver_rlx" localSheetId="5" hidden="1">2</definedName>
    <definedName name="solver_rlx" localSheetId="7" hidden="1">2</definedName>
    <definedName name="solver_rsd" localSheetId="1" hidden="1">0</definedName>
    <definedName name="solver_rsd" localSheetId="3" hidden="1">0</definedName>
    <definedName name="solver_rsd" localSheetId="5" hidden="1">0</definedName>
    <definedName name="solver_rsd" localSheetId="7" hidden="1">0</definedName>
    <definedName name="solver_rsmp" hidden="1">2</definedName>
    <definedName name="solver_rtr" localSheetId="7" hidden="1">0</definedName>
    <definedName name="solver_rxc1" localSheetId="7" hidden="1">1</definedName>
    <definedName name="solver_rxc2" localSheetId="7" hidden="1">1</definedName>
    <definedName name="solver_rxv" localSheetId="7" hidden="1">1</definedName>
    <definedName name="solver_scl" localSheetId="1" hidden="1">2</definedName>
    <definedName name="solver_scl" localSheetId="3" hidden="1">1</definedName>
    <definedName name="solver_scl" localSheetId="5" hidden="1">1</definedName>
    <definedName name="solver_scl" localSheetId="7" hidden="1">2</definedName>
    <definedName name="solver_seed" hidden="1">0</definedName>
    <definedName name="solver_sel" localSheetId="7" hidden="1">1</definedName>
    <definedName name="solver_sho" localSheetId="1" hidden="1">2</definedName>
    <definedName name="solver_sho" localSheetId="3" hidden="1">2</definedName>
    <definedName name="solver_sho" localSheetId="5" hidden="1">2</definedName>
    <definedName name="solver_sho" localSheetId="7" hidden="1">2</definedName>
    <definedName name="solver_slv" localSheetId="7" hidden="1">0</definedName>
    <definedName name="solver_slvu" localSheetId="7" hidden="1">0</definedName>
    <definedName name="solver_ssz" localSheetId="1" hidden="1">100</definedName>
    <definedName name="solver_ssz" localSheetId="3" hidden="1">100</definedName>
    <definedName name="solver_ssz" localSheetId="5" hidden="1">100</definedName>
    <definedName name="solver_ssz" localSheetId="7" hidden="1">100</definedName>
    <definedName name="solver_std" localSheetId="1" hidden="1">1</definedName>
    <definedName name="solver_std" localSheetId="7" hidden="1">0</definedName>
    <definedName name="solver_sthr" hidden="1">0</definedName>
    <definedName name="solver_tim" localSheetId="1" hidden="1">100</definedName>
    <definedName name="solver_tim" localSheetId="3" hidden="1">2147483647</definedName>
    <definedName name="solver_tim" localSheetId="5" hidden="1">2147483647</definedName>
    <definedName name="solver_tim" localSheetId="7" hidden="1">100</definedName>
    <definedName name="solver_tmp" localSheetId="7" hidden="1">'#4'!$E$8:$E$9</definedName>
    <definedName name="solver_tol" localSheetId="1" hidden="1">0.0005</definedName>
    <definedName name="solver_tol" localSheetId="3" hidden="1">0.01</definedName>
    <definedName name="solver_tol" localSheetId="5" hidden="1">0.01</definedName>
    <definedName name="solver_tol" localSheetId="7" hidden="1">0.05</definedName>
    <definedName name="solver_typ" localSheetId="1" hidden="1">1</definedName>
    <definedName name="solver_typ" localSheetId="3" hidden="1">2</definedName>
    <definedName name="solver_typ" localSheetId="5" hidden="1">2</definedName>
    <definedName name="solver_typ" localSheetId="7" hidden="1">1</definedName>
    <definedName name="solver_ucens" hidden="1">1E+30</definedName>
    <definedName name="solver_ucut" hidden="1">1E+30</definedName>
    <definedName name="solver_umod" localSheetId="7" hidden="1">1</definedName>
    <definedName name="solver_urs" localSheetId="7" hidden="1">0</definedName>
    <definedName name="solver_val" localSheetId="1" hidden="1">0</definedName>
    <definedName name="solver_val" localSheetId="3" hidden="1">0</definedName>
    <definedName name="solver_val" localSheetId="5" hidden="1">0</definedName>
    <definedName name="solver_val" localSheetId="7" hidden="1">0</definedName>
    <definedName name="solver_var" localSheetId="7" hidden="1">" "</definedName>
    <definedName name="solver_ver" localSheetId="1" hidden="1">2</definedName>
    <definedName name="solver_ver" localSheetId="3" hidden="1">2</definedName>
    <definedName name="solver_ver" localSheetId="5" hidden="1">2</definedName>
    <definedName name="solver_ver" localSheetId="7" hidden="1">2</definedName>
    <definedName name="solver_vir" localSheetId="7" hidden="1">1</definedName>
    <definedName name="solver_vol" localSheetId="7" hidden="1">0</definedName>
    <definedName name="solver_vst" localSheetId="7" hidden="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4" i="6" l="1"/>
  <c r="I35" i="6"/>
  <c r="I36" i="6"/>
  <c r="I37" i="6"/>
  <c r="I38" i="6"/>
  <c r="I33" i="6"/>
  <c r="G38" i="6"/>
  <c r="F38" i="6"/>
  <c r="G37" i="6"/>
  <c r="F37" i="6"/>
  <c r="G36" i="6"/>
  <c r="F36" i="6"/>
  <c r="G35" i="6"/>
  <c r="F35" i="6"/>
  <c r="G34" i="6"/>
  <c r="F34" i="6"/>
  <c r="G33" i="6"/>
  <c r="F33" i="6"/>
  <c r="E4" i="5"/>
  <c r="D8" i="5"/>
  <c r="D9" i="5"/>
  <c r="B5" i="3"/>
  <c r="E3" i="3"/>
  <c r="E8" i="1"/>
  <c r="B13" i="1"/>
  <c r="C10" i="1"/>
  <c r="D10" i="1"/>
  <c r="B10" i="1"/>
  <c r="E9" i="1"/>
  <c r="C11" i="2"/>
  <c r="D11" i="2"/>
  <c r="E11" i="2"/>
  <c r="F11" i="2"/>
  <c r="C13" i="2"/>
  <c r="G16" i="2"/>
  <c r="G17" i="2"/>
  <c r="G18" i="2"/>
  <c r="G19" i="2"/>
  <c r="G22" i="2"/>
  <c r="G2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C5" authorId="0" shapeId="0" xr:uid="{F9340EB0-9676-4665-9857-EAA439233F27}">
      <text>
        <r>
          <rPr>
            <sz val="8"/>
            <color indexed="81"/>
            <rFont val="Tahoma"/>
            <family val="2"/>
          </rPr>
          <t>Variable cell</t>
        </r>
      </text>
    </comment>
    <comment ref="D5" authorId="0" shapeId="0" xr:uid="{2801502D-A57B-47D6-9B1F-E02A295E1C47}">
      <text>
        <r>
          <rPr>
            <sz val="8"/>
            <color indexed="81"/>
            <rFont val="Tahoma"/>
            <family val="2"/>
          </rPr>
          <t>Variable cell</t>
        </r>
      </text>
    </comment>
    <comment ref="E5" authorId="0" shapeId="0" xr:uid="{31B95A24-9CD0-4EEC-9D63-5EFD872152A0}">
      <text>
        <r>
          <rPr>
            <sz val="8"/>
            <color indexed="81"/>
            <rFont val="Tahoma"/>
            <family val="2"/>
          </rPr>
          <t>Variable cell</t>
        </r>
      </text>
    </comment>
    <comment ref="F5" authorId="0" shapeId="0" xr:uid="{7EB3C57B-6818-4B02-B143-D9E3A4578AEB}">
      <text>
        <r>
          <rPr>
            <sz val="8"/>
            <color indexed="81"/>
            <rFont val="Tahoma"/>
            <family val="2"/>
          </rPr>
          <t>Variable cell</t>
        </r>
      </text>
    </comment>
    <comment ref="C13" authorId="0" shapeId="0" xr:uid="{16E2923B-1D03-4D8C-B3EB-F1238145C3FB}">
      <text>
        <r>
          <rPr>
            <sz val="8"/>
            <color rgb="FF000000"/>
            <rFont val="Tahoma"/>
            <family val="2"/>
          </rPr>
          <t>Objective cell</t>
        </r>
      </text>
    </comment>
    <comment ref="G16" authorId="0" shapeId="0" xr:uid="{D9BF71D9-4AEE-460A-A385-D180B9A929AF}">
      <text>
        <r>
          <rPr>
            <sz val="8"/>
            <color rgb="FF000000"/>
            <rFont val="Tahoma"/>
            <family val="2"/>
          </rPr>
          <t>Constraint cell</t>
        </r>
      </text>
    </comment>
    <comment ref="G17" authorId="0" shapeId="0" xr:uid="{8B419F82-6131-4155-A5D0-8F20619577BF}">
      <text>
        <r>
          <rPr>
            <sz val="8"/>
            <color indexed="81"/>
            <rFont val="Tahoma"/>
            <family val="2"/>
          </rPr>
          <t>Constraint cell</t>
        </r>
      </text>
    </comment>
    <comment ref="G18" authorId="0" shapeId="0" xr:uid="{4AB43699-EB59-4B2E-8FB6-839028A1E3F5}">
      <text>
        <r>
          <rPr>
            <sz val="8"/>
            <color indexed="81"/>
            <rFont val="Tahoma"/>
            <family val="2"/>
          </rPr>
          <t>Constraint cell</t>
        </r>
      </text>
    </comment>
    <comment ref="G19" authorId="0" shapeId="0" xr:uid="{D585E933-12E4-4E42-AE71-6B3F74F3F1A5}">
      <text>
        <r>
          <rPr>
            <sz val="8"/>
            <color indexed="81"/>
            <rFont val="Tahoma"/>
            <family val="2"/>
          </rPr>
          <t>Constraint cell</t>
        </r>
      </text>
    </comment>
    <comment ref="G22" authorId="0" shapeId="0" xr:uid="{9B0A1F43-BBB6-4D32-AD14-9BC293AD8C69}">
      <text>
        <r>
          <rPr>
            <sz val="8"/>
            <color indexed="81"/>
            <rFont val="Tahoma"/>
            <family val="2"/>
          </rPr>
          <t>Constraint cell</t>
        </r>
      </text>
    </comment>
    <comment ref="G23" authorId="0" shapeId="0" xr:uid="{CD986EE2-A7D7-4035-B6A9-8A9EAC2EBA7C}">
      <text>
        <r>
          <rPr>
            <sz val="8"/>
            <color indexed="81"/>
            <rFont val="Tahoma"/>
            <family val="2"/>
          </rPr>
          <t>Constraint cell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 satisfied Microsoft Office user</author>
  </authors>
  <commentList>
    <comment ref="B4" authorId="0" shapeId="0" xr:uid="{C359D5A0-0F34-46B9-A4BB-D04FB0814974}">
      <text>
        <r>
          <rPr>
            <sz val="8"/>
            <color rgb="FF000000"/>
            <rFont val="Tahoma"/>
            <family val="2"/>
          </rPr>
          <t>Variable cell</t>
        </r>
      </text>
    </comment>
    <comment ref="C4" authorId="0" shapeId="0" xr:uid="{A2E3A98A-AB8A-4BB6-BDE6-84B43773F527}">
      <text>
        <r>
          <rPr>
            <sz val="8"/>
            <color indexed="81"/>
            <rFont val="Tahoma"/>
            <family val="2"/>
          </rPr>
          <t>Variable cell</t>
        </r>
      </text>
    </comment>
    <comment ref="E4" authorId="0" shapeId="0" xr:uid="{3C2D2759-01C3-42A1-A5A5-BF444B21E763}">
      <text>
        <r>
          <rPr>
            <sz val="8"/>
            <color indexed="81"/>
            <rFont val="Tahoma"/>
            <family val="2"/>
          </rPr>
          <t>Set cell</t>
        </r>
      </text>
    </comment>
    <comment ref="D8" authorId="0" shapeId="0" xr:uid="{F076DB20-48CF-4B45-A315-570F41DE116D}">
      <text>
        <r>
          <rPr>
            <sz val="8"/>
            <color rgb="FF000000"/>
            <rFont val="Tahoma"/>
            <family val="2"/>
          </rPr>
          <t>Constraint cell</t>
        </r>
      </text>
    </comment>
    <comment ref="D9" authorId="0" shapeId="0" xr:uid="{11C387EE-A898-4BA9-9B9A-03ED3FADBD9D}">
      <text>
        <r>
          <rPr>
            <sz val="8"/>
            <color rgb="FF000000"/>
            <rFont val="Tahoma"/>
            <family val="2"/>
          </rPr>
          <t>Constraint cell</t>
        </r>
      </text>
    </comment>
  </commentList>
</comments>
</file>

<file path=xl/sharedStrings.xml><?xml version="1.0" encoding="utf-8"?>
<sst xmlns="http://schemas.openxmlformats.org/spreadsheetml/2006/main" count="251" uniqueCount="138">
  <si>
    <t>X1</t>
  </si>
  <si>
    <t>X2</t>
  </si>
  <si>
    <t>X3</t>
  </si>
  <si>
    <t xml:space="preserve">  Chocolate</t>
  </si>
  <si>
    <t xml:space="preserve">  Nuts</t>
  </si>
  <si>
    <t>Available</t>
  </si>
  <si>
    <t>Used</t>
  </si>
  <si>
    <t>Ingredients required per pound</t>
  </si>
  <si>
    <t>Direct Materials</t>
  </si>
  <si>
    <t xml:space="preserve">  Packaging</t>
  </si>
  <si>
    <t xml:space="preserve">  Coating</t>
  </si>
  <si>
    <t xml:space="preserve"> </t>
  </si>
  <si>
    <t xml:space="preserve">  Roasting</t>
  </si>
  <si>
    <t xml:space="preserve">  Hulling</t>
  </si>
  <si>
    <t>Minutes required per pound</t>
  </si>
  <si>
    <t>Machine Use</t>
  </si>
  <si>
    <t>Total Profit</t>
  </si>
  <si>
    <t>Unit Profit Margin</t>
  </si>
  <si>
    <t>Unit Variable Cost</t>
  </si>
  <si>
    <t>Unit Selling Price</t>
  </si>
  <si>
    <t>Max Needed</t>
  </si>
  <si>
    <t>Min Req'd</t>
  </si>
  <si>
    <t>Pounds produced</t>
  </si>
  <si>
    <t>Roasted</t>
  </si>
  <si>
    <t>Crunch</t>
  </si>
  <si>
    <t>Cluster</t>
  </si>
  <si>
    <t>Whole</t>
  </si>
  <si>
    <t>Miami</t>
  </si>
  <si>
    <t>Orlando</t>
  </si>
  <si>
    <t>Tallahasee</t>
  </si>
  <si>
    <t>Eustis</t>
  </si>
  <si>
    <t>Clermont</t>
  </si>
  <si>
    <t>Tallahassee</t>
  </si>
  <si>
    <t>Shipped</t>
  </si>
  <si>
    <t>Demand</t>
  </si>
  <si>
    <t>Total Cost</t>
  </si>
  <si>
    <t>Generators</t>
  </si>
  <si>
    <t>Alternators</t>
  </si>
  <si>
    <t>Number to produce</t>
  </si>
  <si>
    <t>Profit per Unit</t>
  </si>
  <si>
    <t>Resources Required</t>
  </si>
  <si>
    <t>Wiring</t>
  </si>
  <si>
    <t>Testing</t>
  </si>
  <si>
    <t>Microsoft Excel 16.100 Sensitivity Report</t>
  </si>
  <si>
    <t>Worksheet: [Chapter 4 Homework Fall 2025.xlsx]#1</t>
  </si>
  <si>
    <t>Report Created: 9/30/25 12:26:51 PM</t>
  </si>
  <si>
    <t>Variable Cells</t>
  </si>
  <si>
    <t>Cell</t>
  </si>
  <si>
    <t>Name</t>
  </si>
  <si>
    <t>Final</t>
  </si>
  <si>
    <t>Value</t>
  </si>
  <si>
    <t>Reduced</t>
  </si>
  <si>
    <t>Cost</t>
  </si>
  <si>
    <t>Objective</t>
  </si>
  <si>
    <t>Coefficient</t>
  </si>
  <si>
    <t>Allowable</t>
  </si>
  <si>
    <t>Increase</t>
  </si>
  <si>
    <t>Decrease</t>
  </si>
  <si>
    <t>Constraints</t>
  </si>
  <si>
    <t>Shadow</t>
  </si>
  <si>
    <t>Price</t>
  </si>
  <si>
    <t>Constraint</t>
  </si>
  <si>
    <t>R.H. Side</t>
  </si>
  <si>
    <t>$C$5</t>
  </si>
  <si>
    <t>Pounds produced Whole</t>
  </si>
  <si>
    <t>$D$5</t>
  </si>
  <si>
    <t>Pounds produced Cluster</t>
  </si>
  <si>
    <t>$E$5</t>
  </si>
  <si>
    <t>Pounds produced Crunch</t>
  </si>
  <si>
    <t>$F$5</t>
  </si>
  <si>
    <t>Pounds produced Roasted</t>
  </si>
  <si>
    <t>$G$16</t>
  </si>
  <si>
    <t xml:space="preserve">  Hulling Used</t>
  </si>
  <si>
    <t>$G$17</t>
  </si>
  <si>
    <t xml:space="preserve">  Roasting Used</t>
  </si>
  <si>
    <t>$G$18</t>
  </si>
  <si>
    <t xml:space="preserve">  Coating Used</t>
  </si>
  <si>
    <t>$G$19</t>
  </si>
  <si>
    <t xml:space="preserve">  Packaging Used</t>
  </si>
  <si>
    <t>$G$22</t>
  </si>
  <si>
    <t xml:space="preserve">  Nuts Used</t>
  </si>
  <si>
    <t>$G$23</t>
  </si>
  <si>
    <t xml:space="preserve">  Chocolate Used</t>
  </si>
  <si>
    <t>$C$5:$F$5</t>
  </si>
  <si>
    <t>$G$16:$G$19 &lt;= $H$16:$H$19</t>
  </si>
  <si>
    <t>Worksheet: [Chapter 4 Homework Fall 2025.xlsx]#2</t>
  </si>
  <si>
    <t>Report Created: 9/30/25 1:08:48 PM</t>
  </si>
  <si>
    <t>$B$8</t>
  </si>
  <si>
    <t>Eustis Miami</t>
  </si>
  <si>
    <t>$C$8</t>
  </si>
  <si>
    <t>Eustis Orlando</t>
  </si>
  <si>
    <t>$D$8</t>
  </si>
  <si>
    <t>Eustis Tallahassee</t>
  </si>
  <si>
    <t>$B$9</t>
  </si>
  <si>
    <t>Clermont Miami</t>
  </si>
  <si>
    <t>$C$9</t>
  </si>
  <si>
    <t>Clermont Orlando</t>
  </si>
  <si>
    <t>$D$9</t>
  </si>
  <si>
    <t>Clermont Tallahassee</t>
  </si>
  <si>
    <t>$B$10</t>
  </si>
  <si>
    <t>Shipped Miami</t>
  </si>
  <si>
    <t>$C$10</t>
  </si>
  <si>
    <t>Shipped Orlando</t>
  </si>
  <si>
    <t>$D$10</t>
  </si>
  <si>
    <t>Shipped Tallahassee</t>
  </si>
  <si>
    <t>$E$8</t>
  </si>
  <si>
    <t>Eustis Used</t>
  </si>
  <si>
    <t>$E$9</t>
  </si>
  <si>
    <t>Clermont Used</t>
  </si>
  <si>
    <t>$B$8:$D$9</t>
  </si>
  <si>
    <t>$B$10:$D$10 = $B$11:$D$11</t>
  </si>
  <si>
    <t>Total</t>
  </si>
  <si>
    <t>Worksheet: [Chapter 4 Homework Fall 2025.xlsx]#3</t>
  </si>
  <si>
    <t>Report Created: 10/5/25 3:37:31 PM</t>
  </si>
  <si>
    <t>$B$3</t>
  </si>
  <si>
    <t>$C$3</t>
  </si>
  <si>
    <t>$D$3</t>
  </si>
  <si>
    <t>$B$5</t>
  </si>
  <si>
    <t>Objective X1</t>
  </si>
  <si>
    <t>$E$3</t>
  </si>
  <si>
    <t>$B$3:$D$3</t>
  </si>
  <si>
    <t>Worksheet: [Chapter 4 Homework Fall 2025.xlsx]#4</t>
  </si>
  <si>
    <t>Report Created: 10/5/25 4:09:49 PM</t>
  </si>
  <si>
    <t>$C$4</t>
  </si>
  <si>
    <t>Number to produce Generators</t>
  </si>
  <si>
    <t>$D$4</t>
  </si>
  <si>
    <t>Number to produce Alternators</t>
  </si>
  <si>
    <t>Wiring Used</t>
  </si>
  <si>
    <t>Testing Used</t>
  </si>
  <si>
    <t>Feaseable?</t>
  </si>
  <si>
    <t>S1</t>
  </si>
  <si>
    <t>S2</t>
  </si>
  <si>
    <t>Yes</t>
  </si>
  <si>
    <t>No</t>
  </si>
  <si>
    <t>No (X1&lt;0)</t>
  </si>
  <si>
    <t>Optimal Function</t>
  </si>
  <si>
    <t>X</t>
  </si>
  <si>
    <t>Optimal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</si>
</sst>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4" formatCode="_(&quot;$&quot;* #,##0.00_);_(&quot;$&quot;* \(#,##0.00\);_(&quot;$&quot;* &quot;-&quot;??_);_(@_)"/>
    <numFmt numFmtId="164" formatCode="&quot;$&quot;#,##0.00"/>
    <numFmt numFmtId="165" formatCode="&quot;$&quot;#,##0"/>
  </numFmts>
  <fonts count="18" x14ac:knownFonts="1">
    <font>
      <sz val="11"/>
      <color theme="1"/>
      <name val="Aptos Narrow"/>
      <family val="2"/>
      <scheme val="minor"/>
    </font>
    <font>
      <sz val="11"/>
      <color theme="1"/>
      <name val="Aptos Narrow"/>
      <family val="2"/>
      <scheme val="minor"/>
    </font>
    <font>
      <sz val="12"/>
      <name val="Arial"/>
      <family val="2"/>
    </font>
    <font>
      <b/>
      <sz val="12"/>
      <name val="Arial"/>
      <family val="2"/>
    </font>
    <font>
      <b/>
      <sz val="12"/>
      <color indexed="10"/>
      <name val="Arial"/>
      <family val="2"/>
    </font>
    <font>
      <b/>
      <sz val="12"/>
      <color indexed="12"/>
      <name val="Arial"/>
      <family val="2"/>
    </font>
    <font>
      <b/>
      <sz val="12"/>
      <color indexed="17"/>
      <name val="Arial"/>
      <family val="2"/>
    </font>
    <font>
      <sz val="8"/>
      <color indexed="81"/>
      <name val="Tahoma"/>
      <family val="2"/>
    </font>
    <font>
      <b/>
      <sz val="10"/>
      <name val="Arial"/>
      <family val="2"/>
    </font>
    <font>
      <b/>
      <sz val="10"/>
      <color indexed="17"/>
      <name val="Arial"/>
      <family val="2"/>
    </font>
    <font>
      <b/>
      <sz val="10"/>
      <color indexed="10"/>
      <name val="Arial"/>
      <family val="2"/>
    </font>
    <font>
      <b/>
      <sz val="10"/>
      <color indexed="12"/>
      <name val="Arial"/>
      <family val="2"/>
    </font>
    <font>
      <sz val="10"/>
      <name val="Arial"/>
      <family val="2"/>
    </font>
    <font>
      <sz val="8"/>
      <color rgb="FF000000"/>
      <name val="Tahoma"/>
      <family val="2"/>
    </font>
    <font>
      <b/>
      <sz val="11"/>
      <color theme="1"/>
      <name val="Aptos Narrow"/>
      <scheme val="minor"/>
    </font>
    <font>
      <b/>
      <sz val="11"/>
      <color indexed="18"/>
      <name val="Aptos Narrow"/>
      <family val="2"/>
      <scheme val="minor"/>
    </font>
    <font>
      <b/>
      <sz val="11"/>
      <name val="Aptos Narrow"/>
      <scheme val="minor"/>
    </font>
    <font>
      <b/>
      <i/>
      <u/>
      <sz val="11"/>
      <color theme="1"/>
      <name val="Aptos Narrow"/>
      <scheme val="minor"/>
    </font>
  </fonts>
  <fills count="10">
    <fill>
      <patternFill patternType="none"/>
    </fill>
    <fill>
      <patternFill patternType="gray125"/>
    </fill>
    <fill>
      <patternFill patternType="solid">
        <fgColor indexed="22"/>
        <bgColor indexed="64"/>
      </patternFill>
    </fill>
    <fill>
      <patternFill patternType="solid">
        <fgColor indexed="47"/>
        <bgColor indexed="64"/>
      </patternFill>
    </fill>
    <fill>
      <patternFill patternType="solid">
        <fgColor rgb="FF00B0F0"/>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theme="3" tint="0.499984740745262"/>
        <bgColor indexed="64"/>
      </patternFill>
    </fill>
    <fill>
      <patternFill patternType="solid">
        <fgColor theme="3" tint="0.249977111117893"/>
        <bgColor indexed="64"/>
      </patternFill>
    </fill>
    <fill>
      <patternFill patternType="solid">
        <fgColor theme="9"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right/>
      <top style="thin">
        <color indexed="64"/>
      </top>
      <bottom style="double">
        <color indexed="64"/>
      </bottom>
      <diagonal/>
    </border>
    <border>
      <left style="dotted">
        <color auto="1"/>
      </left>
      <right style="dotted">
        <color auto="1"/>
      </right>
      <top style="dotted">
        <color auto="1"/>
      </top>
      <bottom style="dotted">
        <color auto="1"/>
      </bottom>
      <diagonal/>
    </border>
    <border>
      <left/>
      <right/>
      <top/>
      <bottom style="medium">
        <color indexed="64"/>
      </bottom>
      <diagonal/>
    </border>
    <border>
      <left/>
      <right/>
      <top style="medium">
        <color indexed="23"/>
      </top>
      <bottom/>
      <diagonal/>
    </border>
    <border>
      <left/>
      <right/>
      <top/>
      <bottom style="medium">
        <color indexed="23"/>
      </bottom>
      <diagonal/>
    </border>
    <border>
      <left/>
      <right/>
      <top style="thin">
        <color indexed="23"/>
      </top>
      <bottom/>
      <diagonal/>
    </border>
    <border>
      <left/>
      <right/>
      <top style="thin">
        <color indexed="23"/>
      </top>
      <bottom style="medium">
        <color indexed="23"/>
      </bottom>
      <diagonal/>
    </border>
  </borders>
  <cellStyleXfs count="4">
    <xf numFmtId="0" fontId="0" fillId="0" borderId="0"/>
    <xf numFmtId="44" fontId="1" fillId="0" borderId="0" applyFont="0" applyFill="0" applyBorder="0" applyAlignment="0" applyProtection="0"/>
    <xf numFmtId="0" fontId="2" fillId="0" borderId="0"/>
    <xf numFmtId="0" fontId="12" fillId="0" borderId="0"/>
  </cellStyleXfs>
  <cellXfs count="43">
    <xf numFmtId="0" fontId="0" fillId="0" borderId="0" xfId="0"/>
    <xf numFmtId="0" fontId="2" fillId="0" borderId="0" xfId="2"/>
    <xf numFmtId="0" fontId="3" fillId="0" borderId="0" xfId="2" applyFont="1"/>
    <xf numFmtId="0" fontId="3" fillId="0" borderId="0" xfId="2" applyFont="1" applyAlignment="1">
      <alignment horizontal="center"/>
    </xf>
    <xf numFmtId="0" fontId="4" fillId="2" borderId="1" xfId="2" applyFont="1" applyFill="1" applyBorder="1" applyAlignment="1">
      <alignment horizontal="center"/>
    </xf>
    <xf numFmtId="2" fontId="3" fillId="0" borderId="0" xfId="2" applyNumberFormat="1" applyFont="1" applyAlignment="1">
      <alignment horizontal="center"/>
    </xf>
    <xf numFmtId="164" fontId="5" fillId="2" borderId="2" xfId="2" applyNumberFormat="1" applyFont="1" applyFill="1" applyBorder="1" applyAlignment="1">
      <alignment horizontal="center"/>
    </xf>
    <xf numFmtId="164" fontId="3" fillId="0" borderId="3" xfId="2" applyNumberFormat="1" applyFont="1" applyBorder="1" applyAlignment="1">
      <alignment horizontal="center"/>
    </xf>
    <xf numFmtId="164" fontId="3" fillId="0" borderId="0" xfId="2" applyNumberFormat="1" applyFont="1" applyAlignment="1">
      <alignment horizontal="center"/>
    </xf>
    <xf numFmtId="0" fontId="2" fillId="0" borderId="0" xfId="2" applyAlignment="1">
      <alignment horizontal="center"/>
    </xf>
    <xf numFmtId="0" fontId="6" fillId="2" borderId="4" xfId="2" applyFont="1" applyFill="1" applyBorder="1" applyAlignment="1">
      <alignment horizontal="center"/>
    </xf>
    <xf numFmtId="0" fontId="8" fillId="0" borderId="5" xfId="0" applyFont="1" applyBorder="1" applyAlignment="1">
      <alignment horizontal="center"/>
    </xf>
    <xf numFmtId="0" fontId="8" fillId="0" borderId="0" xfId="0" applyFont="1" applyAlignment="1">
      <alignment horizontal="center"/>
    </xf>
    <xf numFmtId="0" fontId="12" fillId="0" borderId="0" xfId="3"/>
    <xf numFmtId="0" fontId="8" fillId="0" borderId="0" xfId="3" applyFont="1" applyAlignment="1">
      <alignment horizontal="centerContinuous"/>
    </xf>
    <xf numFmtId="0" fontId="8" fillId="0" borderId="0" xfId="3" applyFont="1" applyAlignment="1">
      <alignment horizontal="center"/>
    </xf>
    <xf numFmtId="0" fontId="8" fillId="0" borderId="0" xfId="3" applyFont="1"/>
    <xf numFmtId="0" fontId="8" fillId="0" borderId="0" xfId="3" applyFont="1" applyAlignment="1">
      <alignment horizontal="right"/>
    </xf>
    <xf numFmtId="0" fontId="9" fillId="3" borderId="4" xfId="3" applyFont="1" applyFill="1" applyBorder="1" applyAlignment="1">
      <alignment horizontal="center"/>
    </xf>
    <xf numFmtId="6" fontId="11" fillId="3" borderId="2" xfId="3" applyNumberFormat="1" applyFont="1" applyFill="1" applyBorder="1" applyAlignment="1">
      <alignment horizontal="center"/>
    </xf>
    <xf numFmtId="6" fontId="8" fillId="0" borderId="0" xfId="3" applyNumberFormat="1" applyFont="1" applyAlignment="1">
      <alignment horizontal="center"/>
    </xf>
    <xf numFmtId="0" fontId="12" fillId="0" borderId="0" xfId="3" applyAlignment="1">
      <alignment horizontal="center"/>
    </xf>
    <xf numFmtId="0" fontId="10" fillId="3" borderId="1" xfId="3" applyFont="1" applyFill="1" applyBorder="1" applyAlignment="1">
      <alignment horizontal="center"/>
    </xf>
    <xf numFmtId="0" fontId="0" fillId="0" borderId="8" xfId="0" applyBorder="1"/>
    <xf numFmtId="0" fontId="0" fillId="0" borderId="9" xfId="0" applyBorder="1"/>
    <xf numFmtId="0" fontId="15" fillId="0" borderId="6" xfId="0" applyFont="1" applyBorder="1" applyAlignment="1">
      <alignment horizontal="center"/>
    </xf>
    <xf numFmtId="0" fontId="15" fillId="0" borderId="7" xfId="0" applyFont="1" applyBorder="1" applyAlignment="1">
      <alignment horizontal="center"/>
    </xf>
    <xf numFmtId="0" fontId="15" fillId="0" borderId="0" xfId="0" applyFont="1" applyAlignment="1">
      <alignment horizontal="center"/>
    </xf>
    <xf numFmtId="0" fontId="16" fillId="0" borderId="0" xfId="0" applyFont="1" applyAlignment="1">
      <alignment horizontal="left"/>
    </xf>
    <xf numFmtId="11" fontId="0" fillId="0" borderId="8" xfId="0" applyNumberFormat="1" applyBorder="1"/>
    <xf numFmtId="0" fontId="0" fillId="0" borderId="0" xfId="0" applyAlignment="1">
      <alignment horizontal="center"/>
    </xf>
    <xf numFmtId="165" fontId="0" fillId="0" borderId="0" xfId="1" applyNumberFormat="1" applyFont="1" applyAlignment="1">
      <alignment horizontal="center"/>
    </xf>
    <xf numFmtId="0" fontId="0" fillId="0" borderId="5" xfId="0" applyBorder="1" applyAlignment="1">
      <alignment horizontal="center"/>
    </xf>
    <xf numFmtId="0" fontId="14" fillId="0" borderId="0" xfId="0" applyFont="1"/>
    <xf numFmtId="44" fontId="0" fillId="4" borderId="0" xfId="1" applyFont="1" applyFill="1" applyAlignment="1">
      <alignment horizontal="center"/>
    </xf>
    <xf numFmtId="0" fontId="0" fillId="5" borderId="0" xfId="0" applyFill="1" applyAlignment="1">
      <alignment horizontal="center"/>
    </xf>
    <xf numFmtId="0" fontId="14" fillId="0" borderId="0" xfId="0" applyFont="1" applyAlignment="1">
      <alignment horizontal="center"/>
    </xf>
    <xf numFmtId="0" fontId="3" fillId="0" borderId="0" xfId="2" applyFont="1" applyAlignment="1">
      <alignment horizontal="center"/>
    </xf>
    <xf numFmtId="0" fontId="0" fillId="5" borderId="1" xfId="0" applyFill="1" applyBorder="1"/>
    <xf numFmtId="0" fontId="0" fillId="6" borderId="1" xfId="0" applyFill="1" applyBorder="1"/>
    <xf numFmtId="0" fontId="0" fillId="7" borderId="1" xfId="0" applyFill="1" applyBorder="1"/>
    <xf numFmtId="0" fontId="0" fillId="8" borderId="1" xfId="0" applyFill="1" applyBorder="1"/>
    <xf numFmtId="0" fontId="17" fillId="9" borderId="0" xfId="0" applyFont="1" applyFill="1"/>
  </cellXfs>
  <cellStyles count="4">
    <cellStyle name="Currency" xfId="1" builtinId="4"/>
    <cellStyle name="Normal" xfId="0" builtinId="0"/>
    <cellStyle name="Normal 2" xfId="3" xr:uid="{C251C61D-8141-4440-A324-0EAEF3F6C6D1}"/>
    <cellStyle name="Normal 3" xfId="2" xr:uid="{EFAAEE21-3C65-4473-9670-1D8FEDCB202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163559</xdr:colOff>
      <xdr:row>5</xdr:row>
      <xdr:rowOff>177799</xdr:rowOff>
    </xdr:from>
    <xdr:to>
      <xdr:col>19</xdr:col>
      <xdr:colOff>635000</xdr:colOff>
      <xdr:row>28</xdr:row>
      <xdr:rowOff>25400</xdr:rowOff>
    </xdr:to>
    <xdr:sp macro="" textlink="">
      <xdr:nvSpPr>
        <xdr:cNvPr id="2" name="TextBox 1">
          <a:extLst>
            <a:ext uri="{FF2B5EF4-FFF2-40B4-BE49-F238E27FC236}">
              <a16:creationId xmlns:a16="http://schemas.microsoft.com/office/drawing/2014/main" id="{B7E77834-E5A9-494F-ABDA-6DF2305DBCD1}"/>
            </a:ext>
          </a:extLst>
        </xdr:cNvPr>
        <xdr:cNvSpPr txBox="1"/>
      </xdr:nvSpPr>
      <xdr:spPr>
        <a:xfrm>
          <a:off x="7681959" y="1130299"/>
          <a:ext cx="14162041" cy="43053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Answer the following questions: </a:t>
          </a:r>
          <a:r>
            <a:rPr lang="en-US" sz="1100" baseline="0">
              <a:solidFill>
                <a:schemeClr val="dk1"/>
              </a:solidFill>
              <a:effectLst/>
              <a:latin typeface="+mn-lt"/>
              <a:ea typeface="+mn-ea"/>
              <a:cs typeface="+mn-cs"/>
            </a:rPr>
            <a:t>  YOU MUST CREATE THE SENSITIVITY REPORT and use those values to answer the questions.  Do not repeatedly run solver to answer the questions.  You need to refer to the sensitivity report when you answer the questions.</a:t>
          </a:r>
          <a:endParaRPr lang="en-US">
            <a:effectLst/>
          </a:endParaRPr>
        </a:p>
        <a:p>
          <a:br>
            <a:rPr lang="en-US" sz="1100" b="1">
              <a:solidFill>
                <a:schemeClr val="dk1"/>
              </a:solidFill>
              <a:effectLst/>
              <a:latin typeface="+mn-lt"/>
              <a:ea typeface="+mn-ea"/>
              <a:cs typeface="+mn-cs"/>
            </a:rPr>
          </a:br>
          <a:r>
            <a:rPr lang="en-US" sz="1100" b="1">
              <a:solidFill>
                <a:schemeClr val="dk1"/>
              </a:solidFill>
              <a:effectLst/>
              <a:latin typeface="+mn-lt"/>
              <a:ea typeface="+mn-ea"/>
              <a:cs typeface="+mn-cs"/>
            </a:rPr>
            <a:t>1.  Is the solution</a:t>
          </a:r>
          <a:r>
            <a:rPr lang="en-US" sz="1100" b="1" baseline="0">
              <a:solidFill>
                <a:schemeClr val="dk1"/>
              </a:solidFill>
              <a:effectLst/>
              <a:latin typeface="+mn-lt"/>
              <a:ea typeface="+mn-ea"/>
              <a:cs typeface="+mn-cs"/>
            </a:rPr>
            <a:t> degenerate?  Explain your reasoning.</a:t>
          </a:r>
          <a:br>
            <a:rPr lang="en-US" sz="1100" b="1" baseline="0">
              <a:solidFill>
                <a:schemeClr val="dk1"/>
              </a:solidFill>
              <a:effectLst/>
              <a:latin typeface="+mn-lt"/>
              <a:ea typeface="+mn-ea"/>
              <a:cs typeface="+mn-cs"/>
            </a:rPr>
          </a:br>
          <a:r>
            <a:rPr lang="en-US" sz="1100" b="1" baseline="0">
              <a:solidFill>
                <a:schemeClr val="dk1"/>
              </a:solidFill>
              <a:effectLst/>
              <a:latin typeface="+mn-lt"/>
              <a:ea typeface="+mn-ea"/>
              <a:cs typeface="+mn-cs"/>
            </a:rPr>
            <a:t>A: </a:t>
          </a:r>
          <a:r>
            <a:rPr lang="en-US" sz="1100"/>
            <a:t>No,</a:t>
          </a:r>
          <a:r>
            <a:rPr lang="en-US" sz="1100" baseline="0"/>
            <a:t> </a:t>
          </a:r>
          <a:r>
            <a:rPr lang="en-US" sz="1100"/>
            <a:t>There</a:t>
          </a:r>
          <a:r>
            <a:rPr lang="en-US" sz="1100" baseline="0"/>
            <a:t> are no zero values for the allowable increase or decrease</a:t>
          </a:r>
          <a:br>
            <a:rPr lang="en-US" sz="1100" b="1" baseline="0">
              <a:solidFill>
                <a:schemeClr val="dk1"/>
              </a:solidFill>
              <a:effectLst/>
              <a:latin typeface="+mn-lt"/>
              <a:ea typeface="+mn-ea"/>
              <a:cs typeface="+mn-cs"/>
            </a:rPr>
          </a:br>
          <a:endParaRPr lang="en-US" sz="1100" b="1"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2.  </a:t>
          </a:r>
          <a:r>
            <a:rPr lang="en-US" sz="1100" b="1">
              <a:solidFill>
                <a:schemeClr val="dk1"/>
              </a:solidFill>
              <a:effectLst/>
              <a:latin typeface="+mn-lt"/>
              <a:ea typeface="+mn-ea"/>
              <a:cs typeface="+mn-cs"/>
            </a:rPr>
            <a:t>Is the solution</a:t>
          </a:r>
          <a:r>
            <a:rPr lang="en-US" sz="1100" b="1" baseline="0">
              <a:solidFill>
                <a:schemeClr val="dk1"/>
              </a:solidFill>
              <a:effectLst/>
              <a:latin typeface="+mn-lt"/>
              <a:ea typeface="+mn-ea"/>
              <a:cs typeface="+mn-cs"/>
            </a:rPr>
            <a:t> unique?  Explain your reasoning.</a:t>
          </a:r>
          <a:br>
            <a:rPr lang="en-US" sz="1100" b="1" baseline="0">
              <a:solidFill>
                <a:schemeClr val="dk1"/>
              </a:solidFill>
              <a:effectLst/>
              <a:latin typeface="+mn-lt"/>
              <a:ea typeface="+mn-ea"/>
              <a:cs typeface="+mn-cs"/>
            </a:rPr>
          </a:br>
          <a:r>
            <a:rPr lang="en-US" sz="1100" b="1" baseline="0">
              <a:solidFill>
                <a:schemeClr val="dk1"/>
              </a:solidFill>
              <a:effectLst/>
              <a:latin typeface="+mn-lt"/>
              <a:ea typeface="+mn-ea"/>
              <a:cs typeface="+mn-cs"/>
            </a:rPr>
            <a:t>A:</a:t>
          </a:r>
          <a:r>
            <a:rPr lang="en-US" sz="1100" baseline="0"/>
            <a:t> Yes it is unique there are no multiple optimals, we know this becasue for rows 10-13 there are no zero values for the allowable increase or decrease.</a:t>
          </a:r>
          <a:br>
            <a:rPr lang="en-US" sz="1100" baseline="0"/>
          </a:br>
          <a:br>
            <a:rPr lang="en-US" sz="1100" b="1" baseline="0">
              <a:solidFill>
                <a:schemeClr val="dk1"/>
              </a:solidFill>
              <a:effectLst/>
              <a:latin typeface="+mn-lt"/>
              <a:ea typeface="+mn-ea"/>
              <a:cs typeface="+mn-cs"/>
            </a:rPr>
          </a:br>
          <a:r>
            <a:rPr lang="en-US" sz="1100" b="1" baseline="0">
              <a:solidFill>
                <a:schemeClr val="dk1"/>
              </a:solidFill>
              <a:effectLst/>
              <a:latin typeface="+mn-lt"/>
              <a:ea typeface="+mn-ea"/>
              <a:cs typeface="+mn-cs"/>
            </a:rPr>
            <a:t>3.  If the Nut Company wanted to decrease the production on any product which one would you recommend and why?</a:t>
          </a:r>
          <a:br>
            <a:rPr lang="en-US" sz="1100" b="1" baseline="0">
              <a:solidFill>
                <a:schemeClr val="dk1"/>
              </a:solidFill>
              <a:effectLst/>
              <a:latin typeface="+mn-lt"/>
              <a:ea typeface="+mn-ea"/>
              <a:cs typeface="+mn-cs"/>
            </a:rPr>
          </a:br>
          <a:r>
            <a:rPr lang="en-US" sz="1100" b="1" baseline="0">
              <a:solidFill>
                <a:schemeClr val="dk1"/>
              </a:solidFill>
              <a:effectLst/>
              <a:latin typeface="+mn-lt"/>
              <a:ea typeface="+mn-ea"/>
              <a:cs typeface="+mn-cs"/>
            </a:rPr>
            <a:t>A: </a:t>
          </a:r>
          <a:r>
            <a:rPr lang="en-US" sz="1100" baseline="0"/>
            <a:t> "Pounds produced whole"  since the reduced cost is  -0.23 </a:t>
          </a:r>
          <a:br>
            <a:rPr lang="en-US" sz="1100" b="1" baseline="0">
              <a:solidFill>
                <a:schemeClr val="dk1"/>
              </a:solidFill>
              <a:effectLst/>
              <a:latin typeface="+mn-lt"/>
              <a:ea typeface="+mn-ea"/>
              <a:cs typeface="+mn-cs"/>
            </a:rPr>
          </a:br>
          <a:endParaRPr lang="en-US" sz="1100" b="1"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4.  If the Nut Company wanted to increase the production on any product which one would you recommend and why?</a:t>
          </a:r>
          <a:br>
            <a:rPr lang="en-US" sz="1100" b="1" baseline="0">
              <a:solidFill>
                <a:schemeClr val="dk1"/>
              </a:solidFill>
              <a:effectLst/>
              <a:latin typeface="+mn-lt"/>
              <a:ea typeface="+mn-ea"/>
              <a:cs typeface="+mn-cs"/>
            </a:rPr>
          </a:br>
          <a:r>
            <a:rPr lang="en-US" sz="1100" b="1" baseline="0">
              <a:solidFill>
                <a:schemeClr val="dk1"/>
              </a:solidFill>
              <a:effectLst/>
              <a:latin typeface="+mn-lt"/>
              <a:ea typeface="+mn-ea"/>
              <a:cs typeface="+mn-cs"/>
            </a:rPr>
            <a:t>A: </a:t>
          </a:r>
          <a:r>
            <a:rPr lang="en-US" sz="1100" b="0" baseline="0">
              <a:solidFill>
                <a:schemeClr val="dk1"/>
              </a:solidFill>
              <a:effectLst/>
              <a:latin typeface="+mn-lt"/>
              <a:ea typeface="+mn-ea"/>
              <a:cs typeface="+mn-cs"/>
            </a:rPr>
            <a:t>"Pounds Produced Roasted"  since the reduced cost is 0.568 </a:t>
          </a:r>
          <a:br>
            <a:rPr lang="en-US" sz="1100" b="1" baseline="0">
              <a:solidFill>
                <a:schemeClr val="dk1"/>
              </a:solidFill>
              <a:effectLst/>
              <a:latin typeface="+mn-lt"/>
              <a:ea typeface="+mn-ea"/>
              <a:cs typeface="+mn-cs"/>
            </a:rPr>
          </a:br>
          <a:endParaRPr lang="en-US" b="1">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b="1">
              <a:effectLst/>
            </a:rPr>
            <a:t>5.  Which</a:t>
          </a:r>
          <a:r>
            <a:rPr lang="en-US" b="1" baseline="0">
              <a:effectLst/>
            </a:rPr>
            <a:t> resources are preventing the Nut company from making more money?  If they could acquire more of this resource how much should they acquire and how much should they be willing to pay to acquire it?</a:t>
          </a:r>
          <a:br>
            <a:rPr lang="en-US" b="1" baseline="0">
              <a:effectLst/>
            </a:rPr>
          </a:br>
          <a:r>
            <a:rPr lang="en-US" b="1" baseline="0">
              <a:effectLst/>
            </a:rPr>
            <a:t>A: </a:t>
          </a:r>
          <a:r>
            <a:rPr lang="en-US" b="0" baseline="0">
              <a:effectLst/>
            </a:rPr>
            <a:t>"Packaging  Used" Since the company is williing to pay 0.832 more per unit with an allowable increase of 56.25.  </a:t>
          </a:r>
          <a:br>
            <a:rPr lang="en-US" b="1" baseline="0">
              <a:effectLst/>
            </a:rPr>
          </a:br>
          <a:br>
            <a:rPr lang="en-US" b="1" baseline="0">
              <a:effectLst/>
            </a:rPr>
          </a:br>
          <a:r>
            <a:rPr lang="en-US" b="1" baseline="0">
              <a:effectLst/>
            </a:rPr>
            <a:t>6.  How much should the company be willing to pay to acquire more chocolate?</a:t>
          </a:r>
          <a:br>
            <a:rPr lang="en-US" b="1" baseline="0">
              <a:effectLst/>
            </a:rPr>
          </a:br>
          <a:r>
            <a:rPr lang="en-US" b="1" baseline="0">
              <a:effectLst/>
            </a:rPr>
            <a:t>A:  </a:t>
          </a:r>
          <a:r>
            <a:rPr lang="en-US" b="0" baseline="0">
              <a:effectLst/>
            </a:rPr>
            <a:t>The company should not accuire more chocolate since the shadow price is 0 and it will not add any more value to the profit </a:t>
          </a:r>
          <a:endParaRPr lang="en-US" b="1" baseline="0">
            <a:effectLst/>
          </a:endParaRPr>
        </a:p>
        <a:p>
          <a:pPr marL="0" marR="0" lvl="0" indent="0" defTabSz="914400" eaLnBrk="1" fontAlgn="auto" latinLnBrk="0" hangingPunct="1">
            <a:lnSpc>
              <a:spcPct val="100000"/>
            </a:lnSpc>
            <a:spcBef>
              <a:spcPts val="0"/>
            </a:spcBef>
            <a:spcAft>
              <a:spcPts val="0"/>
            </a:spcAft>
            <a:buClrTx/>
            <a:buSzTx/>
            <a:buFontTx/>
            <a:buNone/>
            <a:tabLst/>
            <a:defRPr/>
          </a:pPr>
          <a:br>
            <a:rPr lang="en-US" b="1" baseline="0">
              <a:effectLst/>
            </a:rPr>
          </a:br>
          <a:r>
            <a:rPr lang="en-US" b="1" baseline="0">
              <a:effectLst/>
            </a:rPr>
            <a:t>7.  If the marketing dept. wanted to decrease the price of Whole nuts by $0.25, would the optimal solution change?</a:t>
          </a:r>
          <a:br>
            <a:rPr lang="en-US" b="1" baseline="0">
              <a:effectLst/>
            </a:rPr>
          </a:br>
          <a:r>
            <a:rPr lang="en-US" b="1" baseline="0">
              <a:effectLst/>
            </a:rPr>
            <a:t>A: </a:t>
          </a:r>
          <a:r>
            <a:rPr lang="en-US" b="0" baseline="0">
              <a:effectLst/>
            </a:rPr>
            <a:t>No, It wont change the optimal solution since the allwable decrease is 1E+30.</a:t>
          </a:r>
          <a:br>
            <a:rPr lang="en-US" baseline="0">
              <a:effectLst/>
            </a:rPr>
          </a:br>
          <a:endParaRPr lang="en-US">
            <a:effectLst/>
          </a:endParaRPr>
        </a:p>
        <a:p>
          <a:endParaRPr lang="en-US" sz="1100">
            <a:solidFill>
              <a:schemeClr val="dk1"/>
            </a:solidFill>
            <a:effectLst/>
            <a:latin typeface="+mn-lt"/>
            <a:ea typeface="+mn-ea"/>
            <a:cs typeface="+mn-cs"/>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57150</xdr:colOff>
      <xdr:row>0</xdr:row>
      <xdr:rowOff>66675</xdr:rowOff>
    </xdr:from>
    <xdr:to>
      <xdr:col>5</xdr:col>
      <xdr:colOff>714375</xdr:colOff>
      <xdr:row>2</xdr:row>
      <xdr:rowOff>76200</xdr:rowOff>
    </xdr:to>
    <xdr:sp macro="" textlink="">
      <xdr:nvSpPr>
        <xdr:cNvPr id="2" name="Text 12">
          <a:extLst>
            <a:ext uri="{FF2B5EF4-FFF2-40B4-BE49-F238E27FC236}">
              <a16:creationId xmlns:a16="http://schemas.microsoft.com/office/drawing/2014/main" id="{DA351350-9F78-47A6-BAF6-2DA9A2350F4C}"/>
            </a:ext>
          </a:extLst>
        </xdr:cNvPr>
        <xdr:cNvSpPr>
          <a:spLocks noChangeArrowheads="1"/>
        </xdr:cNvSpPr>
      </xdr:nvSpPr>
      <xdr:spPr bwMode="auto">
        <a:xfrm>
          <a:off x="2038350" y="66675"/>
          <a:ext cx="3629025" cy="600075"/>
        </a:xfrm>
        <a:prstGeom prst="roundRect">
          <a:avLst>
            <a:gd name="adj" fmla="val 16667"/>
          </a:avLst>
        </a:prstGeom>
        <a:solidFill>
          <a:srgbClr xmlns:mc="http://schemas.openxmlformats.org/markup-compatibility/2006" xmlns:a14="http://schemas.microsoft.com/office/drawing/2010/main" val="00FFFF" mc:Ignorable="a14" a14:legacySpreadsheetColorIndex="15"/>
        </a:solidFill>
        <a:ln w="1">
          <a:solidFill>
            <a:srgbClr xmlns:mc="http://schemas.openxmlformats.org/markup-compatibility/2006" xmlns:a14="http://schemas.microsoft.com/office/drawing/2010/main" val="000000" mc:Ignorable="a14" a14:legacySpreadsheetColorIndex="64"/>
          </a:solidFill>
          <a:round/>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36576" tIns="27432" rIns="36576" bIns="27432" anchor="ctr" upright="1"/>
        <a:lstStyle/>
        <a:p>
          <a:pPr algn="ctr" rtl="0">
            <a:defRPr sz="1000"/>
          </a:pPr>
          <a:r>
            <a:rPr lang="en-US" sz="1400" b="1" i="0" u="none" strike="noStrike" baseline="0">
              <a:solidFill>
                <a:srgbClr val="000000"/>
              </a:solidFill>
              <a:latin typeface="Arial"/>
              <a:cs typeface="Arial"/>
            </a:rPr>
            <a:t>Molokai Nut Company</a:t>
          </a:r>
        </a:p>
      </xdr:txBody>
    </xdr:sp>
    <xdr:clientData/>
  </xdr:twoCellAnchor>
  <xdr:twoCellAnchor>
    <xdr:from>
      <xdr:col>0</xdr:col>
      <xdr:colOff>190500</xdr:colOff>
      <xdr:row>23</xdr:row>
      <xdr:rowOff>114300</xdr:rowOff>
    </xdr:from>
    <xdr:to>
      <xdr:col>3</xdr:col>
      <xdr:colOff>485775</xdr:colOff>
      <xdr:row>28</xdr:row>
      <xdr:rowOff>171450</xdr:rowOff>
    </xdr:to>
    <xdr:sp macro="" textlink="">
      <xdr:nvSpPr>
        <xdr:cNvPr id="3" name="Note">
          <a:extLst>
            <a:ext uri="{FF2B5EF4-FFF2-40B4-BE49-F238E27FC236}">
              <a16:creationId xmlns:a16="http://schemas.microsoft.com/office/drawing/2014/main" id="{9CF4A0E0-5D16-474B-8465-32B5E92A1BB5}"/>
            </a:ext>
          </a:extLst>
        </xdr:cNvPr>
        <xdr:cNvSpPr txBox="1">
          <a:spLocks noChangeArrowheads="1"/>
        </xdr:cNvSpPr>
      </xdr:nvSpPr>
      <xdr:spPr bwMode="auto">
        <a:xfrm>
          <a:off x="190500" y="4772025"/>
          <a:ext cx="2800350" cy="1057275"/>
        </a:xfrm>
        <a:prstGeom prst="rect">
          <a:avLst/>
        </a:prstGeom>
        <a:solidFill>
          <a:srgbClr xmlns:mc="http://schemas.openxmlformats.org/markup-compatibility/2006" xmlns:a14="http://schemas.microsoft.com/office/drawing/2010/main" val="FFFF00" mc:Ignorable="a14" a14:legacySpreadsheetColorIndex="34"/>
        </a:solidFill>
        <a:ln w="1">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US" sz="1000" b="0" i="0" u="none" strike="noStrike" baseline="0">
              <a:solidFill>
                <a:srgbClr val="000000"/>
              </a:solidFill>
              <a:latin typeface="Fixedsys"/>
            </a:rPr>
            <a:t>Maximize:    C13</a:t>
          </a:r>
        </a:p>
        <a:p>
          <a:pPr algn="l" rtl="0">
            <a:defRPr sz="1000"/>
          </a:pPr>
          <a:r>
            <a:rPr lang="en-US" sz="1000" b="0" i="0" u="none" strike="noStrike" baseline="0">
              <a:solidFill>
                <a:srgbClr val="000000"/>
              </a:solidFill>
              <a:latin typeface="Fixedsys"/>
            </a:rPr>
            <a:t>By Changing: C5:F5</a:t>
          </a:r>
        </a:p>
        <a:p>
          <a:pPr algn="l" rtl="0">
            <a:defRPr sz="1000"/>
          </a:pPr>
          <a:r>
            <a:rPr lang="en-US" sz="1000" b="0" i="0" u="none" strike="noStrike" baseline="0">
              <a:solidFill>
                <a:srgbClr val="000000"/>
              </a:solidFill>
              <a:latin typeface="Fixedsys"/>
            </a:rPr>
            <a:t>Subject to:  G16:G19&lt;=H16:H19</a:t>
          </a:r>
        </a:p>
        <a:p>
          <a:pPr algn="l" rtl="0">
            <a:defRPr sz="1000"/>
          </a:pPr>
          <a:r>
            <a:rPr lang="en-US" sz="1000" b="0" i="0" u="none" strike="noStrike" baseline="0">
              <a:solidFill>
                <a:srgbClr val="000000"/>
              </a:solidFill>
              <a:latin typeface="Fixedsys"/>
            </a:rPr>
            <a:t>             G22:G23&lt;=H22:H23 </a:t>
          </a:r>
        </a:p>
        <a:p>
          <a:pPr algn="l" rtl="0">
            <a:defRPr sz="1000"/>
          </a:pPr>
          <a:r>
            <a:rPr lang="en-US" sz="1000" b="0" i="0" u="none" strike="noStrike" baseline="0">
              <a:solidFill>
                <a:srgbClr val="000000"/>
              </a:solidFill>
              <a:latin typeface="Fixedsys"/>
            </a:rPr>
            <a:t>             C5:F5&gt;=C6:F6  </a:t>
          </a:r>
        </a:p>
        <a:p>
          <a:pPr algn="l" rtl="0">
            <a:defRPr sz="1000"/>
          </a:pPr>
          <a:r>
            <a:rPr lang="en-US" sz="1000" b="0" i="0" u="none" strike="noStrike" baseline="0">
              <a:solidFill>
                <a:srgbClr val="000000"/>
              </a:solidFill>
              <a:latin typeface="Fixedsys"/>
            </a:rPr>
            <a:t>             C5:F5&lt;=C7:F7</a:t>
          </a:r>
        </a:p>
      </xdr:txBody>
    </xdr:sp>
    <xdr:clientData/>
  </xdr:twoCellAnchor>
  <xdr:twoCellAnchor>
    <xdr:from>
      <xdr:col>8</xdr:col>
      <xdr:colOff>71436</xdr:colOff>
      <xdr:row>1</xdr:row>
      <xdr:rowOff>4761</xdr:rowOff>
    </xdr:from>
    <xdr:to>
      <xdr:col>15</xdr:col>
      <xdr:colOff>238125</xdr:colOff>
      <xdr:row>16</xdr:row>
      <xdr:rowOff>171450</xdr:rowOff>
    </xdr:to>
    <xdr:sp macro="" textlink="">
      <xdr:nvSpPr>
        <xdr:cNvPr id="4" name="TextBox 3">
          <a:extLst>
            <a:ext uri="{FF2B5EF4-FFF2-40B4-BE49-F238E27FC236}">
              <a16:creationId xmlns:a16="http://schemas.microsoft.com/office/drawing/2014/main" id="{9AB553B5-367D-FC0D-324B-55AF5032FACC}"/>
            </a:ext>
          </a:extLst>
        </xdr:cNvPr>
        <xdr:cNvSpPr txBox="1"/>
      </xdr:nvSpPr>
      <xdr:spPr>
        <a:xfrm>
          <a:off x="5843586" y="204786"/>
          <a:ext cx="4433889" cy="32242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Answer the following questions: </a:t>
          </a:r>
          <a:r>
            <a:rPr lang="en-US" sz="1100" baseline="0">
              <a:solidFill>
                <a:schemeClr val="dk1"/>
              </a:solidFill>
              <a:effectLst/>
              <a:latin typeface="+mn-lt"/>
              <a:ea typeface="+mn-ea"/>
              <a:cs typeface="+mn-cs"/>
            </a:rPr>
            <a:t>  YOU MUST CREATE THE SENSITIVITY REPORT and use those values to answer the questions.  Do not repeatedly run solver to answer the questions.  You need to refer to the sensitivity report when you answer the questions.</a:t>
          </a:r>
          <a:endParaRPr lang="en-US">
            <a:effectLst/>
          </a:endParaRPr>
        </a:p>
        <a:p>
          <a:br>
            <a:rPr lang="en-US" sz="1100">
              <a:solidFill>
                <a:schemeClr val="dk1"/>
              </a:solidFill>
              <a:effectLst/>
              <a:latin typeface="+mn-lt"/>
              <a:ea typeface="+mn-ea"/>
              <a:cs typeface="+mn-cs"/>
            </a:rPr>
          </a:br>
          <a:r>
            <a:rPr lang="en-US" sz="1100">
              <a:solidFill>
                <a:schemeClr val="dk1"/>
              </a:solidFill>
              <a:effectLst/>
              <a:latin typeface="+mn-lt"/>
              <a:ea typeface="+mn-ea"/>
              <a:cs typeface="+mn-cs"/>
            </a:rPr>
            <a:t>1.  Is the solution</a:t>
          </a:r>
          <a:r>
            <a:rPr lang="en-US" sz="1100" baseline="0">
              <a:solidFill>
                <a:schemeClr val="dk1"/>
              </a:solidFill>
              <a:effectLst/>
              <a:latin typeface="+mn-lt"/>
              <a:ea typeface="+mn-ea"/>
              <a:cs typeface="+mn-cs"/>
            </a:rPr>
            <a:t> degenerate?  Explain your reasoning.</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2.  </a:t>
          </a:r>
          <a:r>
            <a:rPr lang="en-US" sz="1100">
              <a:solidFill>
                <a:schemeClr val="dk1"/>
              </a:solidFill>
              <a:effectLst/>
              <a:latin typeface="+mn-lt"/>
              <a:ea typeface="+mn-ea"/>
              <a:cs typeface="+mn-cs"/>
            </a:rPr>
            <a:t>Is the solution</a:t>
          </a:r>
          <a:r>
            <a:rPr lang="en-US" sz="1100" baseline="0">
              <a:solidFill>
                <a:schemeClr val="dk1"/>
              </a:solidFill>
              <a:effectLst/>
              <a:latin typeface="+mn-lt"/>
              <a:ea typeface="+mn-ea"/>
              <a:cs typeface="+mn-cs"/>
            </a:rPr>
            <a:t> unique?  Explain your reasoning.</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3.  If the Nut Company wanted to decrease the production on any product which one would you recommend and why?</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4.  If the Nut Company wanted to increase the production on any product which one would you recommend and why?</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a:effectLst/>
            </a:rPr>
            <a:t>5.  Which</a:t>
          </a:r>
          <a:r>
            <a:rPr lang="en-US" baseline="0">
              <a:effectLst/>
            </a:rPr>
            <a:t> resources are preventing the Nut company from making more money?  If they could acquire more of this resource how much should they acquire and how much should they be willing to pay to acquire it?</a:t>
          </a:r>
          <a:br>
            <a:rPr lang="en-US" baseline="0">
              <a:effectLst/>
            </a:rPr>
          </a:br>
          <a:r>
            <a:rPr lang="en-US" baseline="0">
              <a:effectLst/>
            </a:rPr>
            <a:t>6.  How much should the company be willing to pay to acquire more chocolate?</a:t>
          </a:r>
          <a:br>
            <a:rPr lang="en-US" baseline="0">
              <a:effectLst/>
            </a:rPr>
          </a:br>
          <a:r>
            <a:rPr lang="en-US" baseline="0">
              <a:effectLst/>
            </a:rPr>
            <a:t>7.  If the marketing dept. wanted to decrease the price of Whole nuts by $0.25, would the optimal solution change?</a:t>
          </a:r>
          <a:br>
            <a:rPr lang="en-US" baseline="0">
              <a:effectLst/>
            </a:rPr>
          </a:br>
          <a:endParaRPr lang="en-US">
            <a:effectLst/>
          </a:endParaRPr>
        </a:p>
        <a:p>
          <a:r>
            <a:rPr lang="en-US" sz="1100" b="1" i="1" u="sng">
              <a:solidFill>
                <a:schemeClr val="dk1"/>
              </a:solidFill>
              <a:effectLst/>
              <a:latin typeface="+mn-lt"/>
              <a:ea typeface="+mn-ea"/>
              <a:cs typeface="+mn-cs"/>
            </a:rPr>
            <a:t>Ans</a:t>
          </a:r>
          <a:r>
            <a:rPr lang="en-US" sz="1100" b="1" i="1" u="sng" baseline="0">
              <a:solidFill>
                <a:schemeClr val="dk1"/>
              </a:solidFill>
              <a:effectLst/>
              <a:latin typeface="+mn-lt"/>
              <a:ea typeface="+mn-ea"/>
              <a:cs typeface="+mn-cs"/>
            </a:rPr>
            <a:t>wered in the sensitivity report</a:t>
          </a:r>
        </a:p>
        <a:p>
          <a:endParaRPr lang="en-US" sz="1100" b="1" i="1" u="sng">
            <a:solidFill>
              <a:schemeClr val="dk1"/>
            </a:solidFill>
            <a:effectLst/>
            <a:latin typeface="+mn-lt"/>
            <a:ea typeface="+mn-ea"/>
            <a:cs typeface="+mn-cs"/>
          </a:endParaRP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7216</xdr:colOff>
      <xdr:row>0</xdr:row>
      <xdr:rowOff>57148</xdr:rowOff>
    </xdr:from>
    <xdr:to>
      <xdr:col>14</xdr:col>
      <xdr:colOff>466725</xdr:colOff>
      <xdr:row>43</xdr:row>
      <xdr:rowOff>101600</xdr:rowOff>
    </xdr:to>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DB608C8-463C-85E7-3200-46F96C387DCD}"/>
                </a:ext>
              </a:extLst>
            </xdr:cNvPr>
            <xdr:cNvSpPr txBox="1"/>
          </xdr:nvSpPr>
          <xdr:spPr>
            <a:xfrm>
              <a:off x="4010256" y="57148"/>
              <a:ext cx="5823989" cy="83654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CitruSun Corporation ships frozen orange juice concentrate from processing plants in Eustis and Clermont to distributors in Miami, Orlando, and Tallahassee. Each plant can produce 20 tons of concentrate each week. The company has just received orders of 10 tons from Miami for the coming week, 15 tons for Orlando, and 10 tons for Tallahassee. The cost per ton for supplying each of the distributors from each of the processing plants is shown in the following table.</a:t>
              </a:r>
            </a:p>
            <a:p>
              <a:r>
                <a:rPr lang="en-US" sz="1100"/>
                <a:t>The company wants to determine the least costly plan for filling their orders for the coming week.</a:t>
              </a:r>
              <a:br>
                <a:rPr lang="en-US" sz="1100"/>
              </a:br>
              <a:r>
                <a:rPr lang="en-US" sz="1100" b="1"/>
                <a:t>1. Formulate an LP model for this problem.</a:t>
              </a:r>
              <a:br>
                <a:rPr lang="en-US" sz="1100"/>
              </a:br>
              <a:r>
                <a:rPr lang="en-US" sz="1100" b="0" i="0">
                  <a:solidFill>
                    <a:schemeClr val="dk1"/>
                  </a:solidFill>
                  <a:effectLst/>
                  <a:latin typeface="+mn-lt"/>
                  <a:ea typeface="+mn-ea"/>
                  <a:cs typeface="+mn-cs"/>
                </a:rPr>
                <a:t>Decision variables</a:t>
              </a:r>
            </a:p>
            <a:p>
              <a:r>
                <a:rPr lang="en-US" sz="1100" b="0" i="0">
                  <a:solidFill>
                    <a:schemeClr val="dk1"/>
                  </a:solidFill>
                  <a:effectLst/>
                  <a:latin typeface="+mn-lt"/>
                  <a:ea typeface="+mn-ea"/>
                  <a:cs typeface="+mn-cs"/>
                </a:rPr>
                <a:t>Let </a:t>
              </a:r>
              <a14:m>
                <m:oMath xmlns:m="http://schemas.openxmlformats.org/officeDocument/2006/math">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𝑥</m:t>
                      </m:r>
                    </m:e>
                    <m:sub>
                      <m:r>
                        <a:rPr lang="ar-AE" sz="1100" i="1">
                          <a:solidFill>
                            <a:schemeClr val="dk1"/>
                          </a:solidFill>
                          <a:latin typeface="Cambria Math" panose="02040503050406030204" pitchFamily="18" charset="0"/>
                          <a:ea typeface="+mn-ea"/>
                          <a:cs typeface="+mn-cs"/>
                        </a:rPr>
                        <m:t>𝐸𝑀</m:t>
                      </m:r>
                    </m:sub>
                  </m:sSub>
                  <m:r>
                    <a:rPr lang="ar-AE" sz="1100" i="0">
                      <a:solidFill>
                        <a:schemeClr val="dk1"/>
                      </a:solidFill>
                      <a:latin typeface="Cambria Math" panose="02040503050406030204" pitchFamily="18" charset="0"/>
                      <a:ea typeface="+mn-ea"/>
                      <a:cs typeface="+mn-cs"/>
                    </a:rPr>
                    <m:t>,</m:t>
                  </m:r>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𝑥</m:t>
                      </m:r>
                    </m:e>
                    <m:sub>
                      <m:r>
                        <a:rPr lang="ar-AE" sz="1100" i="1">
                          <a:solidFill>
                            <a:schemeClr val="dk1"/>
                          </a:solidFill>
                          <a:latin typeface="Cambria Math" panose="02040503050406030204" pitchFamily="18" charset="0"/>
                          <a:ea typeface="+mn-ea"/>
                          <a:cs typeface="+mn-cs"/>
                        </a:rPr>
                        <m:t>𝐸𝑂</m:t>
                      </m:r>
                    </m:sub>
                  </m:sSub>
                  <m:r>
                    <a:rPr lang="ar-AE" sz="1100" i="0">
                      <a:solidFill>
                        <a:schemeClr val="dk1"/>
                      </a:solidFill>
                      <a:latin typeface="Cambria Math" panose="02040503050406030204" pitchFamily="18" charset="0"/>
                      <a:ea typeface="+mn-ea"/>
                      <a:cs typeface="+mn-cs"/>
                    </a:rPr>
                    <m:t>,</m:t>
                  </m:r>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𝑥</m:t>
                      </m:r>
                    </m:e>
                    <m:sub>
                      <m:r>
                        <a:rPr lang="ar-AE" sz="1100" i="1">
                          <a:solidFill>
                            <a:schemeClr val="dk1"/>
                          </a:solidFill>
                          <a:latin typeface="Cambria Math" panose="02040503050406030204" pitchFamily="18" charset="0"/>
                          <a:ea typeface="+mn-ea"/>
                          <a:cs typeface="+mn-cs"/>
                        </a:rPr>
                        <m:t>𝐸𝑇</m:t>
                      </m:r>
                    </m:sub>
                  </m:sSub>
                  <m:r>
                    <a:rPr lang="ar-AE" sz="1100" i="0">
                      <a:solidFill>
                        <a:schemeClr val="dk1"/>
                      </a:solidFill>
                      <a:latin typeface="Cambria Math" panose="02040503050406030204" pitchFamily="18" charset="0"/>
                      <a:ea typeface="+mn-ea"/>
                      <a:cs typeface="+mn-cs"/>
                    </a:rPr>
                    <m:t>≥0</m:t>
                  </m:r>
                </m:oMath>
              </a14:m>
              <a:r>
                <a:rPr lang="ar-AE" sz="1100" b="0" i="0">
                  <a:solidFill>
                    <a:schemeClr val="dk1"/>
                  </a:solidFill>
                  <a:effectLst/>
                  <a:latin typeface="+mn-lt"/>
                  <a:ea typeface="+mn-ea"/>
                  <a:cs typeface="+mn-cs"/>
                </a:rPr>
                <a:t> </a:t>
              </a:r>
              <a:r>
                <a:rPr lang="en-US" sz="1100" b="0" i="0">
                  <a:solidFill>
                    <a:schemeClr val="dk1"/>
                  </a:solidFill>
                  <a:effectLst/>
                  <a:latin typeface="+mn-lt"/>
                  <a:ea typeface="+mn-ea"/>
                  <a:cs typeface="+mn-cs"/>
                </a:rPr>
                <a:t>be tons shipped from Eustis to Miami, Orlando, and Tallahassee, respectively.</a:t>
              </a:r>
            </a:p>
            <a:p>
              <a:r>
                <a:rPr lang="en-US" sz="1100" b="0" i="0">
                  <a:solidFill>
                    <a:schemeClr val="dk1"/>
                  </a:solidFill>
                  <a:effectLst/>
                  <a:latin typeface="+mn-lt"/>
                  <a:ea typeface="+mn-ea"/>
                  <a:cs typeface="+mn-cs"/>
                </a:rPr>
                <a:t>Let </a:t>
              </a:r>
              <a14:m>
                <m:oMath xmlns:m="http://schemas.openxmlformats.org/officeDocument/2006/math">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𝑥</m:t>
                      </m:r>
                    </m:e>
                    <m:sub>
                      <m:r>
                        <a:rPr lang="ar-AE" sz="1100" i="1">
                          <a:solidFill>
                            <a:schemeClr val="dk1"/>
                          </a:solidFill>
                          <a:latin typeface="Cambria Math" panose="02040503050406030204" pitchFamily="18" charset="0"/>
                          <a:ea typeface="+mn-ea"/>
                          <a:cs typeface="+mn-cs"/>
                        </a:rPr>
                        <m:t>𝐶𝑀</m:t>
                      </m:r>
                    </m:sub>
                  </m:sSub>
                  <m:r>
                    <a:rPr lang="ar-AE" sz="1100" i="0">
                      <a:solidFill>
                        <a:schemeClr val="dk1"/>
                      </a:solidFill>
                      <a:latin typeface="Cambria Math" panose="02040503050406030204" pitchFamily="18" charset="0"/>
                      <a:ea typeface="+mn-ea"/>
                      <a:cs typeface="+mn-cs"/>
                    </a:rPr>
                    <m:t>,</m:t>
                  </m:r>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𝑥</m:t>
                      </m:r>
                    </m:e>
                    <m:sub>
                      <m:r>
                        <a:rPr lang="ar-AE" sz="1100" i="1">
                          <a:solidFill>
                            <a:schemeClr val="dk1"/>
                          </a:solidFill>
                          <a:latin typeface="Cambria Math" panose="02040503050406030204" pitchFamily="18" charset="0"/>
                          <a:ea typeface="+mn-ea"/>
                          <a:cs typeface="+mn-cs"/>
                        </a:rPr>
                        <m:t>𝐶𝑂</m:t>
                      </m:r>
                    </m:sub>
                  </m:sSub>
                  <m:r>
                    <a:rPr lang="ar-AE" sz="1100" i="0">
                      <a:solidFill>
                        <a:schemeClr val="dk1"/>
                      </a:solidFill>
                      <a:latin typeface="Cambria Math" panose="02040503050406030204" pitchFamily="18" charset="0"/>
                      <a:ea typeface="+mn-ea"/>
                      <a:cs typeface="+mn-cs"/>
                    </a:rPr>
                    <m:t>,</m:t>
                  </m:r>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𝑥</m:t>
                      </m:r>
                    </m:e>
                    <m:sub>
                      <m:r>
                        <a:rPr lang="ar-AE" sz="1100" i="1">
                          <a:solidFill>
                            <a:schemeClr val="dk1"/>
                          </a:solidFill>
                          <a:latin typeface="Cambria Math" panose="02040503050406030204" pitchFamily="18" charset="0"/>
                          <a:ea typeface="+mn-ea"/>
                          <a:cs typeface="+mn-cs"/>
                        </a:rPr>
                        <m:t>𝐶𝑇</m:t>
                      </m:r>
                    </m:sub>
                  </m:sSub>
                  <m:r>
                    <a:rPr lang="ar-AE" sz="1100" i="0">
                      <a:solidFill>
                        <a:schemeClr val="dk1"/>
                      </a:solidFill>
                      <a:latin typeface="Cambria Math" panose="02040503050406030204" pitchFamily="18" charset="0"/>
                      <a:ea typeface="+mn-ea"/>
                      <a:cs typeface="+mn-cs"/>
                    </a:rPr>
                    <m:t>≥0</m:t>
                  </m:r>
                </m:oMath>
              </a14:m>
              <a:r>
                <a:rPr lang="ar-AE" sz="1100" b="0" i="0">
                  <a:solidFill>
                    <a:schemeClr val="dk1"/>
                  </a:solidFill>
                  <a:effectLst/>
                  <a:latin typeface="+mn-lt"/>
                  <a:ea typeface="+mn-ea"/>
                  <a:cs typeface="+mn-cs"/>
                </a:rPr>
                <a:t> </a:t>
              </a:r>
              <a:r>
                <a:rPr lang="en-US" sz="1100" b="0" i="0">
                  <a:solidFill>
                    <a:schemeClr val="dk1"/>
                  </a:solidFill>
                  <a:effectLst/>
                  <a:latin typeface="+mn-lt"/>
                  <a:ea typeface="+mn-ea"/>
                  <a:cs typeface="+mn-cs"/>
                </a:rPr>
                <a:t>be tons shipped from Clermont to Miami, Orlando, and Tallahassee, respectively.</a:t>
              </a:r>
            </a:p>
            <a:p>
              <a:r>
                <a:rPr lang="en-US" sz="1100" b="0" i="0">
                  <a:solidFill>
                    <a:schemeClr val="dk1"/>
                  </a:solidFill>
                  <a:effectLst/>
                  <a:latin typeface="+mn-lt"/>
                  <a:ea typeface="+mn-ea"/>
                  <a:cs typeface="+mn-cs"/>
                </a:rPr>
                <a:t>Objective (minimize cost)</a:t>
              </a:r>
            </a:p>
            <a:p>
              <a:r>
                <a:rPr lang="en-US" sz="1100" b="0" i="0">
                  <a:solidFill>
                    <a:schemeClr val="dk1"/>
                  </a:solidFill>
                  <a:effectLst/>
                  <a:latin typeface="+mn-lt"/>
                  <a:ea typeface="+mn-ea"/>
                  <a:cs typeface="+mn-cs"/>
                </a:rPr>
                <a:t>Minimize </a:t>
              </a:r>
              <a14:m>
                <m:oMath xmlns:m="http://schemas.openxmlformats.org/officeDocument/2006/math">
                  <m:r>
                    <a:rPr lang="en-US" sz="1100" i="1">
                      <a:solidFill>
                        <a:schemeClr val="dk1"/>
                      </a:solidFill>
                      <a:latin typeface="Cambria Math" panose="02040503050406030204" pitchFamily="18" charset="0"/>
                      <a:ea typeface="+mn-ea"/>
                      <a:cs typeface="+mn-cs"/>
                    </a:rPr>
                    <m:t>𝑍</m:t>
                  </m:r>
                  <m:r>
                    <a:rPr lang="en-US" sz="1100" i="0">
                      <a:solidFill>
                        <a:schemeClr val="dk1"/>
                      </a:solidFill>
                      <a:latin typeface="Cambria Math" panose="02040503050406030204" pitchFamily="18" charset="0"/>
                      <a:ea typeface="+mn-ea"/>
                      <a:cs typeface="+mn-cs"/>
                    </a:rPr>
                    <m:t>=</m:t>
                  </m:r>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𝑐</m:t>
                      </m:r>
                    </m:e>
                    <m:sub>
                      <m:r>
                        <a:rPr lang="ar-AE" sz="1100" i="1">
                          <a:solidFill>
                            <a:schemeClr val="dk1"/>
                          </a:solidFill>
                          <a:latin typeface="Cambria Math" panose="02040503050406030204" pitchFamily="18" charset="0"/>
                          <a:ea typeface="+mn-ea"/>
                          <a:cs typeface="+mn-cs"/>
                        </a:rPr>
                        <m:t>𝐸𝑀</m:t>
                      </m:r>
                    </m:sub>
                  </m:sSub>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𝑥</m:t>
                      </m:r>
                    </m:e>
                    <m:sub>
                      <m:r>
                        <a:rPr lang="ar-AE" sz="1100" i="1">
                          <a:solidFill>
                            <a:schemeClr val="dk1"/>
                          </a:solidFill>
                          <a:latin typeface="Cambria Math" panose="02040503050406030204" pitchFamily="18" charset="0"/>
                          <a:ea typeface="+mn-ea"/>
                          <a:cs typeface="+mn-cs"/>
                        </a:rPr>
                        <m:t>𝐸𝑀</m:t>
                      </m:r>
                    </m:sub>
                  </m:sSub>
                  <m:r>
                    <a:rPr lang="ar-AE" sz="1100" i="0">
                      <a:solidFill>
                        <a:schemeClr val="dk1"/>
                      </a:solidFill>
                      <a:latin typeface="Cambria Math" panose="02040503050406030204" pitchFamily="18" charset="0"/>
                      <a:ea typeface="+mn-ea"/>
                      <a:cs typeface="+mn-cs"/>
                    </a:rPr>
                    <m:t>+</m:t>
                  </m:r>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𝑐</m:t>
                      </m:r>
                    </m:e>
                    <m:sub>
                      <m:r>
                        <a:rPr lang="ar-AE" sz="1100" i="1">
                          <a:solidFill>
                            <a:schemeClr val="dk1"/>
                          </a:solidFill>
                          <a:latin typeface="Cambria Math" panose="02040503050406030204" pitchFamily="18" charset="0"/>
                          <a:ea typeface="+mn-ea"/>
                          <a:cs typeface="+mn-cs"/>
                        </a:rPr>
                        <m:t>𝐸𝑂</m:t>
                      </m:r>
                    </m:sub>
                  </m:sSub>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𝑥</m:t>
                      </m:r>
                    </m:e>
                    <m:sub>
                      <m:r>
                        <a:rPr lang="ar-AE" sz="1100" i="1">
                          <a:solidFill>
                            <a:schemeClr val="dk1"/>
                          </a:solidFill>
                          <a:latin typeface="Cambria Math" panose="02040503050406030204" pitchFamily="18" charset="0"/>
                          <a:ea typeface="+mn-ea"/>
                          <a:cs typeface="+mn-cs"/>
                        </a:rPr>
                        <m:t>𝐸𝑂</m:t>
                      </m:r>
                    </m:sub>
                  </m:sSub>
                  <m:r>
                    <a:rPr lang="ar-AE" sz="1100" i="0">
                      <a:solidFill>
                        <a:schemeClr val="dk1"/>
                      </a:solidFill>
                      <a:latin typeface="Cambria Math" panose="02040503050406030204" pitchFamily="18" charset="0"/>
                      <a:ea typeface="+mn-ea"/>
                      <a:cs typeface="+mn-cs"/>
                    </a:rPr>
                    <m:t>+</m:t>
                  </m:r>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𝑐</m:t>
                      </m:r>
                    </m:e>
                    <m:sub>
                      <m:r>
                        <a:rPr lang="ar-AE" sz="1100" i="1">
                          <a:solidFill>
                            <a:schemeClr val="dk1"/>
                          </a:solidFill>
                          <a:latin typeface="Cambria Math" panose="02040503050406030204" pitchFamily="18" charset="0"/>
                          <a:ea typeface="+mn-ea"/>
                          <a:cs typeface="+mn-cs"/>
                        </a:rPr>
                        <m:t>𝐸𝑇</m:t>
                      </m:r>
                    </m:sub>
                  </m:sSub>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𝑥</m:t>
                      </m:r>
                    </m:e>
                    <m:sub>
                      <m:r>
                        <a:rPr lang="ar-AE" sz="1100" i="1">
                          <a:solidFill>
                            <a:schemeClr val="dk1"/>
                          </a:solidFill>
                          <a:latin typeface="Cambria Math" panose="02040503050406030204" pitchFamily="18" charset="0"/>
                          <a:ea typeface="+mn-ea"/>
                          <a:cs typeface="+mn-cs"/>
                        </a:rPr>
                        <m:t>𝐸𝑇</m:t>
                      </m:r>
                    </m:sub>
                  </m:sSub>
                  <m:r>
                    <a:rPr lang="ar-AE" sz="1100" i="0">
                      <a:solidFill>
                        <a:schemeClr val="dk1"/>
                      </a:solidFill>
                      <a:latin typeface="Cambria Math" panose="02040503050406030204" pitchFamily="18" charset="0"/>
                      <a:ea typeface="+mn-ea"/>
                      <a:cs typeface="+mn-cs"/>
                    </a:rPr>
                    <m:t>+</m:t>
                  </m:r>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𝑐</m:t>
                      </m:r>
                    </m:e>
                    <m:sub>
                      <m:r>
                        <a:rPr lang="ar-AE" sz="1100" i="1">
                          <a:solidFill>
                            <a:schemeClr val="dk1"/>
                          </a:solidFill>
                          <a:latin typeface="Cambria Math" panose="02040503050406030204" pitchFamily="18" charset="0"/>
                          <a:ea typeface="+mn-ea"/>
                          <a:cs typeface="+mn-cs"/>
                        </a:rPr>
                        <m:t>𝐶𝑀</m:t>
                      </m:r>
                    </m:sub>
                  </m:sSub>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𝑥</m:t>
                      </m:r>
                    </m:e>
                    <m:sub>
                      <m:r>
                        <a:rPr lang="ar-AE" sz="1100" i="1">
                          <a:solidFill>
                            <a:schemeClr val="dk1"/>
                          </a:solidFill>
                          <a:latin typeface="Cambria Math" panose="02040503050406030204" pitchFamily="18" charset="0"/>
                          <a:ea typeface="+mn-ea"/>
                          <a:cs typeface="+mn-cs"/>
                        </a:rPr>
                        <m:t>𝐶𝑀</m:t>
                      </m:r>
                    </m:sub>
                  </m:sSub>
                  <m:r>
                    <a:rPr lang="ar-AE" sz="1100" i="0">
                      <a:solidFill>
                        <a:schemeClr val="dk1"/>
                      </a:solidFill>
                      <a:latin typeface="Cambria Math" panose="02040503050406030204" pitchFamily="18" charset="0"/>
                      <a:ea typeface="+mn-ea"/>
                      <a:cs typeface="+mn-cs"/>
                    </a:rPr>
                    <m:t>+</m:t>
                  </m:r>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𝑐</m:t>
                      </m:r>
                    </m:e>
                    <m:sub>
                      <m:r>
                        <a:rPr lang="ar-AE" sz="1100" i="1">
                          <a:solidFill>
                            <a:schemeClr val="dk1"/>
                          </a:solidFill>
                          <a:latin typeface="Cambria Math" panose="02040503050406030204" pitchFamily="18" charset="0"/>
                          <a:ea typeface="+mn-ea"/>
                          <a:cs typeface="+mn-cs"/>
                        </a:rPr>
                        <m:t>𝐶𝑂</m:t>
                      </m:r>
                    </m:sub>
                  </m:sSub>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𝑥</m:t>
                      </m:r>
                    </m:e>
                    <m:sub>
                      <m:r>
                        <a:rPr lang="ar-AE" sz="1100" i="1">
                          <a:solidFill>
                            <a:schemeClr val="dk1"/>
                          </a:solidFill>
                          <a:latin typeface="Cambria Math" panose="02040503050406030204" pitchFamily="18" charset="0"/>
                          <a:ea typeface="+mn-ea"/>
                          <a:cs typeface="+mn-cs"/>
                        </a:rPr>
                        <m:t>𝐶𝑂</m:t>
                      </m:r>
                    </m:sub>
                  </m:sSub>
                  <m:r>
                    <a:rPr lang="ar-AE" sz="1100" i="0">
                      <a:solidFill>
                        <a:schemeClr val="dk1"/>
                      </a:solidFill>
                      <a:latin typeface="Cambria Math" panose="02040503050406030204" pitchFamily="18" charset="0"/>
                      <a:ea typeface="+mn-ea"/>
                      <a:cs typeface="+mn-cs"/>
                    </a:rPr>
                    <m:t>+</m:t>
                  </m:r>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𝑐</m:t>
                      </m:r>
                    </m:e>
                    <m:sub>
                      <m:r>
                        <a:rPr lang="ar-AE" sz="1100" i="1">
                          <a:solidFill>
                            <a:schemeClr val="dk1"/>
                          </a:solidFill>
                          <a:latin typeface="Cambria Math" panose="02040503050406030204" pitchFamily="18" charset="0"/>
                          <a:ea typeface="+mn-ea"/>
                          <a:cs typeface="+mn-cs"/>
                        </a:rPr>
                        <m:t>𝐶𝑇</m:t>
                      </m:r>
                    </m:sub>
                  </m:sSub>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𝑥</m:t>
                      </m:r>
                    </m:e>
                    <m:sub>
                      <m:r>
                        <a:rPr lang="ar-AE" sz="1100" i="1">
                          <a:solidFill>
                            <a:schemeClr val="dk1"/>
                          </a:solidFill>
                          <a:latin typeface="Cambria Math" panose="02040503050406030204" pitchFamily="18" charset="0"/>
                          <a:ea typeface="+mn-ea"/>
                          <a:cs typeface="+mn-cs"/>
                        </a:rPr>
                        <m:t>𝐶𝑇</m:t>
                      </m:r>
                    </m:sub>
                  </m:sSub>
                </m:oMath>
              </a14:m>
              <a:r>
                <a:rPr lang="ar-AE" sz="1100" b="0" i="0">
                  <a:solidFill>
                    <a:schemeClr val="dk1"/>
                  </a:solidFill>
                  <a:effectLst/>
                  <a:latin typeface="+mn-lt"/>
                  <a:ea typeface="+mn-ea"/>
                  <a:cs typeface="+mn-cs"/>
                </a:rPr>
                <a:t>, </a:t>
              </a:r>
              <a:r>
                <a:rPr lang="en-US" sz="1100" b="0" i="0">
                  <a:solidFill>
                    <a:schemeClr val="dk1"/>
                  </a:solidFill>
                  <a:effectLst/>
                  <a:latin typeface="+mn-lt"/>
                  <a:ea typeface="+mn-ea"/>
                  <a:cs typeface="+mn-cs"/>
                </a:rPr>
                <a:t>where </a:t>
              </a:r>
              <a14:m>
                <m:oMath xmlns:m="http://schemas.openxmlformats.org/officeDocument/2006/math">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𝑐</m:t>
                      </m:r>
                    </m:e>
                    <m:sub>
                      <m:r>
                        <a:rPr lang="ar-AE" sz="1100" i="1">
                          <a:solidFill>
                            <a:schemeClr val="dk1"/>
                          </a:solidFill>
                          <a:latin typeface="Cambria Math" panose="02040503050406030204" pitchFamily="18" charset="0"/>
                          <a:ea typeface="+mn-ea"/>
                          <a:cs typeface="+mn-cs"/>
                        </a:rPr>
                        <m:t>𝑖𝑗</m:t>
                      </m:r>
                    </m:sub>
                  </m:sSub>
                </m:oMath>
              </a14:m>
              <a:r>
                <a:rPr lang="ar-AE" sz="1100" b="0" i="0">
                  <a:solidFill>
                    <a:schemeClr val="dk1"/>
                  </a:solidFill>
                  <a:effectLst/>
                  <a:latin typeface="+mn-lt"/>
                  <a:ea typeface="+mn-ea"/>
                  <a:cs typeface="+mn-cs"/>
                </a:rPr>
                <a:t> </a:t>
              </a:r>
              <a:r>
                <a:rPr lang="en-US" sz="1100" b="0" i="0">
                  <a:solidFill>
                    <a:schemeClr val="dk1"/>
                  </a:solidFill>
                  <a:effectLst/>
                  <a:latin typeface="+mn-lt"/>
                  <a:ea typeface="+mn-ea"/>
                  <a:cs typeface="+mn-cs"/>
                </a:rPr>
                <a:t>are the given costs per ton from the table to be substituted in the coefficients.</a:t>
              </a:r>
            </a:p>
            <a:p>
              <a:r>
                <a:rPr lang="en-US" sz="1100" b="0" i="0">
                  <a:solidFill>
                    <a:schemeClr val="dk1"/>
                  </a:solidFill>
                  <a:effectLst/>
                  <a:latin typeface="+mn-lt"/>
                  <a:ea typeface="+mn-ea"/>
                  <a:cs typeface="+mn-cs"/>
                </a:rPr>
                <a:t>Supply constraints</a:t>
              </a:r>
            </a:p>
            <a:p>
              <a:r>
                <a:rPr lang="en-US" sz="1100" b="0" i="0">
                  <a:solidFill>
                    <a:schemeClr val="dk1"/>
                  </a:solidFill>
                  <a:effectLst/>
                  <a:latin typeface="+mn-lt"/>
                  <a:ea typeface="+mn-ea"/>
                  <a:cs typeface="+mn-cs"/>
                </a:rPr>
                <a:t>Eustis capacity: </a:t>
              </a:r>
              <a14:m>
                <m:oMath xmlns:m="http://schemas.openxmlformats.org/officeDocument/2006/math">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𝑥</m:t>
                      </m:r>
                    </m:e>
                    <m:sub>
                      <m:r>
                        <a:rPr lang="ar-AE" sz="1100" i="1">
                          <a:solidFill>
                            <a:schemeClr val="dk1"/>
                          </a:solidFill>
                          <a:latin typeface="Cambria Math" panose="02040503050406030204" pitchFamily="18" charset="0"/>
                          <a:ea typeface="+mn-ea"/>
                          <a:cs typeface="+mn-cs"/>
                        </a:rPr>
                        <m:t>𝐸𝑀</m:t>
                      </m:r>
                    </m:sub>
                  </m:sSub>
                  <m:r>
                    <a:rPr lang="ar-AE" sz="1100" i="0">
                      <a:solidFill>
                        <a:schemeClr val="dk1"/>
                      </a:solidFill>
                      <a:latin typeface="Cambria Math" panose="02040503050406030204" pitchFamily="18" charset="0"/>
                      <a:ea typeface="+mn-ea"/>
                      <a:cs typeface="+mn-cs"/>
                    </a:rPr>
                    <m:t>+</m:t>
                  </m:r>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𝑥</m:t>
                      </m:r>
                    </m:e>
                    <m:sub>
                      <m:r>
                        <a:rPr lang="ar-AE" sz="1100" i="1">
                          <a:solidFill>
                            <a:schemeClr val="dk1"/>
                          </a:solidFill>
                          <a:latin typeface="Cambria Math" panose="02040503050406030204" pitchFamily="18" charset="0"/>
                          <a:ea typeface="+mn-ea"/>
                          <a:cs typeface="+mn-cs"/>
                        </a:rPr>
                        <m:t>𝐸𝑂</m:t>
                      </m:r>
                    </m:sub>
                  </m:sSub>
                  <m:r>
                    <a:rPr lang="ar-AE" sz="1100" i="0">
                      <a:solidFill>
                        <a:schemeClr val="dk1"/>
                      </a:solidFill>
                      <a:latin typeface="Cambria Math" panose="02040503050406030204" pitchFamily="18" charset="0"/>
                      <a:ea typeface="+mn-ea"/>
                      <a:cs typeface="+mn-cs"/>
                    </a:rPr>
                    <m:t>+</m:t>
                  </m:r>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𝑥</m:t>
                      </m:r>
                    </m:e>
                    <m:sub>
                      <m:r>
                        <a:rPr lang="ar-AE" sz="1100" i="1">
                          <a:solidFill>
                            <a:schemeClr val="dk1"/>
                          </a:solidFill>
                          <a:latin typeface="Cambria Math" panose="02040503050406030204" pitchFamily="18" charset="0"/>
                          <a:ea typeface="+mn-ea"/>
                          <a:cs typeface="+mn-cs"/>
                        </a:rPr>
                        <m:t>𝐸𝑇</m:t>
                      </m:r>
                    </m:sub>
                  </m:sSub>
                  <m:r>
                    <a:rPr lang="ar-AE" sz="1100" i="0">
                      <a:solidFill>
                        <a:schemeClr val="dk1"/>
                      </a:solidFill>
                      <a:latin typeface="Cambria Math" panose="02040503050406030204" pitchFamily="18" charset="0"/>
                      <a:ea typeface="+mn-ea"/>
                      <a:cs typeface="+mn-cs"/>
                    </a:rPr>
                    <m:t>≤20</m:t>
                  </m:r>
                </m:oMath>
              </a14:m>
              <a:r>
                <a:rPr lang="ar-AE" sz="1100" b="0" i="0">
                  <a:solidFill>
                    <a:schemeClr val="dk1"/>
                  </a:solidFill>
                  <a:effectLst/>
                  <a:latin typeface="+mn-lt"/>
                  <a:ea typeface="+mn-ea"/>
                  <a:cs typeface="+mn-cs"/>
                </a:rPr>
                <a:t>.</a:t>
              </a:r>
            </a:p>
            <a:p>
              <a:r>
                <a:rPr lang="en-US" sz="1100" b="0" i="0">
                  <a:solidFill>
                    <a:schemeClr val="dk1"/>
                  </a:solidFill>
                  <a:effectLst/>
                  <a:latin typeface="+mn-lt"/>
                  <a:ea typeface="+mn-ea"/>
                  <a:cs typeface="+mn-cs"/>
                </a:rPr>
                <a:t>Clermont capacity: </a:t>
              </a:r>
              <a14:m>
                <m:oMath xmlns:m="http://schemas.openxmlformats.org/officeDocument/2006/math">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𝑥</m:t>
                      </m:r>
                    </m:e>
                    <m:sub>
                      <m:r>
                        <a:rPr lang="ar-AE" sz="1100" i="1">
                          <a:solidFill>
                            <a:schemeClr val="dk1"/>
                          </a:solidFill>
                          <a:latin typeface="Cambria Math" panose="02040503050406030204" pitchFamily="18" charset="0"/>
                          <a:ea typeface="+mn-ea"/>
                          <a:cs typeface="+mn-cs"/>
                        </a:rPr>
                        <m:t>𝐶𝑀</m:t>
                      </m:r>
                    </m:sub>
                  </m:sSub>
                  <m:r>
                    <a:rPr lang="ar-AE" sz="1100" i="0">
                      <a:solidFill>
                        <a:schemeClr val="dk1"/>
                      </a:solidFill>
                      <a:latin typeface="Cambria Math" panose="02040503050406030204" pitchFamily="18" charset="0"/>
                      <a:ea typeface="+mn-ea"/>
                      <a:cs typeface="+mn-cs"/>
                    </a:rPr>
                    <m:t>+</m:t>
                  </m:r>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𝑥</m:t>
                      </m:r>
                    </m:e>
                    <m:sub>
                      <m:r>
                        <a:rPr lang="ar-AE" sz="1100" i="1">
                          <a:solidFill>
                            <a:schemeClr val="dk1"/>
                          </a:solidFill>
                          <a:latin typeface="Cambria Math" panose="02040503050406030204" pitchFamily="18" charset="0"/>
                          <a:ea typeface="+mn-ea"/>
                          <a:cs typeface="+mn-cs"/>
                        </a:rPr>
                        <m:t>𝐶𝑂</m:t>
                      </m:r>
                    </m:sub>
                  </m:sSub>
                  <m:r>
                    <a:rPr lang="ar-AE" sz="1100" i="0">
                      <a:solidFill>
                        <a:schemeClr val="dk1"/>
                      </a:solidFill>
                      <a:latin typeface="Cambria Math" panose="02040503050406030204" pitchFamily="18" charset="0"/>
                      <a:ea typeface="+mn-ea"/>
                      <a:cs typeface="+mn-cs"/>
                    </a:rPr>
                    <m:t>+</m:t>
                  </m:r>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𝑥</m:t>
                      </m:r>
                    </m:e>
                    <m:sub>
                      <m:r>
                        <a:rPr lang="ar-AE" sz="1100" i="1">
                          <a:solidFill>
                            <a:schemeClr val="dk1"/>
                          </a:solidFill>
                          <a:latin typeface="Cambria Math" panose="02040503050406030204" pitchFamily="18" charset="0"/>
                          <a:ea typeface="+mn-ea"/>
                          <a:cs typeface="+mn-cs"/>
                        </a:rPr>
                        <m:t>𝐶𝑇</m:t>
                      </m:r>
                    </m:sub>
                  </m:sSub>
                  <m:r>
                    <a:rPr lang="ar-AE" sz="1100" i="0">
                      <a:solidFill>
                        <a:schemeClr val="dk1"/>
                      </a:solidFill>
                      <a:latin typeface="Cambria Math" panose="02040503050406030204" pitchFamily="18" charset="0"/>
                      <a:ea typeface="+mn-ea"/>
                      <a:cs typeface="+mn-cs"/>
                    </a:rPr>
                    <m:t>≤20</m:t>
                  </m:r>
                </m:oMath>
              </a14:m>
              <a:r>
                <a:rPr lang="ar-AE" sz="1100" b="0" i="0">
                  <a:solidFill>
                    <a:schemeClr val="dk1"/>
                  </a:solidFill>
                  <a:effectLst/>
                  <a:latin typeface="+mn-lt"/>
                  <a:ea typeface="+mn-ea"/>
                  <a:cs typeface="+mn-cs"/>
                </a:rPr>
                <a:t>.</a:t>
              </a:r>
            </a:p>
            <a:p>
              <a:r>
                <a:rPr lang="en-US" sz="1100" b="0" i="0">
                  <a:solidFill>
                    <a:schemeClr val="dk1"/>
                  </a:solidFill>
                  <a:effectLst/>
                  <a:latin typeface="+mn-lt"/>
                  <a:ea typeface="+mn-ea"/>
                  <a:cs typeface="+mn-cs"/>
                </a:rPr>
                <a:t>Demand constraints</a:t>
              </a:r>
            </a:p>
            <a:p>
              <a:r>
                <a:rPr lang="en-US" sz="1100" b="0" i="0">
                  <a:solidFill>
                    <a:schemeClr val="dk1"/>
                  </a:solidFill>
                  <a:effectLst/>
                  <a:latin typeface="+mn-lt"/>
                  <a:ea typeface="+mn-ea"/>
                  <a:cs typeface="+mn-cs"/>
                </a:rPr>
                <a:t>Miami demand: </a:t>
              </a:r>
              <a14:m>
                <m:oMath xmlns:m="http://schemas.openxmlformats.org/officeDocument/2006/math">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𝑥</m:t>
                      </m:r>
                    </m:e>
                    <m:sub>
                      <m:r>
                        <a:rPr lang="ar-AE" sz="1100" i="1">
                          <a:solidFill>
                            <a:schemeClr val="dk1"/>
                          </a:solidFill>
                          <a:latin typeface="Cambria Math" panose="02040503050406030204" pitchFamily="18" charset="0"/>
                          <a:ea typeface="+mn-ea"/>
                          <a:cs typeface="+mn-cs"/>
                        </a:rPr>
                        <m:t>𝐸𝑀</m:t>
                      </m:r>
                    </m:sub>
                  </m:sSub>
                  <m:r>
                    <a:rPr lang="ar-AE" sz="1100" i="0">
                      <a:solidFill>
                        <a:schemeClr val="dk1"/>
                      </a:solidFill>
                      <a:latin typeface="Cambria Math" panose="02040503050406030204" pitchFamily="18" charset="0"/>
                      <a:ea typeface="+mn-ea"/>
                      <a:cs typeface="+mn-cs"/>
                    </a:rPr>
                    <m:t>+</m:t>
                  </m:r>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𝑥</m:t>
                      </m:r>
                    </m:e>
                    <m:sub>
                      <m:r>
                        <a:rPr lang="ar-AE" sz="1100" i="1">
                          <a:solidFill>
                            <a:schemeClr val="dk1"/>
                          </a:solidFill>
                          <a:latin typeface="Cambria Math" panose="02040503050406030204" pitchFamily="18" charset="0"/>
                          <a:ea typeface="+mn-ea"/>
                          <a:cs typeface="+mn-cs"/>
                        </a:rPr>
                        <m:t>𝐶𝑀</m:t>
                      </m:r>
                    </m:sub>
                  </m:sSub>
                  <m:r>
                    <a:rPr lang="ar-AE" sz="1100" i="0">
                      <a:solidFill>
                        <a:schemeClr val="dk1"/>
                      </a:solidFill>
                      <a:latin typeface="Cambria Math" panose="02040503050406030204" pitchFamily="18" charset="0"/>
                      <a:ea typeface="+mn-ea"/>
                      <a:cs typeface="+mn-cs"/>
                    </a:rPr>
                    <m:t>=10</m:t>
                  </m:r>
                </m:oMath>
              </a14:m>
              <a:r>
                <a:rPr lang="ar-AE" sz="1100" b="0" i="0">
                  <a:solidFill>
                    <a:schemeClr val="dk1"/>
                  </a:solidFill>
                  <a:effectLst/>
                  <a:latin typeface="+mn-lt"/>
                  <a:ea typeface="+mn-ea"/>
                  <a:cs typeface="+mn-cs"/>
                </a:rPr>
                <a:t>.</a:t>
              </a:r>
            </a:p>
            <a:p>
              <a:r>
                <a:rPr lang="en-US" sz="1100" b="0" i="0">
                  <a:solidFill>
                    <a:schemeClr val="dk1"/>
                  </a:solidFill>
                  <a:effectLst/>
                  <a:latin typeface="+mn-lt"/>
                  <a:ea typeface="+mn-ea"/>
                  <a:cs typeface="+mn-cs"/>
                </a:rPr>
                <a:t>Orlando demand: </a:t>
              </a:r>
              <a14:m>
                <m:oMath xmlns:m="http://schemas.openxmlformats.org/officeDocument/2006/math">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𝑥</m:t>
                      </m:r>
                    </m:e>
                    <m:sub>
                      <m:r>
                        <a:rPr lang="ar-AE" sz="1100" i="1">
                          <a:solidFill>
                            <a:schemeClr val="dk1"/>
                          </a:solidFill>
                          <a:latin typeface="Cambria Math" panose="02040503050406030204" pitchFamily="18" charset="0"/>
                          <a:ea typeface="+mn-ea"/>
                          <a:cs typeface="+mn-cs"/>
                        </a:rPr>
                        <m:t>𝐸𝑂</m:t>
                      </m:r>
                    </m:sub>
                  </m:sSub>
                  <m:r>
                    <a:rPr lang="ar-AE" sz="1100" i="0">
                      <a:solidFill>
                        <a:schemeClr val="dk1"/>
                      </a:solidFill>
                      <a:latin typeface="Cambria Math" panose="02040503050406030204" pitchFamily="18" charset="0"/>
                      <a:ea typeface="+mn-ea"/>
                      <a:cs typeface="+mn-cs"/>
                    </a:rPr>
                    <m:t>+</m:t>
                  </m:r>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𝑥</m:t>
                      </m:r>
                    </m:e>
                    <m:sub>
                      <m:r>
                        <a:rPr lang="ar-AE" sz="1100" i="1">
                          <a:solidFill>
                            <a:schemeClr val="dk1"/>
                          </a:solidFill>
                          <a:latin typeface="Cambria Math" panose="02040503050406030204" pitchFamily="18" charset="0"/>
                          <a:ea typeface="+mn-ea"/>
                          <a:cs typeface="+mn-cs"/>
                        </a:rPr>
                        <m:t>𝐶𝑂</m:t>
                      </m:r>
                    </m:sub>
                  </m:sSub>
                  <m:r>
                    <a:rPr lang="ar-AE" sz="1100" i="0">
                      <a:solidFill>
                        <a:schemeClr val="dk1"/>
                      </a:solidFill>
                      <a:latin typeface="Cambria Math" panose="02040503050406030204" pitchFamily="18" charset="0"/>
                      <a:ea typeface="+mn-ea"/>
                      <a:cs typeface="+mn-cs"/>
                    </a:rPr>
                    <m:t>=15</m:t>
                  </m:r>
                </m:oMath>
              </a14:m>
              <a:r>
                <a:rPr lang="ar-AE" sz="1100" b="0" i="0">
                  <a:solidFill>
                    <a:schemeClr val="dk1"/>
                  </a:solidFill>
                  <a:effectLst/>
                  <a:latin typeface="+mn-lt"/>
                  <a:ea typeface="+mn-ea"/>
                  <a:cs typeface="+mn-cs"/>
                </a:rPr>
                <a:t>.</a:t>
              </a:r>
            </a:p>
            <a:p>
              <a:r>
                <a:rPr lang="en-US" sz="1100" b="0" i="0">
                  <a:solidFill>
                    <a:schemeClr val="dk1"/>
                  </a:solidFill>
                  <a:effectLst/>
                  <a:latin typeface="+mn-lt"/>
                  <a:ea typeface="+mn-ea"/>
                  <a:cs typeface="+mn-cs"/>
                </a:rPr>
                <a:t>Tallahassee demand: </a:t>
              </a:r>
              <a14:m>
                <m:oMath xmlns:m="http://schemas.openxmlformats.org/officeDocument/2006/math">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𝑥</m:t>
                      </m:r>
                    </m:e>
                    <m:sub>
                      <m:r>
                        <a:rPr lang="ar-AE" sz="1100" i="1">
                          <a:solidFill>
                            <a:schemeClr val="dk1"/>
                          </a:solidFill>
                          <a:latin typeface="Cambria Math" panose="02040503050406030204" pitchFamily="18" charset="0"/>
                          <a:ea typeface="+mn-ea"/>
                          <a:cs typeface="+mn-cs"/>
                        </a:rPr>
                        <m:t>𝐸𝑇</m:t>
                      </m:r>
                    </m:sub>
                  </m:sSub>
                  <m:r>
                    <a:rPr lang="ar-AE" sz="1100" i="0">
                      <a:solidFill>
                        <a:schemeClr val="dk1"/>
                      </a:solidFill>
                      <a:latin typeface="Cambria Math" panose="02040503050406030204" pitchFamily="18" charset="0"/>
                      <a:ea typeface="+mn-ea"/>
                      <a:cs typeface="+mn-cs"/>
                    </a:rPr>
                    <m:t>+</m:t>
                  </m:r>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𝑥</m:t>
                      </m:r>
                    </m:e>
                    <m:sub>
                      <m:r>
                        <a:rPr lang="ar-AE" sz="1100" i="1">
                          <a:solidFill>
                            <a:schemeClr val="dk1"/>
                          </a:solidFill>
                          <a:latin typeface="Cambria Math" panose="02040503050406030204" pitchFamily="18" charset="0"/>
                          <a:ea typeface="+mn-ea"/>
                          <a:cs typeface="+mn-cs"/>
                        </a:rPr>
                        <m:t>𝐶𝑇</m:t>
                      </m:r>
                    </m:sub>
                  </m:sSub>
                  <m:r>
                    <a:rPr lang="ar-AE" sz="1100" i="0">
                      <a:solidFill>
                        <a:schemeClr val="dk1"/>
                      </a:solidFill>
                      <a:latin typeface="Cambria Math" panose="02040503050406030204" pitchFamily="18" charset="0"/>
                      <a:ea typeface="+mn-ea"/>
                      <a:cs typeface="+mn-cs"/>
                    </a:rPr>
                    <m:t>=10</m:t>
                  </m:r>
                </m:oMath>
              </a14:m>
              <a:r>
                <a:rPr lang="ar-AE" sz="1100" b="0" i="0">
                  <a:solidFill>
                    <a:schemeClr val="dk1"/>
                  </a:solidFill>
                  <a:effectLst/>
                  <a:latin typeface="+mn-lt"/>
                  <a:ea typeface="+mn-ea"/>
                  <a:cs typeface="+mn-cs"/>
                </a:rPr>
                <a:t>.</a:t>
              </a:r>
            </a:p>
            <a:p>
              <a:r>
                <a:rPr lang="en-US" sz="1100"/>
                <a:t>2. Implement the model in a spreadsheet and solve it.</a:t>
              </a:r>
            </a:p>
            <a:p>
              <a:endParaRPr lang="en-US" sz="1100"/>
            </a:p>
            <a:p>
              <a:r>
                <a:rPr lang="en-US" sz="1100"/>
                <a:t>3. What is the optimal solution?</a:t>
              </a:r>
              <a:br>
                <a:rPr lang="en-US" sz="1100"/>
              </a:br>
              <a:r>
                <a:rPr lang="en-US" sz="1100"/>
                <a:t>$8600 </a:t>
              </a:r>
            </a:p>
            <a:p>
              <a:endParaRPr lang="en-US" sz="1100"/>
            </a:p>
            <a:p>
              <a:r>
                <a:rPr lang="en-US" sz="1100"/>
                <a:t>4.  Is the optimal solution degenerate?</a:t>
              </a:r>
            </a:p>
            <a:p>
              <a:r>
                <a:rPr lang="en-US" sz="1100" b="1" baseline="0">
                  <a:solidFill>
                    <a:schemeClr val="dk1"/>
                  </a:solidFill>
                  <a:effectLst/>
                  <a:latin typeface="+mn-lt"/>
                  <a:ea typeface="+mn-ea"/>
                  <a:cs typeface="+mn-cs"/>
                </a:rPr>
                <a:t>A: </a:t>
              </a:r>
              <a:r>
                <a:rPr lang="en-US" sz="1100"/>
                <a:t>No,</a:t>
              </a:r>
              <a:r>
                <a:rPr lang="en-US" sz="1100" baseline="0"/>
                <a:t> </a:t>
              </a:r>
              <a:r>
                <a:rPr lang="en-US" sz="1100"/>
                <a:t>There</a:t>
              </a:r>
              <a:r>
                <a:rPr lang="en-US" sz="1100" baseline="0"/>
                <a:t> are no zero values for the allowable increase or decrease</a:t>
              </a:r>
            </a:p>
            <a:p>
              <a:endParaRPr lang="en-US" sz="1100"/>
            </a:p>
            <a:p>
              <a:r>
                <a:rPr lang="en-US" sz="1100"/>
                <a:t>5. Is the optimal solution unique? If not, identify an alternate optimal solution for the problem.</a:t>
              </a: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A: </a:t>
              </a:r>
              <a:r>
                <a:rPr lang="en-US" sz="1100"/>
                <a:t>No,</a:t>
              </a:r>
              <a:r>
                <a:rPr lang="en-US" sz="1100" baseline="0"/>
                <a:t> </a:t>
              </a:r>
              <a:r>
                <a:rPr lang="en-US" sz="1100"/>
                <a:t>There</a:t>
              </a:r>
              <a:r>
                <a:rPr lang="en-US" sz="1100" baseline="0"/>
                <a:t> are multiple optimal solutions for the problem</a:t>
              </a:r>
            </a:p>
            <a:p>
              <a:endParaRPr lang="en-US" sz="1100"/>
            </a:p>
            <a:p>
              <a:r>
                <a:rPr lang="en-US" sz="1100"/>
                <a:t>6.  How would the solution change if the plant in Clermont is forced to shut for one day resulting in a loss of four tons of production capacity?</a:t>
              </a:r>
            </a:p>
            <a:p>
              <a:r>
                <a:rPr lang="en-US" sz="1100" b="1" baseline="0">
                  <a:solidFill>
                    <a:schemeClr val="dk1"/>
                  </a:solidFill>
                  <a:effectLst/>
                  <a:latin typeface="+mn-lt"/>
                  <a:ea typeface="+mn-ea"/>
                  <a:cs typeface="+mn-cs"/>
                </a:rPr>
                <a:t>A: </a:t>
              </a:r>
              <a:r>
                <a:rPr lang="en-US" sz="1100" b="0" baseline="0">
                  <a:solidFill>
                    <a:schemeClr val="dk1"/>
                  </a:solidFill>
                  <a:effectLst/>
                  <a:latin typeface="+mn-lt"/>
                  <a:ea typeface="+mn-ea"/>
                  <a:cs typeface="+mn-cs"/>
                </a:rPr>
                <a:t> There would be no change since the allowable decrease is 5 tons for the clermont plant</a:t>
              </a:r>
              <a:endParaRPr lang="en-US" sz="1100" b="1" baseline="0">
                <a:solidFill>
                  <a:schemeClr val="dk1"/>
                </a:solidFill>
                <a:effectLst/>
                <a:latin typeface="+mn-lt"/>
                <a:ea typeface="+mn-ea"/>
                <a:cs typeface="+mn-cs"/>
              </a:endParaRPr>
            </a:p>
            <a:p>
              <a:endParaRPr lang="en-US" sz="1100"/>
            </a:p>
            <a:p>
              <a:r>
                <a:rPr lang="en-US" sz="1100"/>
                <a:t>7.  What would the optimal objective function value be if the processing capacity in Eustis was reduced by five tons?</a:t>
              </a:r>
              <a:br>
                <a:rPr lang="en-US" sz="1100"/>
              </a:br>
              <a:r>
                <a:rPr lang="en-US" sz="1100" b="1" baseline="0">
                  <a:solidFill>
                    <a:schemeClr val="dk1"/>
                  </a:solidFill>
                  <a:effectLst/>
                  <a:latin typeface="+mn-lt"/>
                  <a:ea typeface="+mn-ea"/>
                  <a:cs typeface="+mn-cs"/>
                </a:rPr>
                <a:t>A:</a:t>
              </a:r>
              <a:r>
                <a:rPr lang="en-US" sz="1100" b="0" baseline="0">
                  <a:solidFill>
                    <a:schemeClr val="dk1"/>
                  </a:solidFill>
                  <a:effectLst/>
                  <a:latin typeface="+mn-lt"/>
                  <a:ea typeface="+mn-ea"/>
                  <a:cs typeface="+mn-cs"/>
                </a:rPr>
                <a:t>Therte would be a chnage of -100$ since the the shadow price is -20$ on each reduced 10. Hence, if we reduce the production by 5 Tons we reduce the profit by 5*-20=-100$</a:t>
              </a:r>
              <a:endParaRPr lang="en-US" sz="1100" b="1" baseline="0">
                <a:solidFill>
                  <a:schemeClr val="dk1"/>
                </a:solidFill>
                <a:effectLst/>
                <a:latin typeface="+mn-lt"/>
                <a:ea typeface="+mn-ea"/>
                <a:cs typeface="+mn-cs"/>
              </a:endParaRPr>
            </a:p>
            <a:p>
              <a:endParaRPr lang="en-US" sz="1100"/>
            </a:p>
            <a:p>
              <a:pPr marL="0" marR="0" lvl="0" indent="0" defTabSz="914400" eaLnBrk="1" fontAlgn="auto" latinLnBrk="0" hangingPunct="1">
                <a:lnSpc>
                  <a:spcPct val="100000"/>
                </a:lnSpc>
                <a:spcBef>
                  <a:spcPts val="0"/>
                </a:spcBef>
                <a:spcAft>
                  <a:spcPts val="0"/>
                </a:spcAft>
                <a:buClrTx/>
                <a:buSzTx/>
                <a:buFontTx/>
                <a:buNone/>
                <a:tabLst/>
                <a:defRPr/>
              </a:pPr>
              <a:r>
                <a:rPr lang="en-US" sz="1100"/>
                <a:t>8.   Interpret the reduced cost for shipping from Eustis to Miami.</a:t>
              </a:r>
              <a:br>
                <a:rPr lang="en-US" sz="1100"/>
              </a:br>
              <a:r>
                <a:rPr lang="en-US" sz="1100" b="1" baseline="0">
                  <a:solidFill>
                    <a:schemeClr val="dk1"/>
                  </a:solidFill>
                  <a:effectLst/>
                  <a:latin typeface="+mn-lt"/>
                  <a:ea typeface="+mn-ea"/>
                  <a:cs typeface="+mn-cs"/>
                </a:rPr>
                <a:t>A:  </a:t>
              </a:r>
              <a:r>
                <a:rPr lang="en-US" sz="1100" b="0" baseline="0">
                  <a:solidFill>
                    <a:schemeClr val="dk1"/>
                  </a:solidFill>
                  <a:effectLst/>
                  <a:latin typeface="+mn-lt"/>
                  <a:ea typeface="+mn-ea"/>
                  <a:cs typeface="+mn-cs"/>
                </a:rPr>
                <a:t>If we were to ship 1 ton from Eustis to Miami we would have an increase in cost by 50$</a:t>
              </a:r>
              <a:endParaRPr lang="en-US" sz="1100" b="0"/>
            </a:p>
          </xdr:txBody>
        </xdr:sp>
      </mc:Choice>
      <mc:Fallback xmlns="">
        <xdr:sp macro="" textlink="">
          <xdr:nvSpPr>
            <xdr:cNvPr id="2" name="TextBox 1">
              <a:extLst>
                <a:ext uri="{FF2B5EF4-FFF2-40B4-BE49-F238E27FC236}">
                  <a16:creationId xmlns:a16="http://schemas.microsoft.com/office/drawing/2014/main" id="{6DB608C8-463C-85E7-3200-46F96C387DCD}"/>
                </a:ext>
              </a:extLst>
            </xdr:cNvPr>
            <xdr:cNvSpPr txBox="1"/>
          </xdr:nvSpPr>
          <xdr:spPr>
            <a:xfrm>
              <a:off x="4010256" y="57148"/>
              <a:ext cx="5823989" cy="83654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CitruSun Corporation ships frozen orange juice concentrate from processing plants in Eustis and Clermont to distributors in Miami, Orlando, and Tallahassee. Each plant can produce 20 tons of concentrate each week. The company has just received orders of 10 tons from Miami for the coming week, 15 tons for Orlando, and 10 tons for Tallahassee. The cost per ton for supplying each of the distributors from each of the processing plants is shown in the following table.</a:t>
              </a:r>
            </a:p>
            <a:p>
              <a:r>
                <a:rPr lang="en-US" sz="1100"/>
                <a:t>The company wants to determine the least costly plan for filling their orders for the coming week.</a:t>
              </a:r>
              <a:br>
                <a:rPr lang="en-US" sz="1100"/>
              </a:br>
              <a:r>
                <a:rPr lang="en-US" sz="1100" b="1"/>
                <a:t>1. Formulate an LP model for this problem.</a:t>
              </a:r>
              <a:br>
                <a:rPr lang="en-US" sz="1100"/>
              </a:br>
              <a:r>
                <a:rPr lang="en-US" sz="1100" b="0" i="0">
                  <a:solidFill>
                    <a:schemeClr val="dk1"/>
                  </a:solidFill>
                  <a:effectLst/>
                  <a:latin typeface="+mn-lt"/>
                  <a:ea typeface="+mn-ea"/>
                  <a:cs typeface="+mn-cs"/>
                </a:rPr>
                <a:t>Decision variables</a:t>
              </a:r>
            </a:p>
            <a:p>
              <a:r>
                <a:rPr lang="en-US" sz="1100" b="0" i="0">
                  <a:solidFill>
                    <a:schemeClr val="dk1"/>
                  </a:solidFill>
                  <a:effectLst/>
                  <a:latin typeface="+mn-lt"/>
                  <a:ea typeface="+mn-ea"/>
                  <a:cs typeface="+mn-cs"/>
                </a:rPr>
                <a:t>Let </a:t>
              </a:r>
              <a:r>
                <a:rPr lang="ar-AE" sz="1100" i="0">
                  <a:solidFill>
                    <a:schemeClr val="dk1"/>
                  </a:solidFill>
                  <a:latin typeface="Cambria Math" panose="02040503050406030204" pitchFamily="18" charset="0"/>
                  <a:ea typeface="+mn-ea"/>
                  <a:cs typeface="+mn-cs"/>
                </a:rPr>
                <a:t>𝑥_𝐸𝑀,𝑥_𝐸𝑂,𝑥_𝐸𝑇≥0</a:t>
              </a:r>
              <a:r>
                <a:rPr lang="ar-AE" sz="1100" b="0" i="0">
                  <a:solidFill>
                    <a:schemeClr val="dk1"/>
                  </a:solidFill>
                  <a:effectLst/>
                  <a:latin typeface="+mn-lt"/>
                  <a:ea typeface="+mn-ea"/>
                  <a:cs typeface="+mn-cs"/>
                </a:rPr>
                <a:t> </a:t>
              </a:r>
              <a:r>
                <a:rPr lang="en-US" sz="1100" b="0" i="0">
                  <a:solidFill>
                    <a:schemeClr val="dk1"/>
                  </a:solidFill>
                  <a:effectLst/>
                  <a:latin typeface="+mn-lt"/>
                  <a:ea typeface="+mn-ea"/>
                  <a:cs typeface="+mn-cs"/>
                </a:rPr>
                <a:t>be tons shipped from Eustis to Miami, Orlando, and Tallahassee, respectively.</a:t>
              </a:r>
            </a:p>
            <a:p>
              <a:r>
                <a:rPr lang="en-US" sz="1100" b="0" i="0">
                  <a:solidFill>
                    <a:schemeClr val="dk1"/>
                  </a:solidFill>
                  <a:effectLst/>
                  <a:latin typeface="+mn-lt"/>
                  <a:ea typeface="+mn-ea"/>
                  <a:cs typeface="+mn-cs"/>
                </a:rPr>
                <a:t>Let </a:t>
              </a:r>
              <a:r>
                <a:rPr lang="ar-AE" sz="1100" i="0">
                  <a:solidFill>
                    <a:schemeClr val="dk1"/>
                  </a:solidFill>
                  <a:latin typeface="Cambria Math" panose="02040503050406030204" pitchFamily="18" charset="0"/>
                  <a:ea typeface="+mn-ea"/>
                  <a:cs typeface="+mn-cs"/>
                </a:rPr>
                <a:t>𝑥_𝐶𝑀,𝑥_𝐶𝑂,𝑥_𝐶𝑇≥0</a:t>
              </a:r>
              <a:r>
                <a:rPr lang="ar-AE" sz="1100" b="0" i="0">
                  <a:solidFill>
                    <a:schemeClr val="dk1"/>
                  </a:solidFill>
                  <a:effectLst/>
                  <a:latin typeface="+mn-lt"/>
                  <a:ea typeface="+mn-ea"/>
                  <a:cs typeface="+mn-cs"/>
                </a:rPr>
                <a:t> </a:t>
              </a:r>
              <a:r>
                <a:rPr lang="en-US" sz="1100" b="0" i="0">
                  <a:solidFill>
                    <a:schemeClr val="dk1"/>
                  </a:solidFill>
                  <a:effectLst/>
                  <a:latin typeface="+mn-lt"/>
                  <a:ea typeface="+mn-ea"/>
                  <a:cs typeface="+mn-cs"/>
                </a:rPr>
                <a:t>be tons shipped from Clermont to Miami, Orlando, and Tallahassee, respectively.</a:t>
              </a:r>
            </a:p>
            <a:p>
              <a:r>
                <a:rPr lang="en-US" sz="1100" b="0" i="0">
                  <a:solidFill>
                    <a:schemeClr val="dk1"/>
                  </a:solidFill>
                  <a:effectLst/>
                  <a:latin typeface="+mn-lt"/>
                  <a:ea typeface="+mn-ea"/>
                  <a:cs typeface="+mn-cs"/>
                </a:rPr>
                <a:t>Objective (minimize cost)</a:t>
              </a:r>
            </a:p>
            <a:p>
              <a:r>
                <a:rPr lang="en-US" sz="1100" b="0" i="0">
                  <a:solidFill>
                    <a:schemeClr val="dk1"/>
                  </a:solidFill>
                  <a:effectLst/>
                  <a:latin typeface="+mn-lt"/>
                  <a:ea typeface="+mn-ea"/>
                  <a:cs typeface="+mn-cs"/>
                </a:rPr>
                <a:t>Minimize </a:t>
              </a:r>
              <a:r>
                <a:rPr lang="en-US" sz="1100" i="0">
                  <a:solidFill>
                    <a:schemeClr val="dk1"/>
                  </a:solidFill>
                  <a:latin typeface="Cambria Math" panose="02040503050406030204" pitchFamily="18" charset="0"/>
                  <a:ea typeface="+mn-ea"/>
                  <a:cs typeface="+mn-cs"/>
                </a:rPr>
                <a:t>𝑍=</a:t>
              </a:r>
              <a:r>
                <a:rPr lang="ar-AE" sz="1100" i="0">
                  <a:solidFill>
                    <a:schemeClr val="dk1"/>
                  </a:solidFill>
                  <a:latin typeface="Cambria Math" panose="02040503050406030204" pitchFamily="18" charset="0"/>
                  <a:ea typeface="+mn-ea"/>
                  <a:cs typeface="+mn-cs"/>
                </a:rPr>
                <a:t>𝑐_𝐸𝑀 𝑥_𝐸𝑀+𝑐_𝐸𝑂 𝑥_𝐸𝑂+𝑐_𝐸𝑇 𝑥_𝐸𝑇+𝑐_𝐶𝑀 𝑥_𝐶𝑀+𝑐_𝐶𝑂 𝑥_𝐶𝑂+𝑐_𝐶𝑇 𝑥_𝐶𝑇</a:t>
              </a:r>
              <a:r>
                <a:rPr lang="ar-AE" sz="1100" b="0" i="0">
                  <a:solidFill>
                    <a:schemeClr val="dk1"/>
                  </a:solidFill>
                  <a:effectLst/>
                  <a:latin typeface="+mn-lt"/>
                  <a:ea typeface="+mn-ea"/>
                  <a:cs typeface="+mn-cs"/>
                </a:rPr>
                <a:t>, </a:t>
              </a:r>
              <a:r>
                <a:rPr lang="en-US" sz="1100" b="0" i="0">
                  <a:solidFill>
                    <a:schemeClr val="dk1"/>
                  </a:solidFill>
                  <a:effectLst/>
                  <a:latin typeface="+mn-lt"/>
                  <a:ea typeface="+mn-ea"/>
                  <a:cs typeface="+mn-cs"/>
                </a:rPr>
                <a:t>where </a:t>
              </a:r>
              <a:r>
                <a:rPr lang="ar-AE" sz="1100" i="0">
                  <a:solidFill>
                    <a:schemeClr val="dk1"/>
                  </a:solidFill>
                  <a:latin typeface="Cambria Math" panose="02040503050406030204" pitchFamily="18" charset="0"/>
                  <a:ea typeface="+mn-ea"/>
                  <a:cs typeface="+mn-cs"/>
                </a:rPr>
                <a:t>𝑐_𝑖𝑗</a:t>
              </a:r>
              <a:r>
                <a:rPr lang="ar-AE" sz="1100" b="0" i="0">
                  <a:solidFill>
                    <a:schemeClr val="dk1"/>
                  </a:solidFill>
                  <a:effectLst/>
                  <a:latin typeface="+mn-lt"/>
                  <a:ea typeface="+mn-ea"/>
                  <a:cs typeface="+mn-cs"/>
                </a:rPr>
                <a:t> </a:t>
              </a:r>
              <a:r>
                <a:rPr lang="en-US" sz="1100" b="0" i="0">
                  <a:solidFill>
                    <a:schemeClr val="dk1"/>
                  </a:solidFill>
                  <a:effectLst/>
                  <a:latin typeface="+mn-lt"/>
                  <a:ea typeface="+mn-ea"/>
                  <a:cs typeface="+mn-cs"/>
                </a:rPr>
                <a:t>are the given costs per ton from the table to be substituted in the coefficients.</a:t>
              </a:r>
            </a:p>
            <a:p>
              <a:r>
                <a:rPr lang="en-US" sz="1100" b="0" i="0">
                  <a:solidFill>
                    <a:schemeClr val="dk1"/>
                  </a:solidFill>
                  <a:effectLst/>
                  <a:latin typeface="+mn-lt"/>
                  <a:ea typeface="+mn-ea"/>
                  <a:cs typeface="+mn-cs"/>
                </a:rPr>
                <a:t>Supply constraints</a:t>
              </a:r>
            </a:p>
            <a:p>
              <a:r>
                <a:rPr lang="en-US" sz="1100" b="0" i="0">
                  <a:solidFill>
                    <a:schemeClr val="dk1"/>
                  </a:solidFill>
                  <a:effectLst/>
                  <a:latin typeface="+mn-lt"/>
                  <a:ea typeface="+mn-ea"/>
                  <a:cs typeface="+mn-cs"/>
                </a:rPr>
                <a:t>Eustis capacity: </a:t>
              </a:r>
              <a:r>
                <a:rPr lang="ar-AE" sz="1100" i="0">
                  <a:solidFill>
                    <a:schemeClr val="dk1"/>
                  </a:solidFill>
                  <a:latin typeface="Cambria Math" panose="02040503050406030204" pitchFamily="18" charset="0"/>
                  <a:ea typeface="+mn-ea"/>
                  <a:cs typeface="+mn-cs"/>
                </a:rPr>
                <a:t>𝑥_𝐸𝑀+𝑥_𝐸𝑂+𝑥_𝐸𝑇≤20</a:t>
              </a:r>
              <a:r>
                <a:rPr lang="ar-AE" sz="1100" b="0" i="0">
                  <a:solidFill>
                    <a:schemeClr val="dk1"/>
                  </a:solidFill>
                  <a:effectLst/>
                  <a:latin typeface="+mn-lt"/>
                  <a:ea typeface="+mn-ea"/>
                  <a:cs typeface="+mn-cs"/>
                </a:rPr>
                <a:t>.</a:t>
              </a:r>
            </a:p>
            <a:p>
              <a:r>
                <a:rPr lang="en-US" sz="1100" b="0" i="0">
                  <a:solidFill>
                    <a:schemeClr val="dk1"/>
                  </a:solidFill>
                  <a:effectLst/>
                  <a:latin typeface="+mn-lt"/>
                  <a:ea typeface="+mn-ea"/>
                  <a:cs typeface="+mn-cs"/>
                </a:rPr>
                <a:t>Clermont capacity: </a:t>
              </a:r>
              <a:r>
                <a:rPr lang="ar-AE" sz="1100" i="0">
                  <a:solidFill>
                    <a:schemeClr val="dk1"/>
                  </a:solidFill>
                  <a:latin typeface="Cambria Math" panose="02040503050406030204" pitchFamily="18" charset="0"/>
                  <a:ea typeface="+mn-ea"/>
                  <a:cs typeface="+mn-cs"/>
                </a:rPr>
                <a:t>𝑥_𝐶𝑀+𝑥_𝐶𝑂+𝑥_𝐶𝑇≤20</a:t>
              </a:r>
              <a:r>
                <a:rPr lang="ar-AE" sz="1100" b="0" i="0">
                  <a:solidFill>
                    <a:schemeClr val="dk1"/>
                  </a:solidFill>
                  <a:effectLst/>
                  <a:latin typeface="+mn-lt"/>
                  <a:ea typeface="+mn-ea"/>
                  <a:cs typeface="+mn-cs"/>
                </a:rPr>
                <a:t>.</a:t>
              </a:r>
            </a:p>
            <a:p>
              <a:r>
                <a:rPr lang="en-US" sz="1100" b="0" i="0">
                  <a:solidFill>
                    <a:schemeClr val="dk1"/>
                  </a:solidFill>
                  <a:effectLst/>
                  <a:latin typeface="+mn-lt"/>
                  <a:ea typeface="+mn-ea"/>
                  <a:cs typeface="+mn-cs"/>
                </a:rPr>
                <a:t>Demand constraints</a:t>
              </a:r>
            </a:p>
            <a:p>
              <a:r>
                <a:rPr lang="en-US" sz="1100" b="0" i="0">
                  <a:solidFill>
                    <a:schemeClr val="dk1"/>
                  </a:solidFill>
                  <a:effectLst/>
                  <a:latin typeface="+mn-lt"/>
                  <a:ea typeface="+mn-ea"/>
                  <a:cs typeface="+mn-cs"/>
                </a:rPr>
                <a:t>Miami demand: </a:t>
              </a:r>
              <a:r>
                <a:rPr lang="ar-AE" sz="1100" i="0">
                  <a:solidFill>
                    <a:schemeClr val="dk1"/>
                  </a:solidFill>
                  <a:latin typeface="Cambria Math" panose="02040503050406030204" pitchFamily="18" charset="0"/>
                  <a:ea typeface="+mn-ea"/>
                  <a:cs typeface="+mn-cs"/>
                </a:rPr>
                <a:t>𝑥_𝐸𝑀+𝑥_𝐶𝑀=10</a:t>
              </a:r>
              <a:r>
                <a:rPr lang="ar-AE" sz="1100" b="0" i="0">
                  <a:solidFill>
                    <a:schemeClr val="dk1"/>
                  </a:solidFill>
                  <a:effectLst/>
                  <a:latin typeface="+mn-lt"/>
                  <a:ea typeface="+mn-ea"/>
                  <a:cs typeface="+mn-cs"/>
                </a:rPr>
                <a:t>.</a:t>
              </a:r>
            </a:p>
            <a:p>
              <a:r>
                <a:rPr lang="en-US" sz="1100" b="0" i="0">
                  <a:solidFill>
                    <a:schemeClr val="dk1"/>
                  </a:solidFill>
                  <a:effectLst/>
                  <a:latin typeface="+mn-lt"/>
                  <a:ea typeface="+mn-ea"/>
                  <a:cs typeface="+mn-cs"/>
                </a:rPr>
                <a:t>Orlando demand: </a:t>
              </a:r>
              <a:r>
                <a:rPr lang="ar-AE" sz="1100" i="0">
                  <a:solidFill>
                    <a:schemeClr val="dk1"/>
                  </a:solidFill>
                  <a:latin typeface="Cambria Math" panose="02040503050406030204" pitchFamily="18" charset="0"/>
                  <a:ea typeface="+mn-ea"/>
                  <a:cs typeface="+mn-cs"/>
                </a:rPr>
                <a:t>𝑥_𝐸𝑂+𝑥_𝐶𝑂=15</a:t>
              </a:r>
              <a:r>
                <a:rPr lang="ar-AE" sz="1100" b="0" i="0">
                  <a:solidFill>
                    <a:schemeClr val="dk1"/>
                  </a:solidFill>
                  <a:effectLst/>
                  <a:latin typeface="+mn-lt"/>
                  <a:ea typeface="+mn-ea"/>
                  <a:cs typeface="+mn-cs"/>
                </a:rPr>
                <a:t>.</a:t>
              </a:r>
            </a:p>
            <a:p>
              <a:r>
                <a:rPr lang="en-US" sz="1100" b="0" i="0">
                  <a:solidFill>
                    <a:schemeClr val="dk1"/>
                  </a:solidFill>
                  <a:effectLst/>
                  <a:latin typeface="+mn-lt"/>
                  <a:ea typeface="+mn-ea"/>
                  <a:cs typeface="+mn-cs"/>
                </a:rPr>
                <a:t>Tallahassee demand: </a:t>
              </a:r>
              <a:r>
                <a:rPr lang="ar-AE" sz="1100" i="0">
                  <a:solidFill>
                    <a:schemeClr val="dk1"/>
                  </a:solidFill>
                  <a:latin typeface="Cambria Math" panose="02040503050406030204" pitchFamily="18" charset="0"/>
                  <a:ea typeface="+mn-ea"/>
                  <a:cs typeface="+mn-cs"/>
                </a:rPr>
                <a:t>𝑥_𝐸𝑇+𝑥_𝐶𝑇=10</a:t>
              </a:r>
              <a:r>
                <a:rPr lang="ar-AE" sz="1100" b="0" i="0">
                  <a:solidFill>
                    <a:schemeClr val="dk1"/>
                  </a:solidFill>
                  <a:effectLst/>
                  <a:latin typeface="+mn-lt"/>
                  <a:ea typeface="+mn-ea"/>
                  <a:cs typeface="+mn-cs"/>
                </a:rPr>
                <a:t>.</a:t>
              </a:r>
            </a:p>
            <a:p>
              <a:r>
                <a:rPr lang="en-US" sz="1100"/>
                <a:t>2. Implement the model in a spreadsheet and solve it.</a:t>
              </a:r>
            </a:p>
            <a:p>
              <a:endParaRPr lang="en-US" sz="1100"/>
            </a:p>
            <a:p>
              <a:r>
                <a:rPr lang="en-US" sz="1100"/>
                <a:t>3. What is the optimal solution?</a:t>
              </a:r>
              <a:br>
                <a:rPr lang="en-US" sz="1100"/>
              </a:br>
              <a:r>
                <a:rPr lang="en-US" sz="1100"/>
                <a:t>$8600 </a:t>
              </a:r>
            </a:p>
            <a:p>
              <a:endParaRPr lang="en-US" sz="1100"/>
            </a:p>
            <a:p>
              <a:r>
                <a:rPr lang="en-US" sz="1100"/>
                <a:t>4.  Is the optimal solution degenerate?</a:t>
              </a:r>
            </a:p>
            <a:p>
              <a:r>
                <a:rPr lang="en-US" sz="1100" b="1" baseline="0">
                  <a:solidFill>
                    <a:schemeClr val="dk1"/>
                  </a:solidFill>
                  <a:effectLst/>
                  <a:latin typeface="+mn-lt"/>
                  <a:ea typeface="+mn-ea"/>
                  <a:cs typeface="+mn-cs"/>
                </a:rPr>
                <a:t>A: </a:t>
              </a:r>
              <a:r>
                <a:rPr lang="en-US" sz="1100"/>
                <a:t>No,</a:t>
              </a:r>
              <a:r>
                <a:rPr lang="en-US" sz="1100" baseline="0"/>
                <a:t> </a:t>
              </a:r>
              <a:r>
                <a:rPr lang="en-US" sz="1100"/>
                <a:t>There</a:t>
              </a:r>
              <a:r>
                <a:rPr lang="en-US" sz="1100" baseline="0"/>
                <a:t> are no zero values for the allowable increase or decrease</a:t>
              </a:r>
            </a:p>
            <a:p>
              <a:endParaRPr lang="en-US" sz="1100"/>
            </a:p>
            <a:p>
              <a:r>
                <a:rPr lang="en-US" sz="1100"/>
                <a:t>5. Is the optimal solution unique? If not, identify an alternate optimal solution for the problem.</a:t>
              </a: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A: </a:t>
              </a:r>
              <a:r>
                <a:rPr lang="en-US" sz="1100"/>
                <a:t>No,</a:t>
              </a:r>
              <a:r>
                <a:rPr lang="en-US" sz="1100" baseline="0"/>
                <a:t> </a:t>
              </a:r>
              <a:r>
                <a:rPr lang="en-US" sz="1100"/>
                <a:t>There</a:t>
              </a:r>
              <a:r>
                <a:rPr lang="en-US" sz="1100" baseline="0"/>
                <a:t> are multiple optimal solutions for the problem</a:t>
              </a:r>
            </a:p>
            <a:p>
              <a:endParaRPr lang="en-US" sz="1100"/>
            </a:p>
            <a:p>
              <a:r>
                <a:rPr lang="en-US" sz="1100"/>
                <a:t>6.  How would the solution change if the plant in Clermont is forced to shut for one day resulting in a loss of four tons of production capacity?</a:t>
              </a:r>
            </a:p>
            <a:p>
              <a:r>
                <a:rPr lang="en-US" sz="1100" b="1" baseline="0">
                  <a:solidFill>
                    <a:schemeClr val="dk1"/>
                  </a:solidFill>
                  <a:effectLst/>
                  <a:latin typeface="+mn-lt"/>
                  <a:ea typeface="+mn-ea"/>
                  <a:cs typeface="+mn-cs"/>
                </a:rPr>
                <a:t>A: </a:t>
              </a:r>
              <a:r>
                <a:rPr lang="en-US" sz="1100" b="0" baseline="0">
                  <a:solidFill>
                    <a:schemeClr val="dk1"/>
                  </a:solidFill>
                  <a:effectLst/>
                  <a:latin typeface="+mn-lt"/>
                  <a:ea typeface="+mn-ea"/>
                  <a:cs typeface="+mn-cs"/>
                </a:rPr>
                <a:t> There would be no change since the allowable decrease is 5 tons for the clermont plant</a:t>
              </a:r>
              <a:endParaRPr lang="en-US" sz="1100" b="1" baseline="0">
                <a:solidFill>
                  <a:schemeClr val="dk1"/>
                </a:solidFill>
                <a:effectLst/>
                <a:latin typeface="+mn-lt"/>
                <a:ea typeface="+mn-ea"/>
                <a:cs typeface="+mn-cs"/>
              </a:endParaRPr>
            </a:p>
            <a:p>
              <a:endParaRPr lang="en-US" sz="1100"/>
            </a:p>
            <a:p>
              <a:r>
                <a:rPr lang="en-US" sz="1100"/>
                <a:t>7.  What would the optimal objective function value be if the processing capacity in Eustis was reduced by five tons?</a:t>
              </a:r>
              <a:br>
                <a:rPr lang="en-US" sz="1100"/>
              </a:br>
              <a:r>
                <a:rPr lang="en-US" sz="1100" b="1" baseline="0">
                  <a:solidFill>
                    <a:schemeClr val="dk1"/>
                  </a:solidFill>
                  <a:effectLst/>
                  <a:latin typeface="+mn-lt"/>
                  <a:ea typeface="+mn-ea"/>
                  <a:cs typeface="+mn-cs"/>
                </a:rPr>
                <a:t>A:</a:t>
              </a:r>
              <a:r>
                <a:rPr lang="en-US" sz="1100" b="0" baseline="0">
                  <a:solidFill>
                    <a:schemeClr val="dk1"/>
                  </a:solidFill>
                  <a:effectLst/>
                  <a:latin typeface="+mn-lt"/>
                  <a:ea typeface="+mn-ea"/>
                  <a:cs typeface="+mn-cs"/>
                </a:rPr>
                <a:t>Therte would be a chnage of -100$ since the the shadow price is -20$ on each reduced 10. Hence, if we reduce the production by 5 Tons we reduce the profit by 5*-20=-100$</a:t>
              </a:r>
              <a:endParaRPr lang="en-US" sz="1100" b="1" baseline="0">
                <a:solidFill>
                  <a:schemeClr val="dk1"/>
                </a:solidFill>
                <a:effectLst/>
                <a:latin typeface="+mn-lt"/>
                <a:ea typeface="+mn-ea"/>
                <a:cs typeface="+mn-cs"/>
              </a:endParaRPr>
            </a:p>
            <a:p>
              <a:endParaRPr lang="en-US" sz="1100"/>
            </a:p>
            <a:p>
              <a:pPr marL="0" marR="0" lvl="0" indent="0" defTabSz="914400" eaLnBrk="1" fontAlgn="auto" latinLnBrk="0" hangingPunct="1">
                <a:lnSpc>
                  <a:spcPct val="100000"/>
                </a:lnSpc>
                <a:spcBef>
                  <a:spcPts val="0"/>
                </a:spcBef>
                <a:spcAft>
                  <a:spcPts val="0"/>
                </a:spcAft>
                <a:buClrTx/>
                <a:buSzTx/>
                <a:buFontTx/>
                <a:buNone/>
                <a:tabLst/>
                <a:defRPr/>
              </a:pPr>
              <a:r>
                <a:rPr lang="en-US" sz="1100"/>
                <a:t>8.   Interpret the reduced cost for shipping from Eustis to Miami.</a:t>
              </a:r>
              <a:br>
                <a:rPr lang="en-US" sz="1100"/>
              </a:br>
              <a:r>
                <a:rPr lang="en-US" sz="1100" b="1" baseline="0">
                  <a:solidFill>
                    <a:schemeClr val="dk1"/>
                  </a:solidFill>
                  <a:effectLst/>
                  <a:latin typeface="+mn-lt"/>
                  <a:ea typeface="+mn-ea"/>
                  <a:cs typeface="+mn-cs"/>
                </a:rPr>
                <a:t>A:  </a:t>
              </a:r>
              <a:r>
                <a:rPr lang="en-US" sz="1100" b="0" baseline="0">
                  <a:solidFill>
                    <a:schemeClr val="dk1"/>
                  </a:solidFill>
                  <a:effectLst/>
                  <a:latin typeface="+mn-lt"/>
                  <a:ea typeface="+mn-ea"/>
                  <a:cs typeface="+mn-cs"/>
                </a:rPr>
                <a:t>If we were to ship 1 ton from Eustis to Miami we would have an increase in cost by 50$</a:t>
              </a:r>
              <a:endParaRPr lang="en-US" sz="1100" b="0"/>
            </a:p>
          </xdr:txBody>
        </xdr:sp>
      </mc:Fallback>
    </mc:AlternateContent>
    <xdr:clientData/>
  </xdr:twoCellAnchor>
  <xdr:twoCellAnchor>
    <xdr:from>
      <xdr:col>0</xdr:col>
      <xdr:colOff>295275</xdr:colOff>
      <xdr:row>0</xdr:row>
      <xdr:rowOff>76200</xdr:rowOff>
    </xdr:from>
    <xdr:to>
      <xdr:col>3</xdr:col>
      <xdr:colOff>514350</xdr:colOff>
      <xdr:row>1</xdr:row>
      <xdr:rowOff>95250</xdr:rowOff>
    </xdr:to>
    <xdr:sp macro="" textlink="">
      <xdr:nvSpPr>
        <xdr:cNvPr id="3" name="Text 1">
          <a:extLst>
            <a:ext uri="{FF2B5EF4-FFF2-40B4-BE49-F238E27FC236}">
              <a16:creationId xmlns:a16="http://schemas.microsoft.com/office/drawing/2014/main" id="{089B680A-AB31-42B0-AEEF-2E3A7161AC12}"/>
            </a:ext>
          </a:extLst>
        </xdr:cNvPr>
        <xdr:cNvSpPr>
          <a:spLocks noChangeArrowheads="1"/>
        </xdr:cNvSpPr>
      </xdr:nvSpPr>
      <xdr:spPr bwMode="auto">
        <a:xfrm>
          <a:off x="295275" y="76200"/>
          <a:ext cx="2047875" cy="209550"/>
        </a:xfrm>
        <a:prstGeom prst="roundRect">
          <a:avLst>
            <a:gd name="adj" fmla="val 16667"/>
          </a:avLst>
        </a:prstGeom>
        <a:solidFill>
          <a:srgbClr xmlns:mc="http://schemas.openxmlformats.org/markup-compatibility/2006" xmlns:a14="http://schemas.microsoft.com/office/drawing/2010/main" val="00FFFF" mc:Ignorable="a14" a14:legacySpreadsheetColorIndex="15"/>
        </a:solidFill>
        <a:ln w="1">
          <a:solidFill>
            <a:srgbClr xmlns:mc="http://schemas.openxmlformats.org/markup-compatibility/2006" xmlns:a14="http://schemas.microsoft.com/office/drawing/2010/main" val="000000" mc:Ignorable="a14" a14:legacySpreadsheetColorIndex="8"/>
          </a:solidFill>
          <a:round/>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27432" bIns="22860" anchor="ctr" upright="1"/>
        <a:lstStyle/>
        <a:p>
          <a:pPr algn="ctr" rtl="0">
            <a:defRPr sz="1000"/>
          </a:pPr>
          <a:r>
            <a:rPr lang="en-US" sz="1000" b="1" i="0" u="none" strike="noStrike" baseline="0">
              <a:solidFill>
                <a:srgbClr val="000000"/>
              </a:solidFill>
              <a:latin typeface="Arial"/>
              <a:cs typeface="Arial"/>
            </a:rPr>
            <a:t>CitruSun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9525</xdr:colOff>
      <xdr:row>0</xdr:row>
      <xdr:rowOff>95250</xdr:rowOff>
    </xdr:from>
    <xdr:to>
      <xdr:col>17</xdr:col>
      <xdr:colOff>238125</xdr:colOff>
      <xdr:row>23</xdr:row>
      <xdr:rowOff>76200</xdr:rowOff>
    </xdr:to>
    <xdr:sp macro="" textlink="">
      <xdr:nvSpPr>
        <xdr:cNvPr id="2" name="TextBox 1">
          <a:extLst>
            <a:ext uri="{FF2B5EF4-FFF2-40B4-BE49-F238E27FC236}">
              <a16:creationId xmlns:a16="http://schemas.microsoft.com/office/drawing/2014/main" id="{2D347EA6-5E39-9F4C-E137-A49355196CF3}"/>
            </a:ext>
          </a:extLst>
        </xdr:cNvPr>
        <xdr:cNvSpPr txBox="1"/>
      </xdr:nvSpPr>
      <xdr:spPr>
        <a:xfrm>
          <a:off x="4048125" y="95250"/>
          <a:ext cx="7632700" cy="4362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#3  Implement the following LP model in a spreadsheet. Use Solver to solve the problem and create a Sensitivity Report. Use this information to answer the following questions:</a:t>
          </a:r>
        </a:p>
        <a:p>
          <a:endParaRPr lang="en-US" sz="1100"/>
        </a:p>
        <a:p>
          <a:r>
            <a:rPr lang="en-US" sz="1100"/>
            <a:t>MIN 5X1 + 3X2 +4X3</a:t>
          </a:r>
          <a:br>
            <a:rPr lang="en-US" sz="1100"/>
          </a:br>
          <a:r>
            <a:rPr lang="en-US" sz="1100"/>
            <a:t>ST </a:t>
          </a:r>
          <a:br>
            <a:rPr lang="en-US" sz="1100"/>
          </a:br>
          <a:r>
            <a:rPr lang="en-US" sz="1100"/>
            <a:t>X1+X2+X3 &gt;= 2</a:t>
          </a:r>
          <a:br>
            <a:rPr lang="en-US" sz="1100"/>
          </a:br>
          <a:r>
            <a:rPr lang="en-US" sz="1100"/>
            <a:t>5X1+ 3X2 + 2X3 &gt;= 1</a:t>
          </a:r>
        </a:p>
        <a:p>
          <a:endParaRPr lang="en-US" sz="1100"/>
        </a:p>
        <a:p>
          <a:r>
            <a:rPr lang="en-US" sz="1100"/>
            <a:t>1.  What is the smallest value the objective function coefficient for X3  can assume without changing the optimal solution?</a:t>
          </a:r>
        </a:p>
        <a:p>
          <a:r>
            <a:rPr lang="en-US" sz="1100" b="1"/>
            <a:t>A:</a:t>
          </a:r>
          <a:r>
            <a:rPr lang="en-US" sz="1100" b="1" baseline="0"/>
            <a:t> </a:t>
          </a:r>
          <a:r>
            <a:rPr lang="en-US" sz="1100"/>
            <a:t>Since the allowable decrease is 1 we can go</a:t>
          </a:r>
          <a:r>
            <a:rPr lang="en-US" sz="1100" baseline="0"/>
            <a:t> as low as 3 (4-1) without chaning the optimal solution</a:t>
          </a:r>
          <a:br>
            <a:rPr lang="en-US" sz="1100" baseline="0"/>
          </a:br>
          <a:br>
            <a:rPr lang="en-US" sz="1100" baseline="0"/>
          </a:br>
          <a:r>
            <a:rPr lang="en-US" sz="1100"/>
            <a:t>2.  What is the optimal objective function value if the objective function coefficient for X3  changes to –1? (Hint: The answer to this question is not given in the Sensitivity Report. Consider what the new objective function is relative to the constraints.  How</a:t>
          </a:r>
          <a:r>
            <a:rPr lang="en-US" sz="1100" baseline="0"/>
            <a:t> many X3 would you want to make?  Is there anything preventing you from making that many</a:t>
          </a:r>
          <a:r>
            <a:rPr lang="en-US" sz="1100"/>
            <a:t>)</a:t>
          </a:r>
          <a:br>
            <a:rPr lang="en-US" sz="1100"/>
          </a:br>
          <a:r>
            <a:rPr lang="en-US" sz="1100" b="1"/>
            <a:t>A:  </a:t>
          </a:r>
          <a:r>
            <a:rPr lang="en-US" sz="1100" b="0" baseline="0"/>
            <a:t> The problem becomes unbounded since it exceed the allowable decrese of 5 and due to that there will be no optimal solution </a:t>
          </a:r>
        </a:p>
        <a:p>
          <a:br>
            <a:rPr lang="en-US" sz="1100"/>
          </a:br>
          <a:r>
            <a:rPr lang="en-US" sz="1100"/>
            <a:t>3. What is the optimal objective function value if the RHS value of the first constraint increases to 7?</a:t>
          </a:r>
        </a:p>
        <a:p>
          <a:r>
            <a:rPr lang="en-US" sz="1100" b="1"/>
            <a:t>A:</a:t>
          </a:r>
          <a:r>
            <a:rPr lang="en-US" sz="1100" b="1" baseline="0"/>
            <a:t> </a:t>
          </a:r>
          <a:r>
            <a:rPr lang="en-US" sz="1100" b="0" baseline="0"/>
            <a:t>21</a:t>
          </a:r>
        </a:p>
        <a:p>
          <a:endParaRPr lang="en-US" sz="1100" b="1"/>
        </a:p>
        <a:p>
          <a:r>
            <a:rPr lang="en-US" sz="1100"/>
            <a:t>4. What is the optimal objective function value if the RHS value of the first constraint decreases by 1?</a:t>
          </a:r>
        </a:p>
        <a:p>
          <a:r>
            <a:rPr lang="en-US" sz="1100" b="1"/>
            <a:t>A:</a:t>
          </a:r>
          <a:r>
            <a:rPr lang="en-US" sz="1100" b="0"/>
            <a:t> 3</a:t>
          </a:r>
        </a:p>
        <a:p>
          <a:endParaRPr lang="en-US" sz="1100" b="1"/>
        </a:p>
        <a:p>
          <a:r>
            <a:rPr lang="en-US" sz="1100"/>
            <a:t>5.  Will the current solution remain optimal if the objective function coefficients for X1and X3 both decrease by 1?</a:t>
          </a:r>
        </a:p>
        <a:p>
          <a:r>
            <a:rPr lang="en-US" sz="1100" b="1"/>
            <a:t>A:</a:t>
          </a:r>
          <a:r>
            <a:rPr lang="en-US" sz="1100" b="0" baseline="0"/>
            <a:t> </a:t>
          </a:r>
          <a:r>
            <a:rPr lang="en-US" sz="1100" b="0" i="0">
              <a:solidFill>
                <a:schemeClr val="dk1"/>
              </a:solidFill>
              <a:effectLst/>
              <a:latin typeface="+mn-lt"/>
              <a:ea typeface="+mn-ea"/>
              <a:cs typeface="+mn-cs"/>
            </a:rPr>
            <a:t>Yes, since the decreases (−1 for X1 and −1 for X3) are each within their allowable decreases of 2 and 1 respectively</a:t>
          </a:r>
          <a:endParaRPr lang="en-US" sz="1100" b="1"/>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409575</xdr:colOff>
      <xdr:row>0</xdr:row>
      <xdr:rowOff>28575</xdr:rowOff>
    </xdr:from>
    <xdr:to>
      <xdr:col>2</xdr:col>
      <xdr:colOff>698019</xdr:colOff>
      <xdr:row>1</xdr:row>
      <xdr:rowOff>104775</xdr:rowOff>
    </xdr:to>
    <xdr:sp macro="" textlink="">
      <xdr:nvSpPr>
        <xdr:cNvPr id="2" name="Text 2">
          <a:extLst>
            <a:ext uri="{FF2B5EF4-FFF2-40B4-BE49-F238E27FC236}">
              <a16:creationId xmlns:a16="http://schemas.microsoft.com/office/drawing/2014/main" id="{3F4C3E2C-847F-45A3-B2AE-042E913C8376}"/>
            </a:ext>
          </a:extLst>
        </xdr:cNvPr>
        <xdr:cNvSpPr>
          <a:spLocks noChangeArrowheads="1"/>
        </xdr:cNvSpPr>
      </xdr:nvSpPr>
      <xdr:spPr bwMode="auto">
        <a:xfrm>
          <a:off x="1019175" y="28575"/>
          <a:ext cx="2238375" cy="238125"/>
        </a:xfrm>
        <a:prstGeom prst="roundRect">
          <a:avLst>
            <a:gd name="adj" fmla="val 16667"/>
          </a:avLst>
        </a:prstGeom>
        <a:solidFill>
          <a:srgbClr xmlns:mc="http://schemas.openxmlformats.org/markup-compatibility/2006" xmlns:a14="http://schemas.microsoft.com/office/drawing/2010/main" val="00FFFF" mc:Ignorable="a14" a14:legacySpreadsheetColorIndex="15"/>
        </a:solidFill>
        <a:ln w="9525">
          <a:solidFill>
            <a:srgbClr xmlns:mc="http://schemas.openxmlformats.org/markup-compatibility/2006" xmlns:a14="http://schemas.microsoft.com/office/drawing/2010/main" val="000000" mc:Ignorable="a14" a14:legacySpreadsheetColorIndex="64"/>
          </a:solidFill>
          <a:round/>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27432" bIns="22860" anchor="ctr" upright="1"/>
        <a:lstStyle/>
        <a:p>
          <a:pPr algn="ctr" rtl="0">
            <a:defRPr sz="1000"/>
          </a:pPr>
          <a:r>
            <a:rPr lang="en-US" sz="1000" b="1" i="0" u="none" strike="noStrike" baseline="0">
              <a:solidFill>
                <a:srgbClr val="000000"/>
              </a:solidFill>
              <a:latin typeface="Arial"/>
              <a:cs typeface="Arial"/>
            </a:rPr>
            <a:t>ElectroTech Corporation</a:t>
          </a:r>
        </a:p>
      </xdr:txBody>
    </xdr:sp>
    <xdr:clientData/>
  </xdr:twoCellAnchor>
  <xdr:twoCellAnchor>
    <xdr:from>
      <xdr:col>0</xdr:col>
      <xdr:colOff>0</xdr:colOff>
      <xdr:row>10</xdr:row>
      <xdr:rowOff>123825</xdr:rowOff>
    </xdr:from>
    <xdr:to>
      <xdr:col>1</xdr:col>
      <xdr:colOff>9622</xdr:colOff>
      <xdr:row>15</xdr:row>
      <xdr:rowOff>38100</xdr:rowOff>
    </xdr:to>
    <xdr:sp macro="" textlink="">
      <xdr:nvSpPr>
        <xdr:cNvPr id="3" name="Note">
          <a:extLst>
            <a:ext uri="{FF2B5EF4-FFF2-40B4-BE49-F238E27FC236}">
              <a16:creationId xmlns:a16="http://schemas.microsoft.com/office/drawing/2014/main" id="{896F2321-DC03-4132-87D1-80ABF2336BA5}"/>
            </a:ext>
          </a:extLst>
        </xdr:cNvPr>
        <xdr:cNvSpPr txBox="1">
          <a:spLocks noChangeArrowheads="1"/>
        </xdr:cNvSpPr>
      </xdr:nvSpPr>
      <xdr:spPr bwMode="auto">
        <a:xfrm>
          <a:off x="0" y="1807537"/>
          <a:ext cx="1481667" cy="732078"/>
        </a:xfrm>
        <a:prstGeom prst="rect">
          <a:avLst/>
        </a:prstGeom>
        <a:solidFill>
          <a:srgbClr xmlns:mc="http://schemas.openxmlformats.org/markup-compatibility/2006" xmlns:a14="http://schemas.microsoft.com/office/drawing/2010/main" val="FFFF00" mc:Ignorable="a14" a14:legacySpreadsheetColorIndex="13"/>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US" sz="1000" b="0" i="0" u="none" strike="noStrike" baseline="0">
              <a:solidFill>
                <a:srgbClr val="000000"/>
              </a:solidFill>
              <a:latin typeface="Fixedsys"/>
            </a:rPr>
            <a:t>Maximize:    F4</a:t>
          </a:r>
        </a:p>
        <a:p>
          <a:pPr algn="l" rtl="0">
            <a:defRPr sz="1000"/>
          </a:pPr>
          <a:r>
            <a:rPr lang="en-US" sz="1000" b="0" i="0" u="none" strike="noStrike" baseline="0">
              <a:solidFill>
                <a:srgbClr val="000000"/>
              </a:solidFill>
              <a:latin typeface="Fixedsys"/>
            </a:rPr>
            <a:t>By Changing: C4:D4</a:t>
          </a:r>
        </a:p>
        <a:p>
          <a:pPr algn="l" rtl="0">
            <a:defRPr sz="1000"/>
          </a:pPr>
          <a:r>
            <a:rPr lang="en-US" sz="1000" b="0" i="0" u="none" strike="noStrike" baseline="0">
              <a:solidFill>
                <a:srgbClr val="000000"/>
              </a:solidFill>
              <a:latin typeface="Fixedsys"/>
            </a:rPr>
            <a:t>Subject To:  E8:E9&lt;=F8:F9</a:t>
          </a:r>
        </a:p>
        <a:p>
          <a:pPr algn="l" rtl="0">
            <a:defRPr sz="1000"/>
          </a:pPr>
          <a:r>
            <a:rPr lang="en-US" sz="1000" b="0" i="0" u="none" strike="noStrike" baseline="0">
              <a:solidFill>
                <a:srgbClr val="000000"/>
              </a:solidFill>
              <a:latin typeface="Fixedsys"/>
            </a:rPr>
            <a:t>             C4:D4&gt;=0</a:t>
          </a:r>
        </a:p>
      </xdr:txBody>
    </xdr:sp>
    <xdr:clientData/>
  </xdr:twoCellAnchor>
  <xdr:twoCellAnchor>
    <xdr:from>
      <xdr:col>5</xdr:col>
      <xdr:colOff>447675</xdr:colOff>
      <xdr:row>0</xdr:row>
      <xdr:rowOff>133349</xdr:rowOff>
    </xdr:from>
    <xdr:to>
      <xdr:col>13</xdr:col>
      <xdr:colOff>219075</xdr:colOff>
      <xdr:row>31</xdr:row>
      <xdr:rowOff>144318</xdr:rowOff>
    </xdr:to>
    <xdr:sp macro="" textlink="">
      <xdr:nvSpPr>
        <xdr:cNvPr id="4" name="TextBox 3">
          <a:extLst>
            <a:ext uri="{FF2B5EF4-FFF2-40B4-BE49-F238E27FC236}">
              <a16:creationId xmlns:a16="http://schemas.microsoft.com/office/drawing/2014/main" id="{46232E22-E945-44EF-BA36-E752060AA436}"/>
            </a:ext>
          </a:extLst>
        </xdr:cNvPr>
        <xdr:cNvSpPr txBox="1"/>
      </xdr:nvSpPr>
      <xdr:spPr>
        <a:xfrm>
          <a:off x="4652145" y="133349"/>
          <a:ext cx="5390188" cy="51294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4.  Create and use</a:t>
          </a:r>
          <a:r>
            <a:rPr lang="en-US" sz="1100" baseline="0"/>
            <a:t> </a:t>
          </a:r>
          <a:r>
            <a:rPr lang="en-US" sz="1100"/>
            <a:t>the</a:t>
          </a:r>
          <a:r>
            <a:rPr lang="en-US" sz="1100" baseline="0"/>
            <a:t> sensitivity report to answer the following:</a:t>
          </a:r>
          <a:br>
            <a:rPr lang="en-US" sz="1100" baseline="0"/>
          </a:br>
          <a:br>
            <a:rPr lang="en-US" sz="1100"/>
          </a:br>
          <a:r>
            <a:rPr lang="en-US" sz="1100"/>
            <a:t>1. How much excess wiring and testing capacity exists in the optimal solution?</a:t>
          </a:r>
        </a:p>
        <a:p>
          <a:r>
            <a:rPr lang="en-US" sz="1100" b="1"/>
            <a:t>A: </a:t>
          </a:r>
          <a:r>
            <a:rPr lang="en-US" sz="1100" b="0" i="0">
              <a:solidFill>
                <a:schemeClr val="dk1"/>
              </a:solidFill>
              <a:effectLst/>
              <a:latin typeface="+mn-lt"/>
              <a:ea typeface="+mn-ea"/>
              <a:cs typeface="+mn-cs"/>
            </a:rPr>
            <a:t>Excess wiring = 0 and excess testing = 10, because in the Answer/Sensitivity report unused capacity for a ≤ constraint equals RHS − Final Value, so Wiring Used has Final = 260 and RHS = 260 (0 slack) while Testing Used has Final = 130 and RHS = 140 (10 slack).</a:t>
          </a:r>
          <a:br>
            <a:rPr lang="en-US" sz="1100" b="0" i="0">
              <a:solidFill>
                <a:schemeClr val="dk1"/>
              </a:solidFill>
              <a:effectLst/>
              <a:latin typeface="+mn-lt"/>
              <a:ea typeface="+mn-ea"/>
              <a:cs typeface="+mn-cs"/>
            </a:rPr>
          </a:br>
          <a:endParaRPr lang="en-US" sz="1100" b="1"/>
        </a:p>
        <a:p>
          <a:r>
            <a:rPr lang="en-US" sz="1100"/>
            <a:t>2. What is the company’s total profit if it has 10 additional hours of wiring capacity?</a:t>
          </a:r>
        </a:p>
        <a:p>
          <a:r>
            <a:rPr lang="en-US" sz="1100" b="1"/>
            <a:t>A: </a:t>
          </a:r>
          <a:r>
            <a:rPr lang="en-US" sz="1100" b="0"/>
            <a:t>$33750 (Additional</a:t>
          </a:r>
          <a:r>
            <a:rPr lang="en-US" sz="1100" b="0" baseline="0"/>
            <a:t> profit of $1250 compared to the original profit)</a:t>
          </a:r>
          <a:endParaRPr lang="en-US" sz="1100" b="1"/>
        </a:p>
        <a:p>
          <a:endParaRPr lang="en-US" sz="1100" b="1"/>
        </a:p>
        <a:p>
          <a:r>
            <a:rPr lang="en-US" sz="1100"/>
            <a:t>3.</a:t>
          </a:r>
          <a:r>
            <a:rPr lang="en-US" sz="1100" baseline="0"/>
            <a:t>  </a:t>
          </a:r>
          <a:r>
            <a:rPr lang="en-US" sz="1100"/>
            <a:t>By how much does the profit on alternators need to increase before their production is justified?</a:t>
          </a:r>
        </a:p>
        <a:p>
          <a:r>
            <a:rPr lang="en-US" sz="1100" b="1"/>
            <a:t>A:</a:t>
          </a:r>
          <a:r>
            <a:rPr lang="en-US" sz="1100" b="0" i="0">
              <a:solidFill>
                <a:schemeClr val="dk1"/>
              </a:solidFill>
              <a:effectLst/>
              <a:latin typeface="+mn-lt"/>
              <a:ea typeface="+mn-ea"/>
              <a:cs typeface="+mn-cs"/>
            </a:rPr>
            <a:t>225, because the alternator’s reduced cost is −225, which means its profit must rise by 225 (from 150 up to 375) for it to enter production at the optimum.</a:t>
          </a:r>
          <a:endParaRPr lang="en-US" sz="1100" b="1"/>
        </a:p>
        <a:p>
          <a:endParaRPr lang="en-US" sz="1100" b="1"/>
        </a:p>
        <a:p>
          <a:r>
            <a:rPr lang="en-US" sz="1100"/>
            <a:t>4. Does the optimal solution change if the marginal profit on generators decreases by $50 and the marginal profit on alternators increases by $75?</a:t>
          </a:r>
        </a:p>
        <a:p>
          <a:r>
            <a:rPr lang="en-US" sz="1100" b="1"/>
            <a:t>A: </a:t>
          </a:r>
          <a:r>
            <a:rPr lang="en-US" sz="1100" b="0" i="0">
              <a:solidFill>
                <a:schemeClr val="dk1"/>
              </a:solidFill>
              <a:effectLst/>
              <a:latin typeface="+mn-lt"/>
              <a:ea typeface="+mn-ea"/>
              <a:cs typeface="+mn-cs"/>
            </a:rPr>
            <a:t>No,</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the solution stays the same since the coefficient changes (−50 for generators, +75 for alternators) are within the allowable ranges (decrease 150, increase 225).</a:t>
          </a:r>
          <a:endParaRPr lang="en-US" sz="1100" b="1"/>
        </a:p>
        <a:p>
          <a:endParaRPr lang="en-US" sz="1100" b="1"/>
        </a:p>
        <a:p>
          <a:r>
            <a:rPr lang="en-US" sz="1100"/>
            <a:t>5. Suppose the marginal profit on generators decreases by $25. What is the maximum profit that can be earned on alternators without changing the optimal solution?</a:t>
          </a:r>
        </a:p>
        <a:p>
          <a:r>
            <a:rPr lang="en-US" sz="1100" b="1"/>
            <a:t>A: </a:t>
          </a:r>
          <a:r>
            <a:rPr lang="en-US" sz="1100" b="0" i="0">
              <a:solidFill>
                <a:schemeClr val="dk1"/>
              </a:solidFill>
              <a:effectLst/>
              <a:latin typeface="+mn-lt"/>
              <a:ea typeface="+mn-ea"/>
              <a:cs typeface="+mn-cs"/>
            </a:rPr>
            <a:t>alternator profit can rise up to $225 without changing the solution.</a:t>
          </a:r>
          <a:endParaRPr lang="en-US" sz="1100" b="1"/>
        </a:p>
        <a:p>
          <a:endParaRPr lang="en-US" sz="1100" b="1"/>
        </a:p>
        <a:p>
          <a:r>
            <a:rPr lang="en-US" sz="1100"/>
            <a:t>6. Suppose the amount of wiring required on alternators is reduced to 1.5 hours. Does this change the optimal solution? Why or why not?</a:t>
          </a:r>
        </a:p>
        <a:p>
          <a:r>
            <a:rPr lang="en-US" sz="1100" b="1"/>
            <a:t>A: </a:t>
          </a:r>
          <a:r>
            <a:rPr lang="en-US" sz="1100" b="0" i="0">
              <a:solidFill>
                <a:schemeClr val="dk1"/>
              </a:solidFill>
              <a:effectLst/>
              <a:latin typeface="+mn-lt"/>
              <a:ea typeface="+mn-ea"/>
              <a:cs typeface="+mn-cs"/>
            </a:rPr>
            <a:t>No, it doesn’t change, because alternators are not produced in the current solutions, so reducing their wiring from 2 to 1.5 hours doesn’t affect the binding wiring constraint or any chosen variable.</a:t>
          </a:r>
          <a:endParaRPr lang="en-US" sz="1100"/>
        </a:p>
        <a:p>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11</xdr:col>
      <xdr:colOff>6350</xdr:colOff>
      <xdr:row>1</xdr:row>
      <xdr:rowOff>3174</xdr:rowOff>
    </xdr:from>
    <xdr:to>
      <xdr:col>18</xdr:col>
      <xdr:colOff>403225</xdr:colOff>
      <xdr:row>43</xdr:row>
      <xdr:rowOff>139700</xdr:rowOff>
    </xdr:to>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4AC61617-E275-6830-F4ED-265FE053150C}"/>
                </a:ext>
              </a:extLst>
            </xdr:cNvPr>
            <xdr:cNvSpPr txBox="1"/>
          </xdr:nvSpPr>
          <xdr:spPr>
            <a:xfrm>
              <a:off x="7829550" y="193674"/>
              <a:ext cx="5108575" cy="81375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#5.   Consider the following LP:</a:t>
              </a:r>
              <a:br>
                <a:rPr lang="en-US" sz="1100"/>
              </a:br>
              <a:endParaRPr lang="en-US" sz="1100"/>
            </a:p>
            <a:p>
              <a:r>
                <a:rPr lang="en-US" sz="1100"/>
                <a:t>MAX:  4X1 + 2X2</a:t>
              </a:r>
              <a:br>
                <a:rPr lang="en-US" sz="1100"/>
              </a:br>
              <a:r>
                <a:rPr lang="en-US" sz="1100"/>
                <a:t>ST</a:t>
              </a:r>
              <a:br>
                <a:rPr lang="en-US" sz="1100"/>
              </a:br>
              <a:r>
                <a:rPr lang="en-US" sz="1100"/>
                <a:t>2X1 + 4X2 &lt;= 20</a:t>
              </a:r>
              <a:br>
                <a:rPr lang="en-US" sz="1100"/>
              </a:br>
              <a:r>
                <a:rPr lang="en-US" sz="1100"/>
                <a:t>3X1 + 5X2 &lt;= 15</a:t>
              </a:r>
            </a:p>
            <a:p>
              <a:br>
                <a:rPr lang="en-US" sz="1100"/>
              </a:br>
              <a:r>
                <a:rPr lang="en-US" sz="1100"/>
                <a:t>1.  Use slack variables to rewrite this problem so that all its constraints are equal-to constraints.</a:t>
              </a:r>
            </a:p>
            <a:p>
              <a:pPr marL="0" marR="0" lvl="0" indent="0" defTabSz="914400" eaLnBrk="1" fontAlgn="auto" latinLnBrk="0" hangingPunct="1">
                <a:lnSpc>
                  <a:spcPct val="100000"/>
                </a:lnSpc>
                <a:spcBef>
                  <a:spcPts val="0"/>
                </a:spcBef>
                <a:spcAft>
                  <a:spcPts val="0"/>
                </a:spcAft>
                <a:buClrTx/>
                <a:buSzTx/>
                <a:buFontTx/>
                <a:buNone/>
                <a:tabLst/>
                <a:defRPr/>
              </a:pPr>
              <a:r>
                <a:rPr lang="en-US" sz="1100"/>
                <a:t>Using</a:t>
              </a:r>
              <a:r>
                <a:rPr lang="en-US" sz="1100" baseline="0"/>
                <a:t> </a:t>
              </a:r>
              <a:r>
                <a:rPr lang="en-US" sz="1100" i="1">
                  <a:solidFill>
                    <a:schemeClr val="dk1"/>
                  </a:solidFill>
                  <a:effectLst/>
                  <a:latin typeface="+mn-lt"/>
                  <a:ea typeface="+mn-ea"/>
                  <a:cs typeface="+mn-cs"/>
                </a:rPr>
                <a:t>S</a:t>
              </a:r>
              <a:r>
                <a:rPr lang="en-US" sz="1100">
                  <a:solidFill>
                    <a:schemeClr val="dk1"/>
                  </a:solidFill>
                  <a:effectLst/>
                  <a:latin typeface="+mn-lt"/>
                  <a:ea typeface="+mn-ea"/>
                  <a:cs typeface="+mn-cs"/>
                </a:rPr>
                <a:t>1,</a:t>
              </a:r>
              <a:r>
                <a:rPr lang="en-US" sz="1100" i="1">
                  <a:solidFill>
                    <a:schemeClr val="dk1"/>
                  </a:solidFill>
                  <a:effectLst/>
                  <a:latin typeface="+mn-lt"/>
                  <a:ea typeface="+mn-ea"/>
                  <a:cs typeface="+mn-cs"/>
                </a:rPr>
                <a:t>S</a:t>
              </a:r>
              <a:r>
                <a:rPr lang="en-US" sz="1100">
                  <a:solidFill>
                    <a:schemeClr val="dk1"/>
                  </a:solidFill>
                  <a:effectLst/>
                  <a:latin typeface="+mn-lt"/>
                  <a:ea typeface="+mn-ea"/>
                  <a:cs typeface="+mn-cs"/>
                </a:rPr>
                <a:t>2≥0</a:t>
              </a:r>
              <a:r>
                <a:rPr lang="en-US" sz="1100" b="0" i="0">
                  <a:solidFill>
                    <a:schemeClr val="dk1"/>
                  </a:solidFill>
                  <a:effectLst/>
                  <a:latin typeface="+mn-lt"/>
                  <a:ea typeface="+mn-ea"/>
                  <a:cs typeface="+mn-cs"/>
                </a:rPr>
                <a:t> </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2</a:t>
              </a:r>
              <a:r>
                <a:rPr lang="en-US" sz="1100" b="0" i="1">
                  <a:solidFill>
                    <a:schemeClr val="dk1"/>
                  </a:solidFill>
                  <a:effectLst/>
                  <a:latin typeface="+mn-lt"/>
                  <a:ea typeface="+mn-ea"/>
                  <a:cs typeface="+mn-cs"/>
                </a:rPr>
                <a:t>X</a:t>
              </a:r>
              <a:r>
                <a:rPr lang="en-US" sz="1100" b="0" i="0">
                  <a:solidFill>
                    <a:schemeClr val="dk1"/>
                  </a:solidFill>
                  <a:effectLst/>
                  <a:latin typeface="+mn-lt"/>
                  <a:ea typeface="+mn-ea"/>
                  <a:cs typeface="+mn-cs"/>
                </a:rPr>
                <a:t>1+4</a:t>
              </a:r>
              <a:r>
                <a:rPr lang="en-US" sz="1100" b="0" i="1">
                  <a:solidFill>
                    <a:schemeClr val="dk1"/>
                  </a:solidFill>
                  <a:effectLst/>
                  <a:latin typeface="+mn-lt"/>
                  <a:ea typeface="+mn-ea"/>
                  <a:cs typeface="+mn-cs"/>
                </a:rPr>
                <a:t>X</a:t>
              </a:r>
              <a:r>
                <a:rPr lang="en-US" sz="1100" b="0" i="0">
                  <a:solidFill>
                    <a:schemeClr val="dk1"/>
                  </a:solidFill>
                  <a:effectLst/>
                  <a:latin typeface="+mn-lt"/>
                  <a:ea typeface="+mn-ea"/>
                  <a:cs typeface="+mn-cs"/>
                </a:rPr>
                <a:t>2+</a:t>
              </a:r>
              <a:r>
                <a:rPr lang="en-US" sz="1100" b="0" i="1">
                  <a:solidFill>
                    <a:schemeClr val="dk1"/>
                  </a:solidFill>
                  <a:effectLst/>
                  <a:latin typeface="+mn-lt"/>
                  <a:ea typeface="+mn-ea"/>
                  <a:cs typeface="+mn-cs"/>
                </a:rPr>
                <a:t>S</a:t>
              </a:r>
              <a:r>
                <a:rPr lang="en-US" sz="1100" b="0" i="0">
                  <a:solidFill>
                    <a:schemeClr val="dk1"/>
                  </a:solidFill>
                  <a:effectLst/>
                  <a:latin typeface="+mn-lt"/>
                  <a:ea typeface="+mn-ea"/>
                  <a:cs typeface="+mn-cs"/>
                </a:rPr>
                <a:t>1=20</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3</a:t>
              </a:r>
              <a:r>
                <a:rPr lang="en-US" sz="1100" b="0" i="1">
                  <a:solidFill>
                    <a:schemeClr val="dk1"/>
                  </a:solidFill>
                  <a:effectLst/>
                  <a:latin typeface="+mn-lt"/>
                  <a:ea typeface="+mn-ea"/>
                  <a:cs typeface="+mn-cs"/>
                </a:rPr>
                <a:t>X</a:t>
              </a:r>
              <a:r>
                <a:rPr lang="en-US" sz="1100" b="0" i="0">
                  <a:solidFill>
                    <a:schemeClr val="dk1"/>
                  </a:solidFill>
                  <a:effectLst/>
                  <a:latin typeface="+mn-lt"/>
                  <a:ea typeface="+mn-ea"/>
                  <a:cs typeface="+mn-cs"/>
                </a:rPr>
                <a:t>1+5</a:t>
              </a:r>
              <a:r>
                <a:rPr lang="en-US" sz="1100" b="0" i="1">
                  <a:solidFill>
                    <a:schemeClr val="dk1"/>
                  </a:solidFill>
                  <a:effectLst/>
                  <a:latin typeface="+mn-lt"/>
                  <a:ea typeface="+mn-ea"/>
                  <a:cs typeface="+mn-cs"/>
                </a:rPr>
                <a:t>X</a:t>
              </a:r>
              <a:r>
                <a:rPr lang="en-US" sz="1100" b="0" i="0">
                  <a:solidFill>
                    <a:schemeClr val="dk1"/>
                  </a:solidFill>
                  <a:effectLst/>
                  <a:latin typeface="+mn-lt"/>
                  <a:ea typeface="+mn-ea"/>
                  <a:cs typeface="+mn-cs"/>
                </a:rPr>
                <a:t>2+</a:t>
              </a:r>
              <a:r>
                <a:rPr lang="en-US" sz="1100" b="0" i="1">
                  <a:solidFill>
                    <a:schemeClr val="dk1"/>
                  </a:solidFill>
                  <a:effectLst/>
                  <a:latin typeface="+mn-lt"/>
                  <a:ea typeface="+mn-ea"/>
                  <a:cs typeface="+mn-cs"/>
                </a:rPr>
                <a:t>S</a:t>
              </a:r>
              <a:r>
                <a:rPr lang="en-US" sz="1100" b="0" i="0">
                  <a:solidFill>
                    <a:schemeClr val="dk1"/>
                  </a:solidFill>
                  <a:effectLst/>
                  <a:latin typeface="+mn-lt"/>
                  <a:ea typeface="+mn-ea"/>
                  <a:cs typeface="+mn-cs"/>
                </a:rPr>
                <a:t>2=15</a:t>
              </a:r>
              <a:br>
                <a:rPr lang="en-US" sz="1100" b="0" i="0">
                  <a:solidFill>
                    <a:schemeClr val="dk1"/>
                  </a:solidFill>
                  <a:effectLst/>
                  <a:latin typeface="+mn-lt"/>
                  <a:ea typeface="+mn-ea"/>
                  <a:cs typeface="+mn-cs"/>
                </a:rPr>
              </a:br>
              <a:r>
                <a:rPr lang="en-US" sz="1100" i="1">
                  <a:solidFill>
                    <a:schemeClr val="dk1"/>
                  </a:solidFill>
                  <a:effectLst/>
                  <a:latin typeface="+mn-lt"/>
                  <a:ea typeface="+mn-ea"/>
                  <a:cs typeface="+mn-cs"/>
                </a:rPr>
                <a:t>X</a:t>
              </a:r>
              <a:r>
                <a:rPr lang="en-US" sz="1100">
                  <a:solidFill>
                    <a:schemeClr val="dk1"/>
                  </a:solidFill>
                  <a:effectLst/>
                  <a:latin typeface="+mn-lt"/>
                  <a:ea typeface="+mn-ea"/>
                  <a:cs typeface="+mn-cs"/>
                </a:rPr>
                <a:t>1,</a:t>
              </a:r>
              <a:r>
                <a:rPr lang="en-US" sz="1100" i="1">
                  <a:solidFill>
                    <a:schemeClr val="dk1"/>
                  </a:solidFill>
                  <a:effectLst/>
                  <a:latin typeface="+mn-lt"/>
                  <a:ea typeface="+mn-ea"/>
                  <a:cs typeface="+mn-cs"/>
                </a:rPr>
                <a:t>X</a:t>
              </a:r>
              <a:r>
                <a:rPr lang="en-US" sz="1100">
                  <a:solidFill>
                    <a:schemeClr val="dk1"/>
                  </a:solidFill>
                  <a:effectLst/>
                  <a:latin typeface="+mn-lt"/>
                  <a:ea typeface="+mn-ea"/>
                  <a:cs typeface="+mn-cs"/>
                </a:rPr>
                <a:t>2,</a:t>
              </a:r>
              <a:r>
                <a:rPr lang="en-US" sz="1100" i="1">
                  <a:solidFill>
                    <a:schemeClr val="dk1"/>
                  </a:solidFill>
                  <a:effectLst/>
                  <a:latin typeface="+mn-lt"/>
                  <a:ea typeface="+mn-ea"/>
                  <a:cs typeface="+mn-cs"/>
                </a:rPr>
                <a:t>S</a:t>
              </a:r>
              <a:r>
                <a:rPr lang="en-US" sz="1100">
                  <a:solidFill>
                    <a:schemeClr val="dk1"/>
                  </a:solidFill>
                  <a:effectLst/>
                  <a:latin typeface="+mn-lt"/>
                  <a:ea typeface="+mn-ea"/>
                  <a:cs typeface="+mn-cs"/>
                </a:rPr>
                <a:t>1,</a:t>
              </a:r>
              <a:r>
                <a:rPr lang="en-US" sz="1100" i="1">
                  <a:solidFill>
                    <a:schemeClr val="dk1"/>
                  </a:solidFill>
                  <a:effectLst/>
                  <a:latin typeface="+mn-lt"/>
                  <a:ea typeface="+mn-ea"/>
                  <a:cs typeface="+mn-cs"/>
                </a:rPr>
                <a:t>S</a:t>
              </a:r>
              <a:r>
                <a:rPr lang="en-US" sz="1100">
                  <a:solidFill>
                    <a:schemeClr val="dk1"/>
                  </a:solidFill>
                  <a:effectLst/>
                  <a:latin typeface="+mn-lt"/>
                  <a:ea typeface="+mn-ea"/>
                  <a:cs typeface="+mn-cs"/>
                </a:rPr>
                <a:t>2≥0.</a:t>
              </a:r>
            </a:p>
            <a:p>
              <a:endParaRPr lang="en-US" sz="1100"/>
            </a:p>
            <a:p>
              <a:r>
                <a:rPr lang="en-US" sz="1100"/>
                <a:t>2.  Plot</a:t>
              </a:r>
              <a:r>
                <a:rPr lang="en-US" sz="1100" baseline="0"/>
                <a:t> the LP and identify all of the corner pts (including the infeasible ones)</a:t>
              </a:r>
              <a:endParaRPr lang="en-US" sz="1100"/>
            </a:p>
            <a:p>
              <a:endParaRPr lang="en-US" sz="1100"/>
            </a:p>
            <a:p>
              <a:r>
                <a:rPr lang="en-US" sz="1100"/>
                <a:t>3.</a:t>
              </a:r>
              <a:r>
                <a:rPr lang="en-US" sz="1100" baseline="0"/>
                <a:t>  Create a table similar to the one completed in class. </a:t>
              </a:r>
              <a:r>
                <a:rPr lang="en-US" sz="1100"/>
                <a:t>Identify the different sets of basic variables that might be used to obtain a solution to the problem.</a:t>
              </a:r>
            </a:p>
            <a:p>
              <a:r>
                <a:rPr lang="en-US" sz="1100"/>
                <a:t>Of the possible sets of basic variables, which lead to feasible solutions and what are the values for all the variables at each of these solutions?</a:t>
              </a:r>
              <a:br>
                <a:rPr lang="en-US" sz="1100"/>
              </a:br>
              <a:r>
                <a:rPr lang="en-US" sz="1100"/>
                <a:t>What is the value of the objective function at each of the basic feasible solutions?</a:t>
              </a:r>
              <a:br>
                <a:rPr lang="en-US" sz="1100"/>
              </a:br>
              <a:br>
                <a:rPr lang="en-US" sz="1100"/>
              </a:br>
              <a:r>
                <a:rPr lang="en-US" sz="1100" b="1" i="0">
                  <a:solidFill>
                    <a:schemeClr val="dk1"/>
                  </a:solidFill>
                  <a:effectLst/>
                  <a:latin typeface="+mn-lt"/>
                  <a:ea typeface="+mn-ea"/>
                  <a:cs typeface="+mn-cs"/>
                </a:rPr>
                <a:t>The best (optimal) one is </a:t>
              </a:r>
              <a14:m>
                <m:oMath xmlns:m="http://schemas.openxmlformats.org/officeDocument/2006/math">
                  <m:d>
                    <m:dPr>
                      <m:sepChr m:val=","/>
                      <m:ctrlPr>
                        <a:rPr lang="ar-AE" sz="1100" b="1">
                          <a:solidFill>
                            <a:schemeClr val="dk1"/>
                          </a:solidFill>
                          <a:latin typeface="+mn-lt"/>
                          <a:ea typeface="+mn-ea"/>
                          <a:cs typeface="+mn-cs"/>
                        </a:rPr>
                      </m:ctrlPr>
                    </m:dPr>
                    <m:e>
                      <m:r>
                        <a:rPr lang="ar-AE" sz="1100" b="1" i="1">
                          <a:solidFill>
                            <a:schemeClr val="dk1"/>
                          </a:solidFill>
                          <a:latin typeface="+mn-lt"/>
                          <a:ea typeface="+mn-ea"/>
                          <a:cs typeface="+mn-cs"/>
                        </a:rPr>
                        <m:t>𝟓</m:t>
                      </m:r>
                    </m:e>
                    <m:e>
                      <m:r>
                        <a:rPr lang="ar-AE" sz="1100" b="1" i="0">
                          <a:solidFill>
                            <a:schemeClr val="dk1"/>
                          </a:solidFill>
                          <a:latin typeface="+mn-lt"/>
                          <a:ea typeface="+mn-ea"/>
                          <a:cs typeface="+mn-cs"/>
                        </a:rPr>
                        <m:t>𝟎</m:t>
                      </m:r>
                    </m:e>
                  </m:d>
                </m:oMath>
              </a14:m>
              <a:r>
                <a:rPr lang="ar-AE" sz="1100" b="1" i="0">
                  <a:solidFill>
                    <a:schemeClr val="dk1"/>
                  </a:solidFill>
                  <a:effectLst/>
                  <a:latin typeface="+mn-lt"/>
                  <a:ea typeface="+mn-ea"/>
                  <a:cs typeface="+mn-cs"/>
                </a:rPr>
                <a:t> </a:t>
              </a:r>
              <a:r>
                <a:rPr lang="en-US" sz="1100" b="1" i="0">
                  <a:solidFill>
                    <a:schemeClr val="dk1"/>
                  </a:solidFill>
                  <a:effectLst/>
                  <a:latin typeface="+mn-lt"/>
                  <a:ea typeface="+mn-ea"/>
                  <a:cs typeface="+mn-cs"/>
                </a:rPr>
                <a:t>with </a:t>
              </a:r>
              <a14:m>
                <m:oMath xmlns:m="http://schemas.openxmlformats.org/officeDocument/2006/math">
                  <m:r>
                    <a:rPr lang="en-US" sz="1100" b="1" i="1">
                      <a:solidFill>
                        <a:schemeClr val="dk1"/>
                      </a:solidFill>
                      <a:latin typeface="+mn-lt"/>
                      <a:ea typeface="+mn-ea"/>
                      <a:cs typeface="+mn-cs"/>
                    </a:rPr>
                    <m:t>𝒛</m:t>
                  </m:r>
                  <m:r>
                    <a:rPr lang="en-US" sz="1100" b="1" i="0">
                      <a:solidFill>
                        <a:schemeClr val="dk1"/>
                      </a:solidFill>
                      <a:latin typeface="+mn-lt"/>
                      <a:ea typeface="+mn-ea"/>
                      <a:cs typeface="+mn-cs"/>
                    </a:rPr>
                    <m:t>=</m:t>
                  </m:r>
                  <m:r>
                    <a:rPr lang="en-US" sz="1100" b="1" i="0">
                      <a:solidFill>
                        <a:schemeClr val="dk1"/>
                      </a:solidFill>
                      <a:latin typeface="+mn-lt"/>
                      <a:ea typeface="+mn-ea"/>
                      <a:cs typeface="+mn-cs"/>
                    </a:rPr>
                    <m:t>𝟐𝟎</m:t>
                  </m:r>
                </m:oMath>
              </a14:m>
              <a:r>
                <a:rPr lang="en-US" sz="1100" b="1" i="0">
                  <a:solidFill>
                    <a:schemeClr val="dk1"/>
                  </a:solidFill>
                  <a:effectLst/>
                  <a:latin typeface="+mn-lt"/>
                  <a:ea typeface="+mn-ea"/>
                  <a:cs typeface="+mn-cs"/>
                </a:rPr>
                <a:t>.</a:t>
              </a:r>
            </a:p>
            <a:p>
              <a:r>
                <a:rPr lang="en-US" sz="1100" b="1" i="0">
                  <a:solidFill>
                    <a:schemeClr val="dk1"/>
                  </a:solidFill>
                  <a:effectLst/>
                  <a:latin typeface="+mn-lt"/>
                  <a:ea typeface="+mn-ea"/>
                  <a:cs typeface="+mn-cs"/>
                </a:rPr>
                <a:t>Basic feasible solutions</a:t>
              </a:r>
            </a:p>
            <a:p>
              <a:r>
                <a:rPr lang="en-US" sz="1100" b="0" i="0">
                  <a:solidFill>
                    <a:schemeClr val="dk1"/>
                  </a:solidFill>
                  <a:effectLst/>
                  <a:latin typeface="+mn-lt"/>
                  <a:ea typeface="+mn-ea"/>
                  <a:cs typeface="+mn-cs"/>
                </a:rPr>
                <a:t>Basis {S1, S2}: </a:t>
              </a:r>
              <a14:m>
                <m:oMath xmlns:m="http://schemas.openxmlformats.org/officeDocument/2006/math">
                  <m:d>
                    <m:dPr>
                      <m:sepChr m:val=","/>
                      <m:ctrlPr>
                        <a:rPr lang="ar-AE" sz="1100">
                          <a:solidFill>
                            <a:schemeClr val="dk1"/>
                          </a:solidFill>
                          <a:latin typeface="+mn-lt"/>
                          <a:ea typeface="+mn-ea"/>
                          <a:cs typeface="+mn-cs"/>
                        </a:rPr>
                      </m:ctrlPr>
                    </m:dPr>
                    <m:e>
                      <m:sSub>
                        <m:sSubPr>
                          <m:ctrlPr>
                            <a:rPr lang="ar-AE" sz="1100">
                              <a:solidFill>
                                <a:schemeClr val="dk1"/>
                              </a:solidFill>
                              <a:latin typeface="+mn-lt"/>
                              <a:ea typeface="+mn-ea"/>
                              <a:cs typeface="+mn-cs"/>
                            </a:rPr>
                          </m:ctrlPr>
                        </m:sSubPr>
                        <m:e>
                          <m:r>
                            <a:rPr lang="ar-AE" sz="1100" i="1">
                              <a:solidFill>
                                <a:schemeClr val="dk1"/>
                              </a:solidFill>
                              <a:latin typeface="+mn-lt"/>
                              <a:ea typeface="+mn-ea"/>
                              <a:cs typeface="+mn-cs"/>
                            </a:rPr>
                            <m:t>𝑋</m:t>
                          </m:r>
                        </m:e>
                        <m:sub>
                          <m:r>
                            <a:rPr lang="ar-AE" sz="1100" i="0">
                              <a:solidFill>
                                <a:schemeClr val="dk1"/>
                              </a:solidFill>
                              <a:latin typeface="+mn-lt"/>
                              <a:ea typeface="+mn-ea"/>
                              <a:cs typeface="+mn-cs"/>
                            </a:rPr>
                            <m:t>1</m:t>
                          </m:r>
                        </m:sub>
                      </m:sSub>
                    </m:e>
                    <m:e>
                      <m:sSub>
                        <m:sSubPr>
                          <m:ctrlPr>
                            <a:rPr lang="ar-AE" sz="1100" i="1">
                              <a:solidFill>
                                <a:schemeClr val="dk1"/>
                              </a:solidFill>
                              <a:latin typeface="+mn-lt"/>
                              <a:ea typeface="+mn-ea"/>
                              <a:cs typeface="+mn-cs"/>
                            </a:rPr>
                          </m:ctrlPr>
                        </m:sSubPr>
                        <m:e>
                          <m:r>
                            <a:rPr lang="ar-AE" sz="1100" i="1">
                              <a:solidFill>
                                <a:schemeClr val="dk1"/>
                              </a:solidFill>
                              <a:latin typeface="+mn-lt"/>
                              <a:ea typeface="+mn-ea"/>
                              <a:cs typeface="+mn-cs"/>
                            </a:rPr>
                            <m:t>𝑋</m:t>
                          </m:r>
                        </m:e>
                        <m:sub>
                          <m:r>
                            <a:rPr lang="ar-AE" sz="1100" i="0">
                              <a:solidFill>
                                <a:schemeClr val="dk1"/>
                              </a:solidFill>
                              <a:latin typeface="+mn-lt"/>
                              <a:ea typeface="+mn-ea"/>
                              <a:cs typeface="+mn-cs"/>
                            </a:rPr>
                            <m:t>2</m:t>
                          </m:r>
                        </m:sub>
                      </m:sSub>
                    </m:e>
                    <m:e>
                      <m:sSub>
                        <m:sSubPr>
                          <m:ctrlPr>
                            <a:rPr lang="ar-AE" sz="1100" i="1">
                              <a:solidFill>
                                <a:schemeClr val="dk1"/>
                              </a:solidFill>
                              <a:latin typeface="+mn-lt"/>
                              <a:ea typeface="+mn-ea"/>
                              <a:cs typeface="+mn-cs"/>
                            </a:rPr>
                          </m:ctrlPr>
                        </m:sSubPr>
                        <m:e>
                          <m:r>
                            <a:rPr lang="ar-AE" sz="1100" i="1">
                              <a:solidFill>
                                <a:schemeClr val="dk1"/>
                              </a:solidFill>
                              <a:latin typeface="+mn-lt"/>
                              <a:ea typeface="+mn-ea"/>
                              <a:cs typeface="+mn-cs"/>
                            </a:rPr>
                            <m:t>𝑆</m:t>
                          </m:r>
                        </m:e>
                        <m:sub>
                          <m:r>
                            <a:rPr lang="ar-AE" sz="1100" i="0">
                              <a:solidFill>
                                <a:schemeClr val="dk1"/>
                              </a:solidFill>
                              <a:latin typeface="+mn-lt"/>
                              <a:ea typeface="+mn-ea"/>
                              <a:cs typeface="+mn-cs"/>
                            </a:rPr>
                            <m:t>1</m:t>
                          </m:r>
                        </m:sub>
                      </m:sSub>
                    </m:e>
                    <m:e>
                      <m:sSub>
                        <m:sSubPr>
                          <m:ctrlPr>
                            <a:rPr lang="ar-AE" sz="1100" i="1">
                              <a:solidFill>
                                <a:schemeClr val="dk1"/>
                              </a:solidFill>
                              <a:latin typeface="+mn-lt"/>
                              <a:ea typeface="+mn-ea"/>
                              <a:cs typeface="+mn-cs"/>
                            </a:rPr>
                          </m:ctrlPr>
                        </m:sSubPr>
                        <m:e>
                          <m:r>
                            <a:rPr lang="ar-AE" sz="1100" i="1">
                              <a:solidFill>
                                <a:schemeClr val="dk1"/>
                              </a:solidFill>
                              <a:latin typeface="+mn-lt"/>
                              <a:ea typeface="+mn-ea"/>
                              <a:cs typeface="+mn-cs"/>
                            </a:rPr>
                            <m:t>𝑆</m:t>
                          </m:r>
                        </m:e>
                        <m:sub>
                          <m:r>
                            <a:rPr lang="ar-AE" sz="1100" i="0">
                              <a:solidFill>
                                <a:schemeClr val="dk1"/>
                              </a:solidFill>
                              <a:latin typeface="+mn-lt"/>
                              <a:ea typeface="+mn-ea"/>
                              <a:cs typeface="+mn-cs"/>
                            </a:rPr>
                            <m:t>2</m:t>
                          </m:r>
                        </m:sub>
                      </m:sSub>
                    </m:e>
                  </m:d>
                  <m:r>
                    <a:rPr lang="ar-AE" sz="1100" i="0">
                      <a:solidFill>
                        <a:schemeClr val="dk1"/>
                      </a:solidFill>
                      <a:latin typeface="+mn-lt"/>
                      <a:ea typeface="+mn-ea"/>
                      <a:cs typeface="+mn-cs"/>
                    </a:rPr>
                    <m:t>=</m:t>
                  </m:r>
                  <m:d>
                    <m:dPr>
                      <m:sepChr m:val=","/>
                      <m:ctrlPr>
                        <a:rPr lang="ar-AE" sz="1100" i="1">
                          <a:solidFill>
                            <a:schemeClr val="dk1"/>
                          </a:solidFill>
                          <a:latin typeface="+mn-lt"/>
                          <a:ea typeface="+mn-ea"/>
                          <a:cs typeface="+mn-cs"/>
                        </a:rPr>
                      </m:ctrlPr>
                    </m:dPr>
                    <m:e>
                      <m:r>
                        <a:rPr lang="ar-AE" sz="1100" i="0">
                          <a:solidFill>
                            <a:schemeClr val="dk1"/>
                          </a:solidFill>
                          <a:latin typeface="+mn-lt"/>
                          <a:ea typeface="+mn-ea"/>
                          <a:cs typeface="+mn-cs"/>
                        </a:rPr>
                        <m:t>0</m:t>
                      </m:r>
                    </m:e>
                    <m:e>
                      <m:r>
                        <a:rPr lang="ar-AE" sz="1100" i="0">
                          <a:solidFill>
                            <a:schemeClr val="dk1"/>
                          </a:solidFill>
                          <a:latin typeface="+mn-lt"/>
                          <a:ea typeface="+mn-ea"/>
                          <a:cs typeface="+mn-cs"/>
                        </a:rPr>
                        <m:t>0</m:t>
                      </m:r>
                    </m:e>
                    <m:e>
                      <m:r>
                        <a:rPr lang="ar-AE" sz="1100" i="0">
                          <a:solidFill>
                            <a:schemeClr val="dk1"/>
                          </a:solidFill>
                          <a:latin typeface="+mn-lt"/>
                          <a:ea typeface="+mn-ea"/>
                          <a:cs typeface="+mn-cs"/>
                        </a:rPr>
                        <m:t>20</m:t>
                      </m:r>
                    </m:e>
                    <m:e>
                      <m:r>
                        <a:rPr lang="ar-AE" sz="1100" i="0">
                          <a:solidFill>
                            <a:schemeClr val="dk1"/>
                          </a:solidFill>
                          <a:latin typeface="+mn-lt"/>
                          <a:ea typeface="+mn-ea"/>
                          <a:cs typeface="+mn-cs"/>
                        </a:rPr>
                        <m:t>15</m:t>
                      </m:r>
                    </m:e>
                  </m:d>
                </m:oMath>
              </a14:m>
              <a:r>
                <a:rPr lang="ar-AE" sz="1100" b="0" i="0">
                  <a:solidFill>
                    <a:schemeClr val="dk1"/>
                  </a:solidFill>
                  <a:effectLst/>
                  <a:latin typeface="+mn-lt"/>
                  <a:ea typeface="+mn-ea"/>
                  <a:cs typeface="+mn-cs"/>
                </a:rPr>
                <a:t> </a:t>
              </a:r>
              <a:r>
                <a:rPr lang="en-US" sz="1100" b="0" i="0">
                  <a:solidFill>
                    <a:schemeClr val="dk1"/>
                  </a:solidFill>
                  <a:effectLst/>
                  <a:latin typeface="+mn-lt"/>
                  <a:ea typeface="+mn-ea"/>
                  <a:cs typeface="+mn-cs"/>
                </a:rPr>
                <a:t>and </a:t>
              </a:r>
              <a14:m>
                <m:oMath xmlns:m="http://schemas.openxmlformats.org/officeDocument/2006/math">
                  <m:r>
                    <a:rPr lang="en-US" sz="1100" i="1">
                      <a:solidFill>
                        <a:schemeClr val="dk1"/>
                      </a:solidFill>
                      <a:latin typeface="+mn-lt"/>
                      <a:ea typeface="+mn-ea"/>
                      <a:cs typeface="+mn-cs"/>
                    </a:rPr>
                    <m:t>𝑧</m:t>
                  </m:r>
                  <m:r>
                    <a:rPr lang="en-US" sz="1100" i="0">
                      <a:solidFill>
                        <a:schemeClr val="dk1"/>
                      </a:solidFill>
                      <a:latin typeface="+mn-lt"/>
                      <a:ea typeface="+mn-ea"/>
                      <a:cs typeface="+mn-cs"/>
                    </a:rPr>
                    <m:t>=4</m:t>
                  </m:r>
                  <m:d>
                    <m:dPr>
                      <m:ctrlPr>
                        <a:rPr lang="ar-AE" sz="1100" i="1">
                          <a:solidFill>
                            <a:schemeClr val="dk1"/>
                          </a:solidFill>
                          <a:latin typeface="+mn-lt"/>
                          <a:ea typeface="+mn-ea"/>
                          <a:cs typeface="+mn-cs"/>
                        </a:rPr>
                      </m:ctrlPr>
                    </m:dPr>
                    <m:e>
                      <m:r>
                        <a:rPr lang="ar-AE" sz="1100" i="0">
                          <a:solidFill>
                            <a:schemeClr val="dk1"/>
                          </a:solidFill>
                          <a:latin typeface="+mn-lt"/>
                          <a:ea typeface="+mn-ea"/>
                          <a:cs typeface="+mn-cs"/>
                        </a:rPr>
                        <m:t>0</m:t>
                      </m:r>
                    </m:e>
                  </m:d>
                  <m:r>
                    <a:rPr lang="ar-AE" sz="1100" i="0">
                      <a:solidFill>
                        <a:schemeClr val="dk1"/>
                      </a:solidFill>
                      <a:latin typeface="+mn-lt"/>
                      <a:ea typeface="+mn-ea"/>
                      <a:cs typeface="+mn-cs"/>
                    </a:rPr>
                    <m:t>+2</m:t>
                  </m:r>
                  <m:d>
                    <m:dPr>
                      <m:ctrlPr>
                        <a:rPr lang="ar-AE" sz="1100" i="1">
                          <a:solidFill>
                            <a:schemeClr val="dk1"/>
                          </a:solidFill>
                          <a:latin typeface="+mn-lt"/>
                          <a:ea typeface="+mn-ea"/>
                          <a:cs typeface="+mn-cs"/>
                        </a:rPr>
                      </m:ctrlPr>
                    </m:dPr>
                    <m:e>
                      <m:r>
                        <a:rPr lang="ar-AE" sz="1100" i="0">
                          <a:solidFill>
                            <a:schemeClr val="dk1"/>
                          </a:solidFill>
                          <a:latin typeface="+mn-lt"/>
                          <a:ea typeface="+mn-ea"/>
                          <a:cs typeface="+mn-cs"/>
                        </a:rPr>
                        <m:t>0</m:t>
                      </m:r>
                    </m:e>
                  </m:d>
                  <m:r>
                    <a:rPr lang="ar-AE" sz="1100" i="0">
                      <a:solidFill>
                        <a:schemeClr val="dk1"/>
                      </a:solidFill>
                      <a:latin typeface="+mn-lt"/>
                      <a:ea typeface="+mn-ea"/>
                      <a:cs typeface="+mn-cs"/>
                    </a:rPr>
                    <m:t>=0</m:t>
                  </m:r>
                </m:oMath>
              </a14:m>
              <a:r>
                <a:rPr lang="ar-AE" sz="1100" b="0" i="0">
                  <a:solidFill>
                    <a:schemeClr val="dk1"/>
                  </a:solidFill>
                  <a:effectLst/>
                  <a:latin typeface="+mn-lt"/>
                  <a:ea typeface="+mn-ea"/>
                  <a:cs typeface="+mn-cs"/>
                </a:rPr>
                <a:t>.</a:t>
              </a:r>
            </a:p>
            <a:p>
              <a:r>
                <a:rPr lang="en-US" sz="1100" b="0" i="0">
                  <a:solidFill>
                    <a:schemeClr val="dk1"/>
                  </a:solidFill>
                  <a:effectLst/>
                  <a:latin typeface="+mn-lt"/>
                  <a:ea typeface="+mn-ea"/>
                  <a:cs typeface="+mn-cs"/>
                </a:rPr>
                <a:t>Basis {X2, S1}: </a:t>
              </a:r>
              <a14:m>
                <m:oMath xmlns:m="http://schemas.openxmlformats.org/officeDocument/2006/math">
                  <m:d>
                    <m:dPr>
                      <m:sepChr m:val=","/>
                      <m:ctrlPr>
                        <a:rPr lang="ar-AE" sz="1100">
                          <a:solidFill>
                            <a:schemeClr val="dk1"/>
                          </a:solidFill>
                          <a:latin typeface="+mn-lt"/>
                          <a:ea typeface="+mn-ea"/>
                          <a:cs typeface="+mn-cs"/>
                        </a:rPr>
                      </m:ctrlPr>
                    </m:dPr>
                    <m:e>
                      <m:r>
                        <a:rPr lang="ar-AE" sz="1100">
                          <a:solidFill>
                            <a:schemeClr val="dk1"/>
                          </a:solidFill>
                          <a:latin typeface="+mn-lt"/>
                          <a:ea typeface="+mn-ea"/>
                          <a:cs typeface="+mn-cs"/>
                        </a:rPr>
                        <m:t>0</m:t>
                      </m:r>
                    </m:e>
                    <m:e>
                      <m:r>
                        <a:rPr lang="ar-AE" sz="1100" i="0">
                          <a:solidFill>
                            <a:schemeClr val="dk1"/>
                          </a:solidFill>
                          <a:latin typeface="+mn-lt"/>
                          <a:ea typeface="+mn-ea"/>
                          <a:cs typeface="+mn-cs"/>
                        </a:rPr>
                        <m:t>3</m:t>
                      </m:r>
                    </m:e>
                    <m:e>
                      <m:r>
                        <a:rPr lang="ar-AE" sz="1100" i="0">
                          <a:solidFill>
                            <a:schemeClr val="dk1"/>
                          </a:solidFill>
                          <a:latin typeface="+mn-lt"/>
                          <a:ea typeface="+mn-ea"/>
                          <a:cs typeface="+mn-cs"/>
                        </a:rPr>
                        <m:t>8</m:t>
                      </m:r>
                    </m:e>
                    <m:e>
                      <m:r>
                        <a:rPr lang="ar-AE" sz="1100" i="0">
                          <a:solidFill>
                            <a:schemeClr val="dk1"/>
                          </a:solidFill>
                          <a:latin typeface="+mn-lt"/>
                          <a:ea typeface="+mn-ea"/>
                          <a:cs typeface="+mn-cs"/>
                        </a:rPr>
                        <m:t>0</m:t>
                      </m:r>
                    </m:e>
                  </m:d>
                </m:oMath>
              </a14:m>
              <a:r>
                <a:rPr lang="ar-AE" sz="1100" b="0" i="0">
                  <a:solidFill>
                    <a:schemeClr val="dk1"/>
                  </a:solidFill>
                  <a:effectLst/>
                  <a:latin typeface="+mn-lt"/>
                  <a:ea typeface="+mn-ea"/>
                  <a:cs typeface="+mn-cs"/>
                </a:rPr>
                <a:t> </a:t>
              </a:r>
              <a:r>
                <a:rPr lang="en-US" sz="1100" b="0" i="0">
                  <a:solidFill>
                    <a:schemeClr val="dk1"/>
                  </a:solidFill>
                  <a:effectLst/>
                  <a:latin typeface="+mn-lt"/>
                  <a:ea typeface="+mn-ea"/>
                  <a:cs typeface="+mn-cs"/>
                </a:rPr>
                <a:t>and </a:t>
              </a:r>
              <a14:m>
                <m:oMath xmlns:m="http://schemas.openxmlformats.org/officeDocument/2006/math">
                  <m:r>
                    <a:rPr lang="en-US" sz="1100" i="1">
                      <a:solidFill>
                        <a:schemeClr val="dk1"/>
                      </a:solidFill>
                      <a:latin typeface="+mn-lt"/>
                      <a:ea typeface="+mn-ea"/>
                      <a:cs typeface="+mn-cs"/>
                    </a:rPr>
                    <m:t>𝑧</m:t>
                  </m:r>
                  <m:r>
                    <a:rPr lang="en-US" sz="1100" i="0">
                      <a:solidFill>
                        <a:schemeClr val="dk1"/>
                      </a:solidFill>
                      <a:latin typeface="+mn-lt"/>
                      <a:ea typeface="+mn-ea"/>
                      <a:cs typeface="+mn-cs"/>
                    </a:rPr>
                    <m:t>=4</m:t>
                  </m:r>
                  <m:d>
                    <m:dPr>
                      <m:ctrlPr>
                        <a:rPr lang="ar-AE" sz="1100" i="1">
                          <a:solidFill>
                            <a:schemeClr val="dk1"/>
                          </a:solidFill>
                          <a:latin typeface="+mn-lt"/>
                          <a:ea typeface="+mn-ea"/>
                          <a:cs typeface="+mn-cs"/>
                        </a:rPr>
                      </m:ctrlPr>
                    </m:dPr>
                    <m:e>
                      <m:r>
                        <a:rPr lang="ar-AE" sz="1100" i="0">
                          <a:solidFill>
                            <a:schemeClr val="dk1"/>
                          </a:solidFill>
                          <a:latin typeface="+mn-lt"/>
                          <a:ea typeface="+mn-ea"/>
                          <a:cs typeface="+mn-cs"/>
                        </a:rPr>
                        <m:t>0</m:t>
                      </m:r>
                    </m:e>
                  </m:d>
                  <m:r>
                    <a:rPr lang="ar-AE" sz="1100" i="0">
                      <a:solidFill>
                        <a:schemeClr val="dk1"/>
                      </a:solidFill>
                      <a:latin typeface="+mn-lt"/>
                      <a:ea typeface="+mn-ea"/>
                      <a:cs typeface="+mn-cs"/>
                    </a:rPr>
                    <m:t>+2</m:t>
                  </m:r>
                  <m:d>
                    <m:dPr>
                      <m:ctrlPr>
                        <a:rPr lang="ar-AE" sz="1100" i="1">
                          <a:solidFill>
                            <a:schemeClr val="dk1"/>
                          </a:solidFill>
                          <a:latin typeface="+mn-lt"/>
                          <a:ea typeface="+mn-ea"/>
                          <a:cs typeface="+mn-cs"/>
                        </a:rPr>
                      </m:ctrlPr>
                    </m:dPr>
                    <m:e>
                      <m:r>
                        <a:rPr lang="ar-AE" sz="1100" i="0">
                          <a:solidFill>
                            <a:schemeClr val="dk1"/>
                          </a:solidFill>
                          <a:latin typeface="+mn-lt"/>
                          <a:ea typeface="+mn-ea"/>
                          <a:cs typeface="+mn-cs"/>
                        </a:rPr>
                        <m:t>3</m:t>
                      </m:r>
                    </m:e>
                  </m:d>
                  <m:r>
                    <a:rPr lang="ar-AE" sz="1100" i="0">
                      <a:solidFill>
                        <a:schemeClr val="dk1"/>
                      </a:solidFill>
                      <a:latin typeface="+mn-lt"/>
                      <a:ea typeface="+mn-ea"/>
                      <a:cs typeface="+mn-cs"/>
                    </a:rPr>
                    <m:t>=6</m:t>
                  </m:r>
                </m:oMath>
              </a14:m>
              <a:r>
                <a:rPr lang="ar-AE" sz="1100" b="0" i="0">
                  <a:solidFill>
                    <a:schemeClr val="dk1"/>
                  </a:solidFill>
                  <a:effectLst/>
                  <a:latin typeface="+mn-lt"/>
                  <a:ea typeface="+mn-ea"/>
                  <a:cs typeface="+mn-cs"/>
                </a:rPr>
                <a:t>.</a:t>
              </a:r>
            </a:p>
            <a:p>
              <a:r>
                <a:rPr lang="en-US" sz="1100" b="0" i="0">
                  <a:solidFill>
                    <a:schemeClr val="dk1"/>
                  </a:solidFill>
                  <a:effectLst/>
                  <a:latin typeface="+mn-lt"/>
                  <a:ea typeface="+mn-ea"/>
                  <a:cs typeface="+mn-cs"/>
                </a:rPr>
                <a:t>Basis {X1, S1}: </a:t>
              </a:r>
              <a14:m>
                <m:oMath xmlns:m="http://schemas.openxmlformats.org/officeDocument/2006/math">
                  <m:d>
                    <m:dPr>
                      <m:sepChr m:val=","/>
                      <m:ctrlPr>
                        <a:rPr lang="ar-AE" sz="1100">
                          <a:solidFill>
                            <a:schemeClr val="dk1"/>
                          </a:solidFill>
                          <a:latin typeface="+mn-lt"/>
                          <a:ea typeface="+mn-ea"/>
                          <a:cs typeface="+mn-cs"/>
                        </a:rPr>
                      </m:ctrlPr>
                    </m:dPr>
                    <m:e>
                      <m:r>
                        <a:rPr lang="ar-AE" sz="1100">
                          <a:solidFill>
                            <a:schemeClr val="dk1"/>
                          </a:solidFill>
                          <a:latin typeface="+mn-lt"/>
                          <a:ea typeface="+mn-ea"/>
                          <a:cs typeface="+mn-cs"/>
                        </a:rPr>
                        <m:t>5</m:t>
                      </m:r>
                    </m:e>
                    <m:e>
                      <m:r>
                        <a:rPr lang="ar-AE" sz="1100" i="0">
                          <a:solidFill>
                            <a:schemeClr val="dk1"/>
                          </a:solidFill>
                          <a:latin typeface="+mn-lt"/>
                          <a:ea typeface="+mn-ea"/>
                          <a:cs typeface="+mn-cs"/>
                        </a:rPr>
                        <m:t>0</m:t>
                      </m:r>
                    </m:e>
                    <m:e>
                      <m:r>
                        <a:rPr lang="ar-AE" sz="1100" i="0">
                          <a:solidFill>
                            <a:schemeClr val="dk1"/>
                          </a:solidFill>
                          <a:latin typeface="+mn-lt"/>
                          <a:ea typeface="+mn-ea"/>
                          <a:cs typeface="+mn-cs"/>
                        </a:rPr>
                        <m:t>10</m:t>
                      </m:r>
                    </m:e>
                    <m:e>
                      <m:r>
                        <a:rPr lang="ar-AE" sz="1100" i="0">
                          <a:solidFill>
                            <a:schemeClr val="dk1"/>
                          </a:solidFill>
                          <a:latin typeface="+mn-lt"/>
                          <a:ea typeface="+mn-ea"/>
                          <a:cs typeface="+mn-cs"/>
                        </a:rPr>
                        <m:t>0</m:t>
                      </m:r>
                    </m:e>
                  </m:d>
                </m:oMath>
              </a14:m>
              <a:r>
                <a:rPr lang="ar-AE" sz="1100" b="0" i="0">
                  <a:solidFill>
                    <a:schemeClr val="dk1"/>
                  </a:solidFill>
                  <a:effectLst/>
                  <a:latin typeface="+mn-lt"/>
                  <a:ea typeface="+mn-ea"/>
                  <a:cs typeface="+mn-cs"/>
                </a:rPr>
                <a:t> </a:t>
              </a:r>
              <a:r>
                <a:rPr lang="en-US" sz="1100" b="0" i="0">
                  <a:solidFill>
                    <a:schemeClr val="dk1"/>
                  </a:solidFill>
                  <a:effectLst/>
                  <a:latin typeface="+mn-lt"/>
                  <a:ea typeface="+mn-ea"/>
                  <a:cs typeface="+mn-cs"/>
                </a:rPr>
                <a:t>and </a:t>
              </a:r>
              <a14:m>
                <m:oMath xmlns:m="http://schemas.openxmlformats.org/officeDocument/2006/math">
                  <m:r>
                    <a:rPr lang="en-US" sz="1100" i="1">
                      <a:solidFill>
                        <a:schemeClr val="dk1"/>
                      </a:solidFill>
                      <a:latin typeface="+mn-lt"/>
                      <a:ea typeface="+mn-ea"/>
                      <a:cs typeface="+mn-cs"/>
                    </a:rPr>
                    <m:t>𝑧</m:t>
                  </m:r>
                  <m:r>
                    <a:rPr lang="en-US" sz="1100" i="0">
                      <a:solidFill>
                        <a:schemeClr val="dk1"/>
                      </a:solidFill>
                      <a:latin typeface="+mn-lt"/>
                      <a:ea typeface="+mn-ea"/>
                      <a:cs typeface="+mn-cs"/>
                    </a:rPr>
                    <m:t>=4</m:t>
                  </m:r>
                  <m:d>
                    <m:dPr>
                      <m:ctrlPr>
                        <a:rPr lang="ar-AE" sz="1100" i="1">
                          <a:solidFill>
                            <a:schemeClr val="dk1"/>
                          </a:solidFill>
                          <a:latin typeface="+mn-lt"/>
                          <a:ea typeface="+mn-ea"/>
                          <a:cs typeface="+mn-cs"/>
                        </a:rPr>
                      </m:ctrlPr>
                    </m:dPr>
                    <m:e>
                      <m:r>
                        <a:rPr lang="ar-AE" sz="1100" i="0">
                          <a:solidFill>
                            <a:schemeClr val="dk1"/>
                          </a:solidFill>
                          <a:latin typeface="+mn-lt"/>
                          <a:ea typeface="+mn-ea"/>
                          <a:cs typeface="+mn-cs"/>
                        </a:rPr>
                        <m:t>5</m:t>
                      </m:r>
                    </m:e>
                  </m:d>
                  <m:r>
                    <a:rPr lang="ar-AE" sz="1100" i="0">
                      <a:solidFill>
                        <a:schemeClr val="dk1"/>
                      </a:solidFill>
                      <a:latin typeface="+mn-lt"/>
                      <a:ea typeface="+mn-ea"/>
                      <a:cs typeface="+mn-cs"/>
                    </a:rPr>
                    <m:t>+2</m:t>
                  </m:r>
                  <m:d>
                    <m:dPr>
                      <m:ctrlPr>
                        <a:rPr lang="ar-AE" sz="1100" i="1">
                          <a:solidFill>
                            <a:schemeClr val="dk1"/>
                          </a:solidFill>
                          <a:latin typeface="+mn-lt"/>
                          <a:ea typeface="+mn-ea"/>
                          <a:cs typeface="+mn-cs"/>
                        </a:rPr>
                      </m:ctrlPr>
                    </m:dPr>
                    <m:e>
                      <m:r>
                        <a:rPr lang="ar-AE" sz="1100" i="0">
                          <a:solidFill>
                            <a:schemeClr val="dk1"/>
                          </a:solidFill>
                          <a:latin typeface="+mn-lt"/>
                          <a:ea typeface="+mn-ea"/>
                          <a:cs typeface="+mn-cs"/>
                        </a:rPr>
                        <m:t>0</m:t>
                      </m:r>
                    </m:e>
                  </m:d>
                  <m:r>
                    <a:rPr lang="ar-AE" sz="1100" i="0">
                      <a:solidFill>
                        <a:schemeClr val="dk1"/>
                      </a:solidFill>
                      <a:latin typeface="+mn-lt"/>
                      <a:ea typeface="+mn-ea"/>
                      <a:cs typeface="+mn-cs"/>
                    </a:rPr>
                    <m:t>=20</m:t>
                  </m:r>
                </m:oMath>
              </a14:m>
              <a:r>
                <a:rPr lang="ar-AE" sz="1100" b="0" i="0">
                  <a:solidFill>
                    <a:schemeClr val="dk1"/>
                  </a:solidFill>
                  <a:effectLst/>
                  <a:latin typeface="+mn-lt"/>
                  <a:ea typeface="+mn-ea"/>
                  <a:cs typeface="+mn-cs"/>
                </a:rPr>
                <a:t>.</a:t>
              </a:r>
            </a:p>
            <a:p>
              <a:r>
                <a:rPr lang="en-US" sz="1100" b="1" i="0">
                  <a:solidFill>
                    <a:schemeClr val="dk1"/>
                  </a:solidFill>
                  <a:effectLst/>
                  <a:latin typeface="+mn-lt"/>
                  <a:ea typeface="+mn-ea"/>
                  <a:cs typeface="+mn-cs"/>
                </a:rPr>
                <a:t>Infeasible basics</a:t>
              </a:r>
            </a:p>
            <a:p>
              <a:r>
                <a:rPr lang="en-US" sz="1100" b="0" i="0">
                  <a:solidFill>
                    <a:schemeClr val="dk1"/>
                  </a:solidFill>
                  <a:effectLst/>
                  <a:latin typeface="+mn-lt"/>
                  <a:ea typeface="+mn-ea"/>
                  <a:cs typeface="+mn-cs"/>
                </a:rPr>
                <a:t>Basis {X1, X2}: </a:t>
              </a:r>
              <a14:m>
                <m:oMath xmlns:m="http://schemas.openxmlformats.org/officeDocument/2006/math">
                  <m:d>
                    <m:dPr>
                      <m:sepChr m:val=","/>
                      <m:ctrlPr>
                        <a:rPr lang="ar-AE" sz="1100">
                          <a:solidFill>
                            <a:schemeClr val="dk1"/>
                          </a:solidFill>
                          <a:latin typeface="+mn-lt"/>
                          <a:ea typeface="+mn-ea"/>
                          <a:cs typeface="+mn-cs"/>
                        </a:rPr>
                      </m:ctrlPr>
                    </m:dPr>
                    <m:e>
                      <m:r>
                        <a:rPr lang="ar-AE" sz="1100">
                          <a:solidFill>
                            <a:schemeClr val="dk1"/>
                          </a:solidFill>
                          <a:latin typeface="+mn-lt"/>
                          <a:ea typeface="+mn-ea"/>
                          <a:cs typeface="+mn-cs"/>
                        </a:rPr>
                        <m:t>−</m:t>
                      </m:r>
                    </m:e>
                    <m:e>
                      <m:r>
                        <a:rPr lang="ar-AE" sz="1100" i="0">
                          <a:solidFill>
                            <a:schemeClr val="dk1"/>
                          </a:solidFill>
                          <a:latin typeface="+mn-lt"/>
                          <a:ea typeface="+mn-ea"/>
                          <a:cs typeface="+mn-cs"/>
                        </a:rPr>
                        <m:t>20</m:t>
                      </m:r>
                    </m:e>
                    <m:e>
                      <m:r>
                        <a:rPr lang="ar-AE" sz="1100" i="0">
                          <a:solidFill>
                            <a:schemeClr val="dk1"/>
                          </a:solidFill>
                          <a:latin typeface="+mn-lt"/>
                          <a:ea typeface="+mn-ea"/>
                          <a:cs typeface="+mn-cs"/>
                        </a:rPr>
                        <m:t>15</m:t>
                      </m:r>
                    </m:e>
                    <m:e>
                      <m:r>
                        <a:rPr lang="ar-AE" sz="1100" i="0">
                          <a:solidFill>
                            <a:schemeClr val="dk1"/>
                          </a:solidFill>
                          <a:latin typeface="+mn-lt"/>
                          <a:ea typeface="+mn-ea"/>
                          <a:cs typeface="+mn-cs"/>
                        </a:rPr>
                        <m:t>00</m:t>
                      </m:r>
                    </m:e>
                  </m:d>
                </m:oMath>
              </a14:m>
              <a:r>
                <a:rPr lang="ar-AE" sz="1100" b="0" i="0">
                  <a:solidFill>
                    <a:schemeClr val="dk1"/>
                  </a:solidFill>
                  <a:effectLst/>
                  <a:latin typeface="+mn-lt"/>
                  <a:ea typeface="+mn-ea"/>
                  <a:cs typeface="+mn-cs"/>
                </a:rPr>
                <a:t> </a:t>
              </a:r>
              <a:r>
                <a:rPr lang="en-US" sz="1100" b="0" i="0">
                  <a:solidFill>
                    <a:schemeClr val="dk1"/>
                  </a:solidFill>
                  <a:effectLst/>
                  <a:latin typeface="+mn-lt"/>
                  <a:ea typeface="+mn-ea"/>
                  <a:cs typeface="+mn-cs"/>
                </a:rPr>
                <a:t>violates </a:t>
              </a:r>
              <a14:m>
                <m:oMath xmlns:m="http://schemas.openxmlformats.org/officeDocument/2006/math">
                  <m:sSub>
                    <m:sSubPr>
                      <m:ctrlPr>
                        <a:rPr lang="ar-AE" sz="1100">
                          <a:solidFill>
                            <a:schemeClr val="dk1"/>
                          </a:solidFill>
                          <a:latin typeface="+mn-lt"/>
                          <a:ea typeface="+mn-ea"/>
                          <a:cs typeface="+mn-cs"/>
                        </a:rPr>
                      </m:ctrlPr>
                    </m:sSubPr>
                    <m:e>
                      <m:r>
                        <a:rPr lang="ar-AE" sz="1100" i="1">
                          <a:solidFill>
                            <a:schemeClr val="dk1"/>
                          </a:solidFill>
                          <a:latin typeface="+mn-lt"/>
                          <a:ea typeface="+mn-ea"/>
                          <a:cs typeface="+mn-cs"/>
                        </a:rPr>
                        <m:t>𝑋</m:t>
                      </m:r>
                    </m:e>
                    <m:sub>
                      <m:r>
                        <a:rPr lang="ar-AE" sz="1100" i="0">
                          <a:solidFill>
                            <a:schemeClr val="dk1"/>
                          </a:solidFill>
                          <a:latin typeface="+mn-lt"/>
                          <a:ea typeface="+mn-ea"/>
                          <a:cs typeface="+mn-cs"/>
                        </a:rPr>
                        <m:t>1</m:t>
                      </m:r>
                    </m:sub>
                  </m:sSub>
                  <m:r>
                    <a:rPr lang="ar-AE" sz="1100" i="0">
                      <a:solidFill>
                        <a:schemeClr val="dk1"/>
                      </a:solidFill>
                      <a:latin typeface="+mn-lt"/>
                      <a:ea typeface="+mn-ea"/>
                      <a:cs typeface="+mn-cs"/>
                    </a:rPr>
                    <m:t>≥0</m:t>
                  </m:r>
                </m:oMath>
              </a14:m>
              <a:r>
                <a:rPr lang="ar-AE" sz="1100" b="0" i="0">
                  <a:solidFill>
                    <a:schemeClr val="dk1"/>
                  </a:solidFill>
                  <a:effectLst/>
                  <a:latin typeface="+mn-lt"/>
                  <a:ea typeface="+mn-ea"/>
                  <a:cs typeface="+mn-cs"/>
                </a:rPr>
                <a:t>.</a:t>
              </a:r>
            </a:p>
            <a:p>
              <a:r>
                <a:rPr lang="en-US" sz="1100" b="0" i="0">
                  <a:solidFill>
                    <a:schemeClr val="dk1"/>
                  </a:solidFill>
                  <a:effectLst/>
                  <a:latin typeface="+mn-lt"/>
                  <a:ea typeface="+mn-ea"/>
                  <a:cs typeface="+mn-cs"/>
                </a:rPr>
                <a:t>Basis {X2, S2}: </a:t>
              </a:r>
              <a14:m>
                <m:oMath xmlns:m="http://schemas.openxmlformats.org/officeDocument/2006/math">
                  <m:d>
                    <m:dPr>
                      <m:sepChr m:val=","/>
                      <m:ctrlPr>
                        <a:rPr lang="ar-AE" sz="1100">
                          <a:solidFill>
                            <a:schemeClr val="dk1"/>
                          </a:solidFill>
                          <a:latin typeface="+mn-lt"/>
                          <a:ea typeface="+mn-ea"/>
                          <a:cs typeface="+mn-cs"/>
                        </a:rPr>
                      </m:ctrlPr>
                    </m:dPr>
                    <m:e>
                      <m:r>
                        <a:rPr lang="ar-AE" sz="1100">
                          <a:solidFill>
                            <a:schemeClr val="dk1"/>
                          </a:solidFill>
                          <a:latin typeface="+mn-lt"/>
                          <a:ea typeface="+mn-ea"/>
                          <a:cs typeface="+mn-cs"/>
                        </a:rPr>
                        <m:t>0</m:t>
                      </m:r>
                    </m:e>
                    <m:e>
                      <m:r>
                        <a:rPr lang="ar-AE" sz="1100" i="0">
                          <a:solidFill>
                            <a:schemeClr val="dk1"/>
                          </a:solidFill>
                          <a:latin typeface="+mn-lt"/>
                          <a:ea typeface="+mn-ea"/>
                          <a:cs typeface="+mn-cs"/>
                        </a:rPr>
                        <m:t>5</m:t>
                      </m:r>
                    </m:e>
                    <m:e>
                      <m:r>
                        <a:rPr lang="ar-AE" sz="1100" i="0">
                          <a:solidFill>
                            <a:schemeClr val="dk1"/>
                          </a:solidFill>
                          <a:latin typeface="+mn-lt"/>
                          <a:ea typeface="+mn-ea"/>
                          <a:cs typeface="+mn-cs"/>
                        </a:rPr>
                        <m:t>0</m:t>
                      </m:r>
                    </m:e>
                    <m:e>
                      <m:r>
                        <a:rPr lang="ar-AE" sz="1100" i="0">
                          <a:solidFill>
                            <a:schemeClr val="dk1"/>
                          </a:solidFill>
                          <a:latin typeface="+mn-lt"/>
                          <a:ea typeface="+mn-ea"/>
                          <a:cs typeface="+mn-cs"/>
                        </a:rPr>
                        <m:t>−10</m:t>
                      </m:r>
                    </m:e>
                  </m:d>
                </m:oMath>
              </a14:m>
              <a:r>
                <a:rPr lang="ar-AE" sz="1100" b="0" i="0">
                  <a:solidFill>
                    <a:schemeClr val="dk1"/>
                  </a:solidFill>
                  <a:effectLst/>
                  <a:latin typeface="+mn-lt"/>
                  <a:ea typeface="+mn-ea"/>
                  <a:cs typeface="+mn-cs"/>
                </a:rPr>
                <a:t> </a:t>
              </a:r>
              <a:r>
                <a:rPr lang="en-US" sz="1100" b="0" i="0">
                  <a:solidFill>
                    <a:schemeClr val="dk1"/>
                  </a:solidFill>
                  <a:effectLst/>
                  <a:latin typeface="+mn-lt"/>
                  <a:ea typeface="+mn-ea"/>
                  <a:cs typeface="+mn-cs"/>
                </a:rPr>
                <a:t>violates </a:t>
              </a:r>
              <a14:m>
                <m:oMath xmlns:m="http://schemas.openxmlformats.org/officeDocument/2006/math">
                  <m:sSub>
                    <m:sSubPr>
                      <m:ctrlPr>
                        <a:rPr lang="ar-AE" sz="1100">
                          <a:solidFill>
                            <a:schemeClr val="dk1"/>
                          </a:solidFill>
                          <a:latin typeface="+mn-lt"/>
                          <a:ea typeface="+mn-ea"/>
                          <a:cs typeface="+mn-cs"/>
                        </a:rPr>
                      </m:ctrlPr>
                    </m:sSubPr>
                    <m:e>
                      <m:r>
                        <a:rPr lang="ar-AE" sz="1100" i="1">
                          <a:solidFill>
                            <a:schemeClr val="dk1"/>
                          </a:solidFill>
                          <a:latin typeface="+mn-lt"/>
                          <a:ea typeface="+mn-ea"/>
                          <a:cs typeface="+mn-cs"/>
                        </a:rPr>
                        <m:t>𝑆</m:t>
                      </m:r>
                    </m:e>
                    <m:sub>
                      <m:r>
                        <a:rPr lang="ar-AE" sz="1100" i="0">
                          <a:solidFill>
                            <a:schemeClr val="dk1"/>
                          </a:solidFill>
                          <a:latin typeface="+mn-lt"/>
                          <a:ea typeface="+mn-ea"/>
                          <a:cs typeface="+mn-cs"/>
                        </a:rPr>
                        <m:t>2</m:t>
                      </m:r>
                    </m:sub>
                  </m:sSub>
                  <m:r>
                    <a:rPr lang="ar-AE" sz="1100" i="0">
                      <a:solidFill>
                        <a:schemeClr val="dk1"/>
                      </a:solidFill>
                      <a:latin typeface="+mn-lt"/>
                      <a:ea typeface="+mn-ea"/>
                      <a:cs typeface="+mn-cs"/>
                    </a:rPr>
                    <m:t>≥0</m:t>
                  </m:r>
                </m:oMath>
              </a14:m>
              <a:r>
                <a:rPr lang="ar-AE" sz="1100" b="0" i="0">
                  <a:solidFill>
                    <a:schemeClr val="dk1"/>
                  </a:solidFill>
                  <a:effectLst/>
                  <a:latin typeface="+mn-lt"/>
                  <a:ea typeface="+mn-ea"/>
                  <a:cs typeface="+mn-cs"/>
                </a:rPr>
                <a:t>.</a:t>
              </a:r>
            </a:p>
            <a:p>
              <a:r>
                <a:rPr lang="en-US" sz="1100" b="0" i="0">
                  <a:solidFill>
                    <a:schemeClr val="dk1"/>
                  </a:solidFill>
                  <a:effectLst/>
                  <a:latin typeface="+mn-lt"/>
                  <a:ea typeface="+mn-ea"/>
                  <a:cs typeface="+mn-cs"/>
                </a:rPr>
                <a:t>Basis {X1, S2}: </a:t>
              </a:r>
              <a14:m>
                <m:oMath xmlns:m="http://schemas.openxmlformats.org/officeDocument/2006/math">
                  <m:d>
                    <m:dPr>
                      <m:sepChr m:val=","/>
                      <m:ctrlPr>
                        <a:rPr lang="ar-AE" sz="1100">
                          <a:solidFill>
                            <a:schemeClr val="dk1"/>
                          </a:solidFill>
                          <a:latin typeface="+mn-lt"/>
                          <a:ea typeface="+mn-ea"/>
                          <a:cs typeface="+mn-cs"/>
                        </a:rPr>
                      </m:ctrlPr>
                    </m:dPr>
                    <m:e>
                      <m:r>
                        <a:rPr lang="ar-AE" sz="1100">
                          <a:solidFill>
                            <a:schemeClr val="dk1"/>
                          </a:solidFill>
                          <a:latin typeface="+mn-lt"/>
                          <a:ea typeface="+mn-ea"/>
                          <a:cs typeface="+mn-cs"/>
                        </a:rPr>
                        <m:t>10</m:t>
                      </m:r>
                    </m:e>
                    <m:e>
                      <m:r>
                        <a:rPr lang="ar-AE" sz="1100" i="0">
                          <a:solidFill>
                            <a:schemeClr val="dk1"/>
                          </a:solidFill>
                          <a:latin typeface="+mn-lt"/>
                          <a:ea typeface="+mn-ea"/>
                          <a:cs typeface="+mn-cs"/>
                        </a:rPr>
                        <m:t>0</m:t>
                      </m:r>
                    </m:e>
                    <m:e>
                      <m:r>
                        <a:rPr lang="ar-AE" sz="1100" i="0">
                          <a:solidFill>
                            <a:schemeClr val="dk1"/>
                          </a:solidFill>
                          <a:latin typeface="+mn-lt"/>
                          <a:ea typeface="+mn-ea"/>
                          <a:cs typeface="+mn-cs"/>
                        </a:rPr>
                        <m:t>0</m:t>
                      </m:r>
                    </m:e>
                    <m:e>
                      <m:r>
                        <a:rPr lang="ar-AE" sz="1100" i="0">
                          <a:solidFill>
                            <a:schemeClr val="dk1"/>
                          </a:solidFill>
                          <a:latin typeface="+mn-lt"/>
                          <a:ea typeface="+mn-ea"/>
                          <a:cs typeface="+mn-cs"/>
                        </a:rPr>
                        <m:t>−15</m:t>
                      </m:r>
                    </m:e>
                  </m:d>
                </m:oMath>
              </a14:m>
              <a:r>
                <a:rPr lang="ar-AE" sz="1100" b="0" i="0">
                  <a:solidFill>
                    <a:schemeClr val="dk1"/>
                  </a:solidFill>
                  <a:effectLst/>
                  <a:latin typeface="+mn-lt"/>
                  <a:ea typeface="+mn-ea"/>
                  <a:cs typeface="+mn-cs"/>
                </a:rPr>
                <a:t> </a:t>
              </a:r>
              <a:r>
                <a:rPr lang="en-US" sz="1100" b="0" i="0">
                  <a:solidFill>
                    <a:schemeClr val="dk1"/>
                  </a:solidFill>
                  <a:effectLst/>
                  <a:latin typeface="+mn-lt"/>
                  <a:ea typeface="+mn-ea"/>
                  <a:cs typeface="+mn-cs"/>
                </a:rPr>
                <a:t>violates </a:t>
              </a:r>
              <a14:m>
                <m:oMath xmlns:m="http://schemas.openxmlformats.org/officeDocument/2006/math">
                  <m:sSub>
                    <m:sSubPr>
                      <m:ctrlPr>
                        <a:rPr lang="ar-AE" sz="1100">
                          <a:solidFill>
                            <a:schemeClr val="dk1"/>
                          </a:solidFill>
                          <a:latin typeface="+mn-lt"/>
                          <a:ea typeface="+mn-ea"/>
                          <a:cs typeface="+mn-cs"/>
                        </a:rPr>
                      </m:ctrlPr>
                    </m:sSubPr>
                    <m:e>
                      <m:r>
                        <a:rPr lang="ar-AE" sz="1100" i="1">
                          <a:solidFill>
                            <a:schemeClr val="dk1"/>
                          </a:solidFill>
                          <a:latin typeface="+mn-lt"/>
                          <a:ea typeface="+mn-ea"/>
                          <a:cs typeface="+mn-cs"/>
                        </a:rPr>
                        <m:t>𝑆</m:t>
                      </m:r>
                    </m:e>
                    <m:sub>
                      <m:r>
                        <a:rPr lang="ar-AE" sz="1100" i="0">
                          <a:solidFill>
                            <a:schemeClr val="dk1"/>
                          </a:solidFill>
                          <a:latin typeface="+mn-lt"/>
                          <a:ea typeface="+mn-ea"/>
                          <a:cs typeface="+mn-cs"/>
                        </a:rPr>
                        <m:t>2</m:t>
                      </m:r>
                    </m:sub>
                  </m:sSub>
                  <m:r>
                    <a:rPr lang="ar-AE" sz="1100" i="0">
                      <a:solidFill>
                        <a:schemeClr val="dk1"/>
                      </a:solidFill>
                      <a:latin typeface="+mn-lt"/>
                      <a:ea typeface="+mn-ea"/>
                      <a:cs typeface="+mn-cs"/>
                    </a:rPr>
                    <m:t>≥0</m:t>
                  </m:r>
                </m:oMath>
              </a14:m>
              <a:endParaRPr lang="ar-AE" sz="1100" b="0" i="0">
                <a:solidFill>
                  <a:schemeClr val="dk1"/>
                </a:solidFill>
                <a:effectLst/>
                <a:latin typeface="+mn-lt"/>
                <a:ea typeface="+mn-ea"/>
                <a:cs typeface="+mn-cs"/>
              </a:endParaRPr>
            </a:p>
            <a:p>
              <a:endParaRPr lang="en-US" sz="1100"/>
            </a:p>
            <a:p>
              <a:endParaRPr lang="en-US" sz="1100"/>
            </a:p>
            <a:p>
              <a:pPr marL="0" marR="0" lvl="0" indent="0" defTabSz="914400" eaLnBrk="1" fontAlgn="auto" latinLnBrk="0" hangingPunct="1">
                <a:lnSpc>
                  <a:spcPct val="100000"/>
                </a:lnSpc>
                <a:spcBef>
                  <a:spcPts val="0"/>
                </a:spcBef>
                <a:spcAft>
                  <a:spcPts val="0"/>
                </a:spcAft>
                <a:buClrTx/>
                <a:buSzTx/>
                <a:buFontTx/>
                <a:buNone/>
                <a:tabLst/>
                <a:defRPr/>
              </a:pPr>
              <a:r>
                <a:rPr lang="en-US" sz="1100"/>
                <a:t>4. What is the optimal solution to the problem?</a:t>
              </a:r>
              <a:br>
                <a:rPr lang="en-US" sz="1100"/>
              </a:br>
              <a:r>
                <a:rPr lang="en-US" sz="1100" b="1" i="0">
                  <a:solidFill>
                    <a:schemeClr val="dk1"/>
                  </a:solidFill>
                  <a:effectLst/>
                  <a:latin typeface="+mn-lt"/>
                  <a:ea typeface="+mn-ea"/>
                  <a:cs typeface="+mn-cs"/>
                </a:rPr>
                <a:t>The best (optimal) one is </a:t>
              </a:r>
              <a14:m>
                <m:oMath xmlns:m="http://schemas.openxmlformats.org/officeDocument/2006/math">
                  <m:d>
                    <m:dPr>
                      <m:sepChr m:val=","/>
                      <m:ctrlPr>
                        <a:rPr lang="ar-AE" sz="1100" b="1" i="1">
                          <a:solidFill>
                            <a:schemeClr val="dk1"/>
                          </a:solidFill>
                          <a:latin typeface="Cambria Math" panose="02040503050406030204" pitchFamily="18" charset="0"/>
                          <a:ea typeface="+mn-ea"/>
                          <a:cs typeface="+mn-cs"/>
                        </a:rPr>
                      </m:ctrlPr>
                    </m:dPr>
                    <m:e>
                      <m:r>
                        <a:rPr lang="ar-AE" sz="1100" b="1" i="1">
                          <a:solidFill>
                            <a:schemeClr val="dk1"/>
                          </a:solidFill>
                          <a:latin typeface="Cambria Math" panose="02040503050406030204" pitchFamily="18" charset="0"/>
                          <a:ea typeface="+mn-ea"/>
                          <a:cs typeface="+mn-cs"/>
                        </a:rPr>
                        <m:t>𝟓</m:t>
                      </m:r>
                    </m:e>
                    <m:e>
                      <m:r>
                        <a:rPr lang="ar-AE" sz="1100" b="1" i="0">
                          <a:solidFill>
                            <a:schemeClr val="dk1"/>
                          </a:solidFill>
                          <a:latin typeface="Cambria Math" panose="02040503050406030204" pitchFamily="18" charset="0"/>
                          <a:ea typeface="+mn-ea"/>
                          <a:cs typeface="+mn-cs"/>
                        </a:rPr>
                        <m:t>𝟎</m:t>
                      </m:r>
                    </m:e>
                  </m:d>
                </m:oMath>
              </a14:m>
              <a:r>
                <a:rPr lang="ar-AE" sz="1100" b="1" i="0">
                  <a:solidFill>
                    <a:schemeClr val="dk1"/>
                  </a:solidFill>
                  <a:effectLst/>
                  <a:latin typeface="+mn-lt"/>
                  <a:ea typeface="+mn-ea"/>
                  <a:cs typeface="+mn-cs"/>
                </a:rPr>
                <a:t> </a:t>
              </a:r>
              <a:r>
                <a:rPr lang="en-US" sz="1100" b="1" i="0">
                  <a:solidFill>
                    <a:schemeClr val="dk1"/>
                  </a:solidFill>
                  <a:effectLst/>
                  <a:latin typeface="+mn-lt"/>
                  <a:ea typeface="+mn-ea"/>
                  <a:cs typeface="+mn-cs"/>
                </a:rPr>
                <a:t>with </a:t>
              </a:r>
              <a14:m>
                <m:oMath xmlns:m="http://schemas.openxmlformats.org/officeDocument/2006/math">
                  <m:r>
                    <a:rPr lang="en-US" sz="1100" b="1" i="1">
                      <a:solidFill>
                        <a:schemeClr val="dk1"/>
                      </a:solidFill>
                      <a:latin typeface="Cambria Math" panose="02040503050406030204" pitchFamily="18" charset="0"/>
                      <a:ea typeface="+mn-ea"/>
                      <a:cs typeface="+mn-cs"/>
                    </a:rPr>
                    <m:t>𝒛</m:t>
                  </m:r>
                  <m:r>
                    <a:rPr lang="en-US" sz="1100" b="1" i="0">
                      <a:solidFill>
                        <a:schemeClr val="dk1"/>
                      </a:solidFill>
                      <a:latin typeface="Cambria Math" panose="02040503050406030204" pitchFamily="18" charset="0"/>
                      <a:ea typeface="+mn-ea"/>
                      <a:cs typeface="+mn-cs"/>
                    </a:rPr>
                    <m:t>=</m:t>
                  </m:r>
                  <m:r>
                    <a:rPr lang="en-US" sz="1100" b="1" i="0">
                      <a:solidFill>
                        <a:schemeClr val="dk1"/>
                      </a:solidFill>
                      <a:latin typeface="Cambria Math" panose="02040503050406030204" pitchFamily="18" charset="0"/>
                      <a:ea typeface="+mn-ea"/>
                      <a:cs typeface="+mn-cs"/>
                    </a:rPr>
                    <m:t>𝟐𝟎</m:t>
                  </m:r>
                </m:oMath>
              </a14:m>
              <a:r>
                <a:rPr lang="en-US" sz="1100" b="1" i="0">
                  <a:solidFill>
                    <a:schemeClr val="dk1"/>
                  </a:solidFill>
                  <a:effectLst/>
                  <a:latin typeface="+mn-lt"/>
                  <a:ea typeface="+mn-ea"/>
                  <a:cs typeface="+mn-cs"/>
                </a:rPr>
                <a:t>.</a:t>
              </a:r>
            </a:p>
            <a:p>
              <a:endParaRPr lang="en-US" sz="1100"/>
            </a:p>
            <a:p>
              <a:endParaRPr lang="en-US" sz="1100"/>
            </a:p>
            <a:p>
              <a:r>
                <a:rPr lang="en-US" sz="1100"/>
                <a:t>5.  Which constraints are binding at the optimal solution?</a:t>
              </a:r>
              <a:br>
                <a:rPr lang="en-US" sz="1100"/>
              </a:br>
              <a:r>
                <a:rPr lang="en-US" sz="1100" b="0" i="0">
                  <a:solidFill>
                    <a:schemeClr val="dk1"/>
                  </a:solidFill>
                  <a:effectLst/>
                  <a:latin typeface="+mn-lt"/>
                  <a:ea typeface="+mn-ea"/>
                  <a:cs typeface="+mn-cs"/>
                </a:rPr>
                <a:t>Binding: </a:t>
              </a:r>
              <a14:m>
                <m:oMath xmlns:m="http://schemas.openxmlformats.org/officeDocument/2006/math">
                  <m:r>
                    <a:rPr lang="en-US" sz="1100">
                      <a:solidFill>
                        <a:schemeClr val="dk1"/>
                      </a:solidFill>
                      <a:latin typeface="+mn-lt"/>
                      <a:ea typeface="+mn-ea"/>
                      <a:cs typeface="+mn-cs"/>
                    </a:rPr>
                    <m:t>3</m:t>
                  </m:r>
                  <m:sSub>
                    <m:sSubPr>
                      <m:ctrlPr>
                        <a:rPr lang="ar-AE" sz="1100" i="1">
                          <a:solidFill>
                            <a:schemeClr val="dk1"/>
                          </a:solidFill>
                          <a:latin typeface="+mn-lt"/>
                          <a:ea typeface="+mn-ea"/>
                          <a:cs typeface="+mn-cs"/>
                        </a:rPr>
                      </m:ctrlPr>
                    </m:sSubPr>
                    <m:e>
                      <m:r>
                        <a:rPr lang="ar-AE" sz="1100" i="1">
                          <a:solidFill>
                            <a:schemeClr val="dk1"/>
                          </a:solidFill>
                          <a:latin typeface="+mn-lt"/>
                          <a:ea typeface="+mn-ea"/>
                          <a:cs typeface="+mn-cs"/>
                        </a:rPr>
                        <m:t>𝑋</m:t>
                      </m:r>
                    </m:e>
                    <m:sub>
                      <m:r>
                        <a:rPr lang="ar-AE" sz="1100" i="0">
                          <a:solidFill>
                            <a:schemeClr val="dk1"/>
                          </a:solidFill>
                          <a:latin typeface="+mn-lt"/>
                          <a:ea typeface="+mn-ea"/>
                          <a:cs typeface="+mn-cs"/>
                        </a:rPr>
                        <m:t>1</m:t>
                      </m:r>
                    </m:sub>
                  </m:sSub>
                  <m:r>
                    <a:rPr lang="ar-AE" sz="1100" i="0">
                      <a:solidFill>
                        <a:schemeClr val="dk1"/>
                      </a:solidFill>
                      <a:latin typeface="+mn-lt"/>
                      <a:ea typeface="+mn-ea"/>
                      <a:cs typeface="+mn-cs"/>
                    </a:rPr>
                    <m:t>+5</m:t>
                  </m:r>
                  <m:sSub>
                    <m:sSubPr>
                      <m:ctrlPr>
                        <a:rPr lang="ar-AE" sz="1100" i="1">
                          <a:solidFill>
                            <a:schemeClr val="dk1"/>
                          </a:solidFill>
                          <a:latin typeface="+mn-lt"/>
                          <a:ea typeface="+mn-ea"/>
                          <a:cs typeface="+mn-cs"/>
                        </a:rPr>
                      </m:ctrlPr>
                    </m:sSubPr>
                    <m:e>
                      <m:r>
                        <a:rPr lang="ar-AE" sz="1100" i="1">
                          <a:solidFill>
                            <a:schemeClr val="dk1"/>
                          </a:solidFill>
                          <a:latin typeface="+mn-lt"/>
                          <a:ea typeface="+mn-ea"/>
                          <a:cs typeface="+mn-cs"/>
                        </a:rPr>
                        <m:t>𝑋</m:t>
                      </m:r>
                    </m:e>
                    <m:sub>
                      <m:r>
                        <a:rPr lang="ar-AE" sz="1100" i="0">
                          <a:solidFill>
                            <a:schemeClr val="dk1"/>
                          </a:solidFill>
                          <a:latin typeface="+mn-lt"/>
                          <a:ea typeface="+mn-ea"/>
                          <a:cs typeface="+mn-cs"/>
                        </a:rPr>
                        <m:t>2</m:t>
                      </m:r>
                    </m:sub>
                  </m:sSub>
                  <m:r>
                    <a:rPr lang="ar-AE" sz="1100" i="0">
                      <a:solidFill>
                        <a:schemeClr val="dk1"/>
                      </a:solidFill>
                      <a:latin typeface="+mn-lt"/>
                      <a:ea typeface="+mn-ea"/>
                      <a:cs typeface="+mn-cs"/>
                    </a:rPr>
                    <m:t>=15</m:t>
                  </m:r>
                </m:oMath>
              </a14:m>
              <a:r>
                <a:rPr lang="ar-AE" sz="1100" b="0" i="0">
                  <a:solidFill>
                    <a:schemeClr val="dk1"/>
                  </a:solidFill>
                  <a:effectLst/>
                  <a:latin typeface="+mn-lt"/>
                  <a:ea typeface="+mn-ea"/>
                  <a:cs typeface="+mn-cs"/>
                </a:rPr>
                <a:t> </a:t>
              </a:r>
              <a:r>
                <a:rPr lang="en-US" sz="1100" b="0" i="0">
                  <a:solidFill>
                    <a:schemeClr val="dk1"/>
                  </a:solidFill>
                  <a:effectLst/>
                  <a:latin typeface="+mn-lt"/>
                  <a:ea typeface="+mn-ea"/>
                  <a:cs typeface="+mn-cs"/>
                </a:rPr>
                <a:t>because its slack is </a:t>
              </a:r>
              <a14:m>
                <m:oMath xmlns:m="http://schemas.openxmlformats.org/officeDocument/2006/math">
                  <m:sSub>
                    <m:sSubPr>
                      <m:ctrlPr>
                        <a:rPr lang="ar-AE" sz="1100">
                          <a:solidFill>
                            <a:schemeClr val="dk1"/>
                          </a:solidFill>
                          <a:latin typeface="+mn-lt"/>
                          <a:ea typeface="+mn-ea"/>
                          <a:cs typeface="+mn-cs"/>
                        </a:rPr>
                      </m:ctrlPr>
                    </m:sSubPr>
                    <m:e>
                      <m:r>
                        <a:rPr lang="ar-AE" sz="1100" i="1">
                          <a:solidFill>
                            <a:schemeClr val="dk1"/>
                          </a:solidFill>
                          <a:latin typeface="+mn-lt"/>
                          <a:ea typeface="+mn-ea"/>
                          <a:cs typeface="+mn-cs"/>
                        </a:rPr>
                        <m:t>𝑆</m:t>
                      </m:r>
                    </m:e>
                    <m:sub>
                      <m:r>
                        <a:rPr lang="ar-AE" sz="1100" i="0">
                          <a:solidFill>
                            <a:schemeClr val="dk1"/>
                          </a:solidFill>
                          <a:latin typeface="+mn-lt"/>
                          <a:ea typeface="+mn-ea"/>
                          <a:cs typeface="+mn-cs"/>
                        </a:rPr>
                        <m:t>2</m:t>
                      </m:r>
                    </m:sub>
                  </m:sSub>
                  <m:r>
                    <a:rPr lang="ar-AE" sz="1100" i="0">
                      <a:solidFill>
                        <a:schemeClr val="dk1"/>
                      </a:solidFill>
                      <a:latin typeface="+mn-lt"/>
                      <a:ea typeface="+mn-ea"/>
                      <a:cs typeface="+mn-cs"/>
                    </a:rPr>
                    <m:t>=0</m:t>
                  </m:r>
                </m:oMath>
              </a14:m>
              <a:r>
                <a:rPr lang="ar-AE" sz="1100" b="0" i="0">
                  <a:solidFill>
                    <a:schemeClr val="dk1"/>
                  </a:solidFill>
                  <a:effectLst/>
                  <a:latin typeface="+mn-lt"/>
                  <a:ea typeface="+mn-ea"/>
                  <a:cs typeface="+mn-cs"/>
                </a:rPr>
                <a:t> </a:t>
              </a:r>
              <a:r>
                <a:rPr lang="en-US" sz="1100" b="0" i="0">
                  <a:solidFill>
                    <a:schemeClr val="dk1"/>
                  </a:solidFill>
                  <a:effectLst/>
                  <a:latin typeface="+mn-lt"/>
                  <a:ea typeface="+mn-ea"/>
                  <a:cs typeface="+mn-cs"/>
                </a:rPr>
                <a:t>at </a:t>
              </a:r>
              <a14:m>
                <m:oMath xmlns:m="http://schemas.openxmlformats.org/officeDocument/2006/math">
                  <m:d>
                    <m:dPr>
                      <m:sepChr m:val=","/>
                      <m:ctrlPr>
                        <a:rPr lang="ar-AE" sz="1100">
                          <a:solidFill>
                            <a:schemeClr val="dk1"/>
                          </a:solidFill>
                          <a:latin typeface="+mn-lt"/>
                          <a:ea typeface="+mn-ea"/>
                          <a:cs typeface="+mn-cs"/>
                        </a:rPr>
                      </m:ctrlPr>
                    </m:dPr>
                    <m:e>
                      <m:r>
                        <a:rPr lang="ar-AE" sz="1100">
                          <a:solidFill>
                            <a:schemeClr val="dk1"/>
                          </a:solidFill>
                          <a:latin typeface="+mn-lt"/>
                          <a:ea typeface="+mn-ea"/>
                          <a:cs typeface="+mn-cs"/>
                        </a:rPr>
                        <m:t>5</m:t>
                      </m:r>
                    </m:e>
                    <m:e>
                      <m:r>
                        <a:rPr lang="ar-AE" sz="1100" i="0">
                          <a:solidFill>
                            <a:schemeClr val="dk1"/>
                          </a:solidFill>
                          <a:latin typeface="+mn-lt"/>
                          <a:ea typeface="+mn-ea"/>
                          <a:cs typeface="+mn-cs"/>
                        </a:rPr>
                        <m:t>0</m:t>
                      </m:r>
                    </m:e>
                  </m:d>
                </m:oMath>
              </a14:m>
              <a:br>
                <a:rPr lang="en-US" sz="1100"/>
              </a:br>
              <a:endParaRPr lang="en-US" sz="1100"/>
            </a:p>
            <a:p>
              <a:r>
                <a:rPr lang="en-US" sz="1100" b="0" i="0">
                  <a:solidFill>
                    <a:schemeClr val="dk1"/>
                  </a:solidFill>
                  <a:effectLst/>
                  <a:latin typeface="+mn-lt"/>
                  <a:ea typeface="+mn-ea"/>
                  <a:cs typeface="+mn-cs"/>
                </a:rPr>
                <a:t>Binding: </a:t>
              </a:r>
              <a14:m>
                <m:oMath xmlns:m="http://schemas.openxmlformats.org/officeDocument/2006/math">
                  <m:sSub>
                    <m:sSubPr>
                      <m:ctrlPr>
                        <a:rPr lang="ar-AE" sz="1100">
                          <a:solidFill>
                            <a:schemeClr val="dk1"/>
                          </a:solidFill>
                          <a:latin typeface="+mn-lt"/>
                          <a:ea typeface="+mn-ea"/>
                          <a:cs typeface="+mn-cs"/>
                        </a:rPr>
                      </m:ctrlPr>
                    </m:sSubPr>
                    <m:e>
                      <m:r>
                        <a:rPr lang="ar-AE" sz="1100" i="1">
                          <a:solidFill>
                            <a:schemeClr val="dk1"/>
                          </a:solidFill>
                          <a:latin typeface="+mn-lt"/>
                          <a:ea typeface="+mn-ea"/>
                          <a:cs typeface="+mn-cs"/>
                        </a:rPr>
                        <m:t>𝑋</m:t>
                      </m:r>
                    </m:e>
                    <m:sub>
                      <m:r>
                        <a:rPr lang="ar-AE" sz="1100" i="0">
                          <a:solidFill>
                            <a:schemeClr val="dk1"/>
                          </a:solidFill>
                          <a:latin typeface="+mn-lt"/>
                          <a:ea typeface="+mn-ea"/>
                          <a:cs typeface="+mn-cs"/>
                        </a:rPr>
                        <m:t>2</m:t>
                      </m:r>
                    </m:sub>
                  </m:sSub>
                  <m:r>
                    <a:rPr lang="ar-AE" sz="1100" i="0">
                      <a:solidFill>
                        <a:schemeClr val="dk1"/>
                      </a:solidFill>
                      <a:latin typeface="+mn-lt"/>
                      <a:ea typeface="+mn-ea"/>
                      <a:cs typeface="+mn-cs"/>
                    </a:rPr>
                    <m:t>≥0</m:t>
                  </m:r>
                </m:oMath>
              </a14:m>
              <a:r>
                <a:rPr lang="ar-AE" sz="1100" b="0" i="0">
                  <a:solidFill>
                    <a:schemeClr val="dk1"/>
                  </a:solidFill>
                  <a:effectLst/>
                  <a:latin typeface="+mn-lt"/>
                  <a:ea typeface="+mn-ea"/>
                  <a:cs typeface="+mn-cs"/>
                </a:rPr>
                <a:t> </a:t>
              </a:r>
              <a:r>
                <a:rPr lang="en-US" sz="1100" b="0" i="0">
                  <a:solidFill>
                    <a:schemeClr val="dk1"/>
                  </a:solidFill>
                  <a:effectLst/>
                  <a:latin typeface="+mn-lt"/>
                  <a:ea typeface="+mn-ea"/>
                  <a:cs typeface="+mn-cs"/>
                </a:rPr>
                <a:t>since </a:t>
              </a:r>
              <a14:m>
                <m:oMath xmlns:m="http://schemas.openxmlformats.org/officeDocument/2006/math">
                  <m:sSub>
                    <m:sSubPr>
                      <m:ctrlPr>
                        <a:rPr lang="ar-AE" sz="1100">
                          <a:solidFill>
                            <a:schemeClr val="dk1"/>
                          </a:solidFill>
                          <a:latin typeface="+mn-lt"/>
                          <a:ea typeface="+mn-ea"/>
                          <a:cs typeface="+mn-cs"/>
                        </a:rPr>
                      </m:ctrlPr>
                    </m:sSubPr>
                    <m:e>
                      <m:r>
                        <a:rPr lang="ar-AE" sz="1100" i="1">
                          <a:solidFill>
                            <a:schemeClr val="dk1"/>
                          </a:solidFill>
                          <a:latin typeface="+mn-lt"/>
                          <a:ea typeface="+mn-ea"/>
                          <a:cs typeface="+mn-cs"/>
                        </a:rPr>
                        <m:t>𝑋</m:t>
                      </m:r>
                    </m:e>
                    <m:sub>
                      <m:r>
                        <a:rPr lang="ar-AE" sz="1100" i="0">
                          <a:solidFill>
                            <a:schemeClr val="dk1"/>
                          </a:solidFill>
                          <a:latin typeface="+mn-lt"/>
                          <a:ea typeface="+mn-ea"/>
                          <a:cs typeface="+mn-cs"/>
                        </a:rPr>
                        <m:t>2</m:t>
                      </m:r>
                    </m:sub>
                  </m:sSub>
                  <m:r>
                    <a:rPr lang="ar-AE" sz="1100" i="0">
                      <a:solidFill>
                        <a:schemeClr val="dk1"/>
                      </a:solidFill>
                      <a:latin typeface="+mn-lt"/>
                      <a:ea typeface="+mn-ea"/>
                      <a:cs typeface="+mn-cs"/>
                    </a:rPr>
                    <m:t>=0</m:t>
                  </m:r>
                </m:oMath>
              </a14:m>
              <a:r>
                <a:rPr lang="ar-AE" sz="1100" b="0" i="0">
                  <a:solidFill>
                    <a:schemeClr val="dk1"/>
                  </a:solidFill>
                  <a:effectLst/>
                  <a:latin typeface="+mn-lt"/>
                  <a:ea typeface="+mn-ea"/>
                  <a:cs typeface="+mn-cs"/>
                </a:rPr>
                <a:t> </a:t>
              </a:r>
              <a:r>
                <a:rPr lang="en-US" sz="1100" b="0" i="0">
                  <a:solidFill>
                    <a:schemeClr val="dk1"/>
                  </a:solidFill>
                  <a:effectLst/>
                  <a:latin typeface="+mn-lt"/>
                  <a:ea typeface="+mn-ea"/>
                  <a:cs typeface="+mn-cs"/>
                </a:rPr>
                <a:t>at the optimum</a:t>
              </a:r>
              <a:endParaRPr lang="en-US" sz="1100"/>
            </a:p>
            <a:p>
              <a:endParaRPr lang="en-US" sz="1100"/>
            </a:p>
          </xdr:txBody>
        </xdr:sp>
      </mc:Choice>
      <mc:Fallback>
        <xdr:sp macro="" textlink="">
          <xdr:nvSpPr>
            <xdr:cNvPr id="2" name="TextBox 1">
              <a:extLst>
                <a:ext uri="{FF2B5EF4-FFF2-40B4-BE49-F238E27FC236}">
                  <a16:creationId xmlns:a16="http://schemas.microsoft.com/office/drawing/2014/main" id="{4AC61617-E275-6830-F4ED-265FE053150C}"/>
                </a:ext>
              </a:extLst>
            </xdr:cNvPr>
            <xdr:cNvSpPr txBox="1"/>
          </xdr:nvSpPr>
          <xdr:spPr>
            <a:xfrm>
              <a:off x="7829550" y="193674"/>
              <a:ext cx="5108575" cy="81375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#5.   Consider the following LP:</a:t>
              </a:r>
              <a:br>
                <a:rPr lang="en-US" sz="1100"/>
              </a:br>
              <a:endParaRPr lang="en-US" sz="1100"/>
            </a:p>
            <a:p>
              <a:r>
                <a:rPr lang="en-US" sz="1100"/>
                <a:t>MAX:  4X1 + 2X2</a:t>
              </a:r>
              <a:br>
                <a:rPr lang="en-US" sz="1100"/>
              </a:br>
              <a:r>
                <a:rPr lang="en-US" sz="1100"/>
                <a:t>ST</a:t>
              </a:r>
              <a:br>
                <a:rPr lang="en-US" sz="1100"/>
              </a:br>
              <a:r>
                <a:rPr lang="en-US" sz="1100"/>
                <a:t>2X1 + 4X2 &lt;= 20</a:t>
              </a:r>
              <a:br>
                <a:rPr lang="en-US" sz="1100"/>
              </a:br>
              <a:r>
                <a:rPr lang="en-US" sz="1100"/>
                <a:t>3X1 + 5X2 &lt;= 15</a:t>
              </a:r>
            </a:p>
            <a:p>
              <a:br>
                <a:rPr lang="en-US" sz="1100"/>
              </a:br>
              <a:r>
                <a:rPr lang="en-US" sz="1100"/>
                <a:t>1.  Use slack variables to rewrite this problem so that all its constraints are equal-to constraints.</a:t>
              </a:r>
            </a:p>
            <a:p>
              <a:pPr marL="0" marR="0" lvl="0" indent="0" defTabSz="914400" eaLnBrk="1" fontAlgn="auto" latinLnBrk="0" hangingPunct="1">
                <a:lnSpc>
                  <a:spcPct val="100000"/>
                </a:lnSpc>
                <a:spcBef>
                  <a:spcPts val="0"/>
                </a:spcBef>
                <a:spcAft>
                  <a:spcPts val="0"/>
                </a:spcAft>
                <a:buClrTx/>
                <a:buSzTx/>
                <a:buFontTx/>
                <a:buNone/>
                <a:tabLst/>
                <a:defRPr/>
              </a:pPr>
              <a:r>
                <a:rPr lang="en-US" sz="1100"/>
                <a:t>Using</a:t>
              </a:r>
              <a:r>
                <a:rPr lang="en-US" sz="1100" baseline="0"/>
                <a:t> </a:t>
              </a:r>
              <a:r>
                <a:rPr lang="en-US" sz="1100" i="1">
                  <a:solidFill>
                    <a:schemeClr val="dk1"/>
                  </a:solidFill>
                  <a:effectLst/>
                  <a:latin typeface="+mn-lt"/>
                  <a:ea typeface="+mn-ea"/>
                  <a:cs typeface="+mn-cs"/>
                </a:rPr>
                <a:t>S</a:t>
              </a:r>
              <a:r>
                <a:rPr lang="en-US" sz="1100">
                  <a:solidFill>
                    <a:schemeClr val="dk1"/>
                  </a:solidFill>
                  <a:effectLst/>
                  <a:latin typeface="+mn-lt"/>
                  <a:ea typeface="+mn-ea"/>
                  <a:cs typeface="+mn-cs"/>
                </a:rPr>
                <a:t>1,</a:t>
              </a:r>
              <a:r>
                <a:rPr lang="en-US" sz="1100" i="1">
                  <a:solidFill>
                    <a:schemeClr val="dk1"/>
                  </a:solidFill>
                  <a:effectLst/>
                  <a:latin typeface="+mn-lt"/>
                  <a:ea typeface="+mn-ea"/>
                  <a:cs typeface="+mn-cs"/>
                </a:rPr>
                <a:t>S</a:t>
              </a:r>
              <a:r>
                <a:rPr lang="en-US" sz="1100">
                  <a:solidFill>
                    <a:schemeClr val="dk1"/>
                  </a:solidFill>
                  <a:effectLst/>
                  <a:latin typeface="+mn-lt"/>
                  <a:ea typeface="+mn-ea"/>
                  <a:cs typeface="+mn-cs"/>
                </a:rPr>
                <a:t>2≥0</a:t>
              </a:r>
              <a:r>
                <a:rPr lang="en-US" sz="1100" b="0" i="0">
                  <a:solidFill>
                    <a:schemeClr val="dk1"/>
                  </a:solidFill>
                  <a:effectLst/>
                  <a:latin typeface="+mn-lt"/>
                  <a:ea typeface="+mn-ea"/>
                  <a:cs typeface="+mn-cs"/>
                </a:rPr>
                <a:t> </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2</a:t>
              </a:r>
              <a:r>
                <a:rPr lang="en-US" sz="1100" b="0" i="1">
                  <a:solidFill>
                    <a:schemeClr val="dk1"/>
                  </a:solidFill>
                  <a:effectLst/>
                  <a:latin typeface="+mn-lt"/>
                  <a:ea typeface="+mn-ea"/>
                  <a:cs typeface="+mn-cs"/>
                </a:rPr>
                <a:t>X</a:t>
              </a:r>
              <a:r>
                <a:rPr lang="en-US" sz="1100" b="0" i="0">
                  <a:solidFill>
                    <a:schemeClr val="dk1"/>
                  </a:solidFill>
                  <a:effectLst/>
                  <a:latin typeface="+mn-lt"/>
                  <a:ea typeface="+mn-ea"/>
                  <a:cs typeface="+mn-cs"/>
                </a:rPr>
                <a:t>1+4</a:t>
              </a:r>
              <a:r>
                <a:rPr lang="en-US" sz="1100" b="0" i="1">
                  <a:solidFill>
                    <a:schemeClr val="dk1"/>
                  </a:solidFill>
                  <a:effectLst/>
                  <a:latin typeface="+mn-lt"/>
                  <a:ea typeface="+mn-ea"/>
                  <a:cs typeface="+mn-cs"/>
                </a:rPr>
                <a:t>X</a:t>
              </a:r>
              <a:r>
                <a:rPr lang="en-US" sz="1100" b="0" i="0">
                  <a:solidFill>
                    <a:schemeClr val="dk1"/>
                  </a:solidFill>
                  <a:effectLst/>
                  <a:latin typeface="+mn-lt"/>
                  <a:ea typeface="+mn-ea"/>
                  <a:cs typeface="+mn-cs"/>
                </a:rPr>
                <a:t>2+</a:t>
              </a:r>
              <a:r>
                <a:rPr lang="en-US" sz="1100" b="0" i="1">
                  <a:solidFill>
                    <a:schemeClr val="dk1"/>
                  </a:solidFill>
                  <a:effectLst/>
                  <a:latin typeface="+mn-lt"/>
                  <a:ea typeface="+mn-ea"/>
                  <a:cs typeface="+mn-cs"/>
                </a:rPr>
                <a:t>S</a:t>
              </a:r>
              <a:r>
                <a:rPr lang="en-US" sz="1100" b="0" i="0">
                  <a:solidFill>
                    <a:schemeClr val="dk1"/>
                  </a:solidFill>
                  <a:effectLst/>
                  <a:latin typeface="+mn-lt"/>
                  <a:ea typeface="+mn-ea"/>
                  <a:cs typeface="+mn-cs"/>
                </a:rPr>
                <a:t>1=20</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3</a:t>
              </a:r>
              <a:r>
                <a:rPr lang="en-US" sz="1100" b="0" i="1">
                  <a:solidFill>
                    <a:schemeClr val="dk1"/>
                  </a:solidFill>
                  <a:effectLst/>
                  <a:latin typeface="+mn-lt"/>
                  <a:ea typeface="+mn-ea"/>
                  <a:cs typeface="+mn-cs"/>
                </a:rPr>
                <a:t>X</a:t>
              </a:r>
              <a:r>
                <a:rPr lang="en-US" sz="1100" b="0" i="0">
                  <a:solidFill>
                    <a:schemeClr val="dk1"/>
                  </a:solidFill>
                  <a:effectLst/>
                  <a:latin typeface="+mn-lt"/>
                  <a:ea typeface="+mn-ea"/>
                  <a:cs typeface="+mn-cs"/>
                </a:rPr>
                <a:t>1+5</a:t>
              </a:r>
              <a:r>
                <a:rPr lang="en-US" sz="1100" b="0" i="1">
                  <a:solidFill>
                    <a:schemeClr val="dk1"/>
                  </a:solidFill>
                  <a:effectLst/>
                  <a:latin typeface="+mn-lt"/>
                  <a:ea typeface="+mn-ea"/>
                  <a:cs typeface="+mn-cs"/>
                </a:rPr>
                <a:t>X</a:t>
              </a:r>
              <a:r>
                <a:rPr lang="en-US" sz="1100" b="0" i="0">
                  <a:solidFill>
                    <a:schemeClr val="dk1"/>
                  </a:solidFill>
                  <a:effectLst/>
                  <a:latin typeface="+mn-lt"/>
                  <a:ea typeface="+mn-ea"/>
                  <a:cs typeface="+mn-cs"/>
                </a:rPr>
                <a:t>2+</a:t>
              </a:r>
              <a:r>
                <a:rPr lang="en-US" sz="1100" b="0" i="1">
                  <a:solidFill>
                    <a:schemeClr val="dk1"/>
                  </a:solidFill>
                  <a:effectLst/>
                  <a:latin typeface="+mn-lt"/>
                  <a:ea typeface="+mn-ea"/>
                  <a:cs typeface="+mn-cs"/>
                </a:rPr>
                <a:t>S</a:t>
              </a:r>
              <a:r>
                <a:rPr lang="en-US" sz="1100" b="0" i="0">
                  <a:solidFill>
                    <a:schemeClr val="dk1"/>
                  </a:solidFill>
                  <a:effectLst/>
                  <a:latin typeface="+mn-lt"/>
                  <a:ea typeface="+mn-ea"/>
                  <a:cs typeface="+mn-cs"/>
                </a:rPr>
                <a:t>2=15</a:t>
              </a:r>
              <a:br>
                <a:rPr lang="en-US" sz="1100" b="0" i="0">
                  <a:solidFill>
                    <a:schemeClr val="dk1"/>
                  </a:solidFill>
                  <a:effectLst/>
                  <a:latin typeface="+mn-lt"/>
                  <a:ea typeface="+mn-ea"/>
                  <a:cs typeface="+mn-cs"/>
                </a:rPr>
              </a:br>
              <a:r>
                <a:rPr lang="en-US" sz="1100" i="1">
                  <a:solidFill>
                    <a:schemeClr val="dk1"/>
                  </a:solidFill>
                  <a:effectLst/>
                  <a:latin typeface="+mn-lt"/>
                  <a:ea typeface="+mn-ea"/>
                  <a:cs typeface="+mn-cs"/>
                </a:rPr>
                <a:t>X</a:t>
              </a:r>
              <a:r>
                <a:rPr lang="en-US" sz="1100">
                  <a:solidFill>
                    <a:schemeClr val="dk1"/>
                  </a:solidFill>
                  <a:effectLst/>
                  <a:latin typeface="+mn-lt"/>
                  <a:ea typeface="+mn-ea"/>
                  <a:cs typeface="+mn-cs"/>
                </a:rPr>
                <a:t>1,</a:t>
              </a:r>
              <a:r>
                <a:rPr lang="en-US" sz="1100" i="1">
                  <a:solidFill>
                    <a:schemeClr val="dk1"/>
                  </a:solidFill>
                  <a:effectLst/>
                  <a:latin typeface="+mn-lt"/>
                  <a:ea typeface="+mn-ea"/>
                  <a:cs typeface="+mn-cs"/>
                </a:rPr>
                <a:t>X</a:t>
              </a:r>
              <a:r>
                <a:rPr lang="en-US" sz="1100">
                  <a:solidFill>
                    <a:schemeClr val="dk1"/>
                  </a:solidFill>
                  <a:effectLst/>
                  <a:latin typeface="+mn-lt"/>
                  <a:ea typeface="+mn-ea"/>
                  <a:cs typeface="+mn-cs"/>
                </a:rPr>
                <a:t>2,</a:t>
              </a:r>
              <a:r>
                <a:rPr lang="en-US" sz="1100" i="1">
                  <a:solidFill>
                    <a:schemeClr val="dk1"/>
                  </a:solidFill>
                  <a:effectLst/>
                  <a:latin typeface="+mn-lt"/>
                  <a:ea typeface="+mn-ea"/>
                  <a:cs typeface="+mn-cs"/>
                </a:rPr>
                <a:t>S</a:t>
              </a:r>
              <a:r>
                <a:rPr lang="en-US" sz="1100">
                  <a:solidFill>
                    <a:schemeClr val="dk1"/>
                  </a:solidFill>
                  <a:effectLst/>
                  <a:latin typeface="+mn-lt"/>
                  <a:ea typeface="+mn-ea"/>
                  <a:cs typeface="+mn-cs"/>
                </a:rPr>
                <a:t>1,</a:t>
              </a:r>
              <a:r>
                <a:rPr lang="en-US" sz="1100" i="1">
                  <a:solidFill>
                    <a:schemeClr val="dk1"/>
                  </a:solidFill>
                  <a:effectLst/>
                  <a:latin typeface="+mn-lt"/>
                  <a:ea typeface="+mn-ea"/>
                  <a:cs typeface="+mn-cs"/>
                </a:rPr>
                <a:t>S</a:t>
              </a:r>
              <a:r>
                <a:rPr lang="en-US" sz="1100">
                  <a:solidFill>
                    <a:schemeClr val="dk1"/>
                  </a:solidFill>
                  <a:effectLst/>
                  <a:latin typeface="+mn-lt"/>
                  <a:ea typeface="+mn-ea"/>
                  <a:cs typeface="+mn-cs"/>
                </a:rPr>
                <a:t>2≥0.</a:t>
              </a:r>
            </a:p>
            <a:p>
              <a:endParaRPr lang="en-US" sz="1100"/>
            </a:p>
            <a:p>
              <a:r>
                <a:rPr lang="en-US" sz="1100"/>
                <a:t>2.  Plot</a:t>
              </a:r>
              <a:r>
                <a:rPr lang="en-US" sz="1100" baseline="0"/>
                <a:t> the LP and identify all of the corner pts (including the infeasible ones)</a:t>
              </a:r>
              <a:endParaRPr lang="en-US" sz="1100"/>
            </a:p>
            <a:p>
              <a:endParaRPr lang="en-US" sz="1100"/>
            </a:p>
            <a:p>
              <a:r>
                <a:rPr lang="en-US" sz="1100"/>
                <a:t>3.</a:t>
              </a:r>
              <a:r>
                <a:rPr lang="en-US" sz="1100" baseline="0"/>
                <a:t>  Create a table similar to the one completed in class. </a:t>
              </a:r>
              <a:r>
                <a:rPr lang="en-US" sz="1100"/>
                <a:t>Identify the different sets of basic variables that might be used to obtain a solution to the problem.</a:t>
              </a:r>
            </a:p>
            <a:p>
              <a:r>
                <a:rPr lang="en-US" sz="1100"/>
                <a:t>Of the possible sets of basic variables, which lead to feasible solutions and what are the values for all the variables at each of these solutions?</a:t>
              </a:r>
              <a:br>
                <a:rPr lang="en-US" sz="1100"/>
              </a:br>
              <a:r>
                <a:rPr lang="en-US" sz="1100"/>
                <a:t>What is the value of the objective function at each of the basic feasible solutions?</a:t>
              </a:r>
              <a:br>
                <a:rPr lang="en-US" sz="1100"/>
              </a:br>
              <a:br>
                <a:rPr lang="en-US" sz="1100"/>
              </a:br>
              <a:r>
                <a:rPr lang="en-US" sz="1100" b="1" i="0">
                  <a:solidFill>
                    <a:schemeClr val="dk1"/>
                  </a:solidFill>
                  <a:effectLst/>
                  <a:latin typeface="+mn-lt"/>
                  <a:ea typeface="+mn-ea"/>
                  <a:cs typeface="+mn-cs"/>
                </a:rPr>
                <a:t>The best (optimal) one is </a:t>
              </a:r>
              <a:r>
                <a:rPr lang="ar-AE" sz="1100" b="1" i="0">
                  <a:solidFill>
                    <a:schemeClr val="dk1"/>
                  </a:solidFill>
                  <a:latin typeface="+mn-lt"/>
                  <a:ea typeface="+mn-ea"/>
                  <a:cs typeface="+mn-cs"/>
                </a:rPr>
                <a:t>(𝟓ⓜ,𝟎)</a:t>
              </a:r>
              <a:r>
                <a:rPr lang="ar-AE" sz="1100" b="1" i="0">
                  <a:solidFill>
                    <a:schemeClr val="dk1"/>
                  </a:solidFill>
                  <a:effectLst/>
                  <a:latin typeface="+mn-lt"/>
                  <a:ea typeface="+mn-ea"/>
                  <a:cs typeface="+mn-cs"/>
                </a:rPr>
                <a:t> </a:t>
              </a:r>
              <a:r>
                <a:rPr lang="en-US" sz="1100" b="1" i="0">
                  <a:solidFill>
                    <a:schemeClr val="dk1"/>
                  </a:solidFill>
                  <a:effectLst/>
                  <a:latin typeface="+mn-lt"/>
                  <a:ea typeface="+mn-ea"/>
                  <a:cs typeface="+mn-cs"/>
                </a:rPr>
                <a:t>with </a:t>
              </a:r>
              <a:r>
                <a:rPr lang="en-US" sz="1100" b="1" i="0">
                  <a:solidFill>
                    <a:schemeClr val="dk1"/>
                  </a:solidFill>
                  <a:latin typeface="+mn-lt"/>
                  <a:ea typeface="+mn-ea"/>
                  <a:cs typeface="+mn-cs"/>
                </a:rPr>
                <a:t>𝒛=𝟐𝟎</a:t>
              </a:r>
              <a:r>
                <a:rPr lang="en-US" sz="1100" b="1" i="0">
                  <a:solidFill>
                    <a:schemeClr val="dk1"/>
                  </a:solidFill>
                  <a:effectLst/>
                  <a:latin typeface="+mn-lt"/>
                  <a:ea typeface="+mn-ea"/>
                  <a:cs typeface="+mn-cs"/>
                </a:rPr>
                <a:t>.</a:t>
              </a:r>
            </a:p>
            <a:p>
              <a:r>
                <a:rPr lang="en-US" sz="1100" b="1" i="0">
                  <a:solidFill>
                    <a:schemeClr val="dk1"/>
                  </a:solidFill>
                  <a:effectLst/>
                  <a:latin typeface="+mn-lt"/>
                  <a:ea typeface="+mn-ea"/>
                  <a:cs typeface="+mn-cs"/>
                </a:rPr>
                <a:t>Basic feasible solutions</a:t>
              </a:r>
            </a:p>
            <a:p>
              <a:r>
                <a:rPr lang="en-US" sz="1100" b="0" i="0">
                  <a:solidFill>
                    <a:schemeClr val="dk1"/>
                  </a:solidFill>
                  <a:effectLst/>
                  <a:latin typeface="+mn-lt"/>
                  <a:ea typeface="+mn-ea"/>
                  <a:cs typeface="+mn-cs"/>
                </a:rPr>
                <a:t>Basis {S1, S2}: </a:t>
              </a:r>
              <a:r>
                <a:rPr lang="ar-AE" sz="1100" i="0">
                  <a:solidFill>
                    <a:schemeClr val="dk1"/>
                  </a:solidFill>
                  <a:latin typeface="+mn-lt"/>
                  <a:ea typeface="+mn-ea"/>
                  <a:cs typeface="+mn-cs"/>
                </a:rPr>
                <a:t>(𝑋_1ⓜ,𝑋_2ⓜ,𝑆_1ⓜ,𝑆_2 )=(0ⓜ,0ⓜ,20ⓜ,15)</a:t>
              </a:r>
              <a:r>
                <a:rPr lang="ar-AE" sz="1100" b="0" i="0">
                  <a:solidFill>
                    <a:schemeClr val="dk1"/>
                  </a:solidFill>
                  <a:effectLst/>
                  <a:latin typeface="+mn-lt"/>
                  <a:ea typeface="+mn-ea"/>
                  <a:cs typeface="+mn-cs"/>
                </a:rPr>
                <a:t> </a:t>
              </a:r>
              <a:r>
                <a:rPr lang="en-US" sz="1100" b="0" i="0">
                  <a:solidFill>
                    <a:schemeClr val="dk1"/>
                  </a:solidFill>
                  <a:effectLst/>
                  <a:latin typeface="+mn-lt"/>
                  <a:ea typeface="+mn-ea"/>
                  <a:cs typeface="+mn-cs"/>
                </a:rPr>
                <a:t>and </a:t>
              </a:r>
              <a:r>
                <a:rPr lang="en-US" sz="1100" i="0">
                  <a:solidFill>
                    <a:schemeClr val="dk1"/>
                  </a:solidFill>
                  <a:latin typeface="+mn-lt"/>
                  <a:ea typeface="+mn-ea"/>
                  <a:cs typeface="+mn-cs"/>
                </a:rPr>
                <a:t>𝑧=4</a:t>
              </a:r>
              <a:r>
                <a:rPr lang="ar-AE" sz="1100" i="0">
                  <a:solidFill>
                    <a:schemeClr val="dk1"/>
                  </a:solidFill>
                  <a:latin typeface="+mn-lt"/>
                  <a:ea typeface="+mn-ea"/>
                  <a:cs typeface="+mn-cs"/>
                </a:rPr>
                <a:t>(0)+2(0)=0</a:t>
              </a:r>
              <a:r>
                <a:rPr lang="ar-AE" sz="1100" b="0" i="0">
                  <a:solidFill>
                    <a:schemeClr val="dk1"/>
                  </a:solidFill>
                  <a:effectLst/>
                  <a:latin typeface="+mn-lt"/>
                  <a:ea typeface="+mn-ea"/>
                  <a:cs typeface="+mn-cs"/>
                </a:rPr>
                <a:t>.</a:t>
              </a:r>
            </a:p>
            <a:p>
              <a:r>
                <a:rPr lang="en-US" sz="1100" b="0" i="0">
                  <a:solidFill>
                    <a:schemeClr val="dk1"/>
                  </a:solidFill>
                  <a:effectLst/>
                  <a:latin typeface="+mn-lt"/>
                  <a:ea typeface="+mn-ea"/>
                  <a:cs typeface="+mn-cs"/>
                </a:rPr>
                <a:t>Basis {X2, S1}: </a:t>
              </a:r>
              <a:r>
                <a:rPr lang="ar-AE" sz="1100" i="0">
                  <a:solidFill>
                    <a:schemeClr val="dk1"/>
                  </a:solidFill>
                  <a:latin typeface="+mn-lt"/>
                  <a:ea typeface="+mn-ea"/>
                  <a:cs typeface="+mn-cs"/>
                </a:rPr>
                <a:t>(0ⓜ,3ⓜ,8ⓜ,0)</a:t>
              </a:r>
              <a:r>
                <a:rPr lang="ar-AE" sz="1100" b="0" i="0">
                  <a:solidFill>
                    <a:schemeClr val="dk1"/>
                  </a:solidFill>
                  <a:effectLst/>
                  <a:latin typeface="+mn-lt"/>
                  <a:ea typeface="+mn-ea"/>
                  <a:cs typeface="+mn-cs"/>
                </a:rPr>
                <a:t> </a:t>
              </a:r>
              <a:r>
                <a:rPr lang="en-US" sz="1100" b="0" i="0">
                  <a:solidFill>
                    <a:schemeClr val="dk1"/>
                  </a:solidFill>
                  <a:effectLst/>
                  <a:latin typeface="+mn-lt"/>
                  <a:ea typeface="+mn-ea"/>
                  <a:cs typeface="+mn-cs"/>
                </a:rPr>
                <a:t>and </a:t>
              </a:r>
              <a:r>
                <a:rPr lang="en-US" sz="1100" i="0">
                  <a:solidFill>
                    <a:schemeClr val="dk1"/>
                  </a:solidFill>
                  <a:latin typeface="+mn-lt"/>
                  <a:ea typeface="+mn-ea"/>
                  <a:cs typeface="+mn-cs"/>
                </a:rPr>
                <a:t>𝑧=4</a:t>
              </a:r>
              <a:r>
                <a:rPr lang="ar-AE" sz="1100" i="0">
                  <a:solidFill>
                    <a:schemeClr val="dk1"/>
                  </a:solidFill>
                  <a:latin typeface="+mn-lt"/>
                  <a:ea typeface="+mn-ea"/>
                  <a:cs typeface="+mn-cs"/>
                </a:rPr>
                <a:t>(0)+2(3)=6</a:t>
              </a:r>
              <a:r>
                <a:rPr lang="ar-AE" sz="1100" b="0" i="0">
                  <a:solidFill>
                    <a:schemeClr val="dk1"/>
                  </a:solidFill>
                  <a:effectLst/>
                  <a:latin typeface="+mn-lt"/>
                  <a:ea typeface="+mn-ea"/>
                  <a:cs typeface="+mn-cs"/>
                </a:rPr>
                <a:t>.</a:t>
              </a:r>
            </a:p>
            <a:p>
              <a:r>
                <a:rPr lang="en-US" sz="1100" b="0" i="0">
                  <a:solidFill>
                    <a:schemeClr val="dk1"/>
                  </a:solidFill>
                  <a:effectLst/>
                  <a:latin typeface="+mn-lt"/>
                  <a:ea typeface="+mn-ea"/>
                  <a:cs typeface="+mn-cs"/>
                </a:rPr>
                <a:t>Basis {X1, S1}: </a:t>
              </a:r>
              <a:r>
                <a:rPr lang="ar-AE" sz="1100" i="0">
                  <a:solidFill>
                    <a:schemeClr val="dk1"/>
                  </a:solidFill>
                  <a:latin typeface="+mn-lt"/>
                  <a:ea typeface="+mn-ea"/>
                  <a:cs typeface="+mn-cs"/>
                </a:rPr>
                <a:t>(5ⓜ,0ⓜ,10ⓜ,0)</a:t>
              </a:r>
              <a:r>
                <a:rPr lang="ar-AE" sz="1100" b="0" i="0">
                  <a:solidFill>
                    <a:schemeClr val="dk1"/>
                  </a:solidFill>
                  <a:effectLst/>
                  <a:latin typeface="+mn-lt"/>
                  <a:ea typeface="+mn-ea"/>
                  <a:cs typeface="+mn-cs"/>
                </a:rPr>
                <a:t> </a:t>
              </a:r>
              <a:r>
                <a:rPr lang="en-US" sz="1100" b="0" i="0">
                  <a:solidFill>
                    <a:schemeClr val="dk1"/>
                  </a:solidFill>
                  <a:effectLst/>
                  <a:latin typeface="+mn-lt"/>
                  <a:ea typeface="+mn-ea"/>
                  <a:cs typeface="+mn-cs"/>
                </a:rPr>
                <a:t>and </a:t>
              </a:r>
              <a:r>
                <a:rPr lang="en-US" sz="1100" i="0">
                  <a:solidFill>
                    <a:schemeClr val="dk1"/>
                  </a:solidFill>
                  <a:latin typeface="+mn-lt"/>
                  <a:ea typeface="+mn-ea"/>
                  <a:cs typeface="+mn-cs"/>
                </a:rPr>
                <a:t>𝑧=4</a:t>
              </a:r>
              <a:r>
                <a:rPr lang="ar-AE" sz="1100" i="0">
                  <a:solidFill>
                    <a:schemeClr val="dk1"/>
                  </a:solidFill>
                  <a:latin typeface="+mn-lt"/>
                  <a:ea typeface="+mn-ea"/>
                  <a:cs typeface="+mn-cs"/>
                </a:rPr>
                <a:t>(5)+2(0)=20</a:t>
              </a:r>
              <a:r>
                <a:rPr lang="ar-AE" sz="1100" b="0" i="0">
                  <a:solidFill>
                    <a:schemeClr val="dk1"/>
                  </a:solidFill>
                  <a:effectLst/>
                  <a:latin typeface="+mn-lt"/>
                  <a:ea typeface="+mn-ea"/>
                  <a:cs typeface="+mn-cs"/>
                </a:rPr>
                <a:t>.</a:t>
              </a:r>
            </a:p>
            <a:p>
              <a:r>
                <a:rPr lang="en-US" sz="1100" b="1" i="0">
                  <a:solidFill>
                    <a:schemeClr val="dk1"/>
                  </a:solidFill>
                  <a:effectLst/>
                  <a:latin typeface="+mn-lt"/>
                  <a:ea typeface="+mn-ea"/>
                  <a:cs typeface="+mn-cs"/>
                </a:rPr>
                <a:t>Infeasible basics</a:t>
              </a:r>
            </a:p>
            <a:p>
              <a:r>
                <a:rPr lang="en-US" sz="1100" b="0" i="0">
                  <a:solidFill>
                    <a:schemeClr val="dk1"/>
                  </a:solidFill>
                  <a:effectLst/>
                  <a:latin typeface="+mn-lt"/>
                  <a:ea typeface="+mn-ea"/>
                  <a:cs typeface="+mn-cs"/>
                </a:rPr>
                <a:t>Basis {X1, X2}: </a:t>
              </a:r>
              <a:r>
                <a:rPr lang="ar-AE" sz="1100" i="0">
                  <a:solidFill>
                    <a:schemeClr val="dk1"/>
                  </a:solidFill>
                  <a:latin typeface="+mn-lt"/>
                  <a:ea typeface="+mn-ea"/>
                  <a:cs typeface="+mn-cs"/>
                </a:rPr>
                <a:t>(−ⓜ,20ⓜ,15ⓜ,00)</a:t>
              </a:r>
              <a:r>
                <a:rPr lang="ar-AE" sz="1100" b="0" i="0">
                  <a:solidFill>
                    <a:schemeClr val="dk1"/>
                  </a:solidFill>
                  <a:effectLst/>
                  <a:latin typeface="+mn-lt"/>
                  <a:ea typeface="+mn-ea"/>
                  <a:cs typeface="+mn-cs"/>
                </a:rPr>
                <a:t> </a:t>
              </a:r>
              <a:r>
                <a:rPr lang="en-US" sz="1100" b="0" i="0">
                  <a:solidFill>
                    <a:schemeClr val="dk1"/>
                  </a:solidFill>
                  <a:effectLst/>
                  <a:latin typeface="+mn-lt"/>
                  <a:ea typeface="+mn-ea"/>
                  <a:cs typeface="+mn-cs"/>
                </a:rPr>
                <a:t>violates </a:t>
              </a:r>
              <a:r>
                <a:rPr lang="ar-AE" sz="1100" i="0">
                  <a:solidFill>
                    <a:schemeClr val="dk1"/>
                  </a:solidFill>
                  <a:latin typeface="+mn-lt"/>
                  <a:ea typeface="+mn-ea"/>
                  <a:cs typeface="+mn-cs"/>
                </a:rPr>
                <a:t>𝑋_1≥0</a:t>
              </a:r>
              <a:r>
                <a:rPr lang="ar-AE" sz="1100" b="0" i="0">
                  <a:solidFill>
                    <a:schemeClr val="dk1"/>
                  </a:solidFill>
                  <a:effectLst/>
                  <a:latin typeface="+mn-lt"/>
                  <a:ea typeface="+mn-ea"/>
                  <a:cs typeface="+mn-cs"/>
                </a:rPr>
                <a:t>.</a:t>
              </a:r>
            </a:p>
            <a:p>
              <a:r>
                <a:rPr lang="en-US" sz="1100" b="0" i="0">
                  <a:solidFill>
                    <a:schemeClr val="dk1"/>
                  </a:solidFill>
                  <a:effectLst/>
                  <a:latin typeface="+mn-lt"/>
                  <a:ea typeface="+mn-ea"/>
                  <a:cs typeface="+mn-cs"/>
                </a:rPr>
                <a:t>Basis {X2, S2}: </a:t>
              </a:r>
              <a:r>
                <a:rPr lang="ar-AE" sz="1100" i="0">
                  <a:solidFill>
                    <a:schemeClr val="dk1"/>
                  </a:solidFill>
                  <a:latin typeface="+mn-lt"/>
                  <a:ea typeface="+mn-ea"/>
                  <a:cs typeface="+mn-cs"/>
                </a:rPr>
                <a:t>(0ⓜ,5ⓜ,0ⓜ,−10)</a:t>
              </a:r>
              <a:r>
                <a:rPr lang="ar-AE" sz="1100" b="0" i="0">
                  <a:solidFill>
                    <a:schemeClr val="dk1"/>
                  </a:solidFill>
                  <a:effectLst/>
                  <a:latin typeface="+mn-lt"/>
                  <a:ea typeface="+mn-ea"/>
                  <a:cs typeface="+mn-cs"/>
                </a:rPr>
                <a:t> </a:t>
              </a:r>
              <a:r>
                <a:rPr lang="en-US" sz="1100" b="0" i="0">
                  <a:solidFill>
                    <a:schemeClr val="dk1"/>
                  </a:solidFill>
                  <a:effectLst/>
                  <a:latin typeface="+mn-lt"/>
                  <a:ea typeface="+mn-ea"/>
                  <a:cs typeface="+mn-cs"/>
                </a:rPr>
                <a:t>violates </a:t>
              </a:r>
              <a:r>
                <a:rPr lang="ar-AE" sz="1100" i="0">
                  <a:solidFill>
                    <a:schemeClr val="dk1"/>
                  </a:solidFill>
                  <a:latin typeface="+mn-lt"/>
                  <a:ea typeface="+mn-ea"/>
                  <a:cs typeface="+mn-cs"/>
                </a:rPr>
                <a:t>𝑆_2≥0</a:t>
              </a:r>
              <a:r>
                <a:rPr lang="ar-AE" sz="1100" b="0" i="0">
                  <a:solidFill>
                    <a:schemeClr val="dk1"/>
                  </a:solidFill>
                  <a:effectLst/>
                  <a:latin typeface="+mn-lt"/>
                  <a:ea typeface="+mn-ea"/>
                  <a:cs typeface="+mn-cs"/>
                </a:rPr>
                <a:t>.</a:t>
              </a:r>
            </a:p>
            <a:p>
              <a:r>
                <a:rPr lang="en-US" sz="1100" b="0" i="0">
                  <a:solidFill>
                    <a:schemeClr val="dk1"/>
                  </a:solidFill>
                  <a:effectLst/>
                  <a:latin typeface="+mn-lt"/>
                  <a:ea typeface="+mn-ea"/>
                  <a:cs typeface="+mn-cs"/>
                </a:rPr>
                <a:t>Basis {X1, S2}: </a:t>
              </a:r>
              <a:r>
                <a:rPr lang="ar-AE" sz="1100" i="0">
                  <a:solidFill>
                    <a:schemeClr val="dk1"/>
                  </a:solidFill>
                  <a:latin typeface="+mn-lt"/>
                  <a:ea typeface="+mn-ea"/>
                  <a:cs typeface="+mn-cs"/>
                </a:rPr>
                <a:t>(10ⓜ,0ⓜ,0ⓜ,−15)</a:t>
              </a:r>
              <a:r>
                <a:rPr lang="ar-AE" sz="1100" b="0" i="0">
                  <a:solidFill>
                    <a:schemeClr val="dk1"/>
                  </a:solidFill>
                  <a:effectLst/>
                  <a:latin typeface="+mn-lt"/>
                  <a:ea typeface="+mn-ea"/>
                  <a:cs typeface="+mn-cs"/>
                </a:rPr>
                <a:t> </a:t>
              </a:r>
              <a:r>
                <a:rPr lang="en-US" sz="1100" b="0" i="0">
                  <a:solidFill>
                    <a:schemeClr val="dk1"/>
                  </a:solidFill>
                  <a:effectLst/>
                  <a:latin typeface="+mn-lt"/>
                  <a:ea typeface="+mn-ea"/>
                  <a:cs typeface="+mn-cs"/>
                </a:rPr>
                <a:t>violates </a:t>
              </a:r>
              <a:r>
                <a:rPr lang="ar-AE" sz="1100" i="0">
                  <a:solidFill>
                    <a:schemeClr val="dk1"/>
                  </a:solidFill>
                  <a:latin typeface="+mn-lt"/>
                  <a:ea typeface="+mn-ea"/>
                  <a:cs typeface="+mn-cs"/>
                </a:rPr>
                <a:t>𝑆_2≥0</a:t>
              </a:r>
              <a:endParaRPr lang="ar-AE" sz="1100" b="0" i="0">
                <a:solidFill>
                  <a:schemeClr val="dk1"/>
                </a:solidFill>
                <a:effectLst/>
                <a:latin typeface="+mn-lt"/>
                <a:ea typeface="+mn-ea"/>
                <a:cs typeface="+mn-cs"/>
              </a:endParaRPr>
            </a:p>
            <a:p>
              <a:endParaRPr lang="en-US" sz="1100"/>
            </a:p>
            <a:p>
              <a:endParaRPr lang="en-US" sz="1100"/>
            </a:p>
            <a:p>
              <a:pPr marL="0" marR="0" lvl="0" indent="0" defTabSz="914400" eaLnBrk="1" fontAlgn="auto" latinLnBrk="0" hangingPunct="1">
                <a:lnSpc>
                  <a:spcPct val="100000"/>
                </a:lnSpc>
                <a:spcBef>
                  <a:spcPts val="0"/>
                </a:spcBef>
                <a:spcAft>
                  <a:spcPts val="0"/>
                </a:spcAft>
                <a:buClrTx/>
                <a:buSzTx/>
                <a:buFontTx/>
                <a:buNone/>
                <a:tabLst/>
                <a:defRPr/>
              </a:pPr>
              <a:r>
                <a:rPr lang="en-US" sz="1100"/>
                <a:t>4. What is the optimal solution to the problem?</a:t>
              </a:r>
              <a:br>
                <a:rPr lang="en-US" sz="1100"/>
              </a:br>
              <a:r>
                <a:rPr lang="en-US" sz="1100" b="1" i="0">
                  <a:solidFill>
                    <a:schemeClr val="dk1"/>
                  </a:solidFill>
                  <a:effectLst/>
                  <a:latin typeface="+mn-lt"/>
                  <a:ea typeface="+mn-ea"/>
                  <a:cs typeface="+mn-cs"/>
                </a:rPr>
                <a:t>The best (optimal) one is </a:t>
              </a:r>
              <a:r>
                <a:rPr lang="ar-AE" sz="1100" b="1" i="0">
                  <a:solidFill>
                    <a:schemeClr val="dk1"/>
                  </a:solidFill>
                  <a:latin typeface="Cambria Math" panose="02040503050406030204" pitchFamily="18" charset="0"/>
                  <a:ea typeface="+mn-ea"/>
                  <a:cs typeface="+mn-cs"/>
                </a:rPr>
                <a:t>(𝟓ⓜ,𝟎)</a:t>
              </a:r>
              <a:r>
                <a:rPr lang="ar-AE" sz="1100" b="1" i="0">
                  <a:solidFill>
                    <a:schemeClr val="dk1"/>
                  </a:solidFill>
                  <a:effectLst/>
                  <a:latin typeface="+mn-lt"/>
                  <a:ea typeface="+mn-ea"/>
                  <a:cs typeface="+mn-cs"/>
                </a:rPr>
                <a:t> </a:t>
              </a:r>
              <a:r>
                <a:rPr lang="en-US" sz="1100" b="1" i="0">
                  <a:solidFill>
                    <a:schemeClr val="dk1"/>
                  </a:solidFill>
                  <a:effectLst/>
                  <a:latin typeface="+mn-lt"/>
                  <a:ea typeface="+mn-ea"/>
                  <a:cs typeface="+mn-cs"/>
                </a:rPr>
                <a:t>with </a:t>
              </a:r>
              <a:r>
                <a:rPr lang="en-US" sz="1100" b="1" i="0">
                  <a:solidFill>
                    <a:schemeClr val="dk1"/>
                  </a:solidFill>
                  <a:latin typeface="Cambria Math" panose="02040503050406030204" pitchFamily="18" charset="0"/>
                  <a:ea typeface="+mn-ea"/>
                  <a:cs typeface="+mn-cs"/>
                </a:rPr>
                <a:t>𝒛=𝟐𝟎</a:t>
              </a:r>
              <a:r>
                <a:rPr lang="en-US" sz="1100" b="1" i="0">
                  <a:solidFill>
                    <a:schemeClr val="dk1"/>
                  </a:solidFill>
                  <a:effectLst/>
                  <a:latin typeface="+mn-lt"/>
                  <a:ea typeface="+mn-ea"/>
                  <a:cs typeface="+mn-cs"/>
                </a:rPr>
                <a:t>.</a:t>
              </a:r>
            </a:p>
            <a:p>
              <a:endParaRPr lang="en-US" sz="1100"/>
            </a:p>
            <a:p>
              <a:endParaRPr lang="en-US" sz="1100"/>
            </a:p>
            <a:p>
              <a:r>
                <a:rPr lang="en-US" sz="1100"/>
                <a:t>5.  Which constraints are binding at the optimal solution?</a:t>
              </a:r>
              <a:br>
                <a:rPr lang="en-US" sz="1100"/>
              </a:br>
              <a:r>
                <a:rPr lang="en-US" sz="1100" b="0" i="0">
                  <a:solidFill>
                    <a:schemeClr val="dk1"/>
                  </a:solidFill>
                  <a:effectLst/>
                  <a:latin typeface="+mn-lt"/>
                  <a:ea typeface="+mn-ea"/>
                  <a:cs typeface="+mn-cs"/>
                </a:rPr>
                <a:t>Binding: </a:t>
              </a:r>
              <a:r>
                <a:rPr lang="en-US" sz="1100" i="0">
                  <a:solidFill>
                    <a:schemeClr val="dk1"/>
                  </a:solidFill>
                  <a:latin typeface="+mn-lt"/>
                  <a:ea typeface="+mn-ea"/>
                  <a:cs typeface="+mn-cs"/>
                </a:rPr>
                <a:t>3</a:t>
              </a:r>
              <a:r>
                <a:rPr lang="ar-AE" sz="1100" i="0">
                  <a:solidFill>
                    <a:schemeClr val="dk1"/>
                  </a:solidFill>
                  <a:latin typeface="+mn-lt"/>
                  <a:ea typeface="+mn-ea"/>
                  <a:cs typeface="+mn-cs"/>
                </a:rPr>
                <a:t>𝑋_1+5𝑋_2=15</a:t>
              </a:r>
              <a:r>
                <a:rPr lang="ar-AE" sz="1100" b="0" i="0">
                  <a:solidFill>
                    <a:schemeClr val="dk1"/>
                  </a:solidFill>
                  <a:effectLst/>
                  <a:latin typeface="+mn-lt"/>
                  <a:ea typeface="+mn-ea"/>
                  <a:cs typeface="+mn-cs"/>
                </a:rPr>
                <a:t> </a:t>
              </a:r>
              <a:r>
                <a:rPr lang="en-US" sz="1100" b="0" i="0">
                  <a:solidFill>
                    <a:schemeClr val="dk1"/>
                  </a:solidFill>
                  <a:effectLst/>
                  <a:latin typeface="+mn-lt"/>
                  <a:ea typeface="+mn-ea"/>
                  <a:cs typeface="+mn-cs"/>
                </a:rPr>
                <a:t>because its slack is </a:t>
              </a:r>
              <a:r>
                <a:rPr lang="ar-AE" sz="1100" i="0">
                  <a:solidFill>
                    <a:schemeClr val="dk1"/>
                  </a:solidFill>
                  <a:latin typeface="+mn-lt"/>
                  <a:ea typeface="+mn-ea"/>
                  <a:cs typeface="+mn-cs"/>
                </a:rPr>
                <a:t>𝑆_2=0</a:t>
              </a:r>
              <a:r>
                <a:rPr lang="ar-AE" sz="1100" b="0" i="0">
                  <a:solidFill>
                    <a:schemeClr val="dk1"/>
                  </a:solidFill>
                  <a:effectLst/>
                  <a:latin typeface="+mn-lt"/>
                  <a:ea typeface="+mn-ea"/>
                  <a:cs typeface="+mn-cs"/>
                </a:rPr>
                <a:t> </a:t>
              </a:r>
              <a:r>
                <a:rPr lang="en-US" sz="1100" b="0" i="0">
                  <a:solidFill>
                    <a:schemeClr val="dk1"/>
                  </a:solidFill>
                  <a:effectLst/>
                  <a:latin typeface="+mn-lt"/>
                  <a:ea typeface="+mn-ea"/>
                  <a:cs typeface="+mn-cs"/>
                </a:rPr>
                <a:t>at </a:t>
              </a:r>
              <a:r>
                <a:rPr lang="ar-AE" sz="1100" i="0">
                  <a:solidFill>
                    <a:schemeClr val="dk1"/>
                  </a:solidFill>
                  <a:latin typeface="+mn-lt"/>
                  <a:ea typeface="+mn-ea"/>
                  <a:cs typeface="+mn-cs"/>
                </a:rPr>
                <a:t>(5ⓜ,0)</a:t>
              </a:r>
              <a:br>
                <a:rPr lang="en-US" sz="1100"/>
              </a:br>
              <a:endParaRPr lang="en-US" sz="1100"/>
            </a:p>
            <a:p>
              <a:r>
                <a:rPr lang="en-US" sz="1100" b="0" i="0">
                  <a:solidFill>
                    <a:schemeClr val="dk1"/>
                  </a:solidFill>
                  <a:effectLst/>
                  <a:latin typeface="+mn-lt"/>
                  <a:ea typeface="+mn-ea"/>
                  <a:cs typeface="+mn-cs"/>
                </a:rPr>
                <a:t>Binding: </a:t>
              </a:r>
              <a:r>
                <a:rPr lang="ar-AE" sz="1100" i="0">
                  <a:solidFill>
                    <a:schemeClr val="dk1"/>
                  </a:solidFill>
                  <a:latin typeface="+mn-lt"/>
                  <a:ea typeface="+mn-ea"/>
                  <a:cs typeface="+mn-cs"/>
                </a:rPr>
                <a:t>𝑋_2≥0</a:t>
              </a:r>
              <a:r>
                <a:rPr lang="ar-AE" sz="1100" b="0" i="0">
                  <a:solidFill>
                    <a:schemeClr val="dk1"/>
                  </a:solidFill>
                  <a:effectLst/>
                  <a:latin typeface="+mn-lt"/>
                  <a:ea typeface="+mn-ea"/>
                  <a:cs typeface="+mn-cs"/>
                </a:rPr>
                <a:t> </a:t>
              </a:r>
              <a:r>
                <a:rPr lang="en-US" sz="1100" b="0" i="0">
                  <a:solidFill>
                    <a:schemeClr val="dk1"/>
                  </a:solidFill>
                  <a:effectLst/>
                  <a:latin typeface="+mn-lt"/>
                  <a:ea typeface="+mn-ea"/>
                  <a:cs typeface="+mn-cs"/>
                </a:rPr>
                <a:t>since </a:t>
              </a:r>
              <a:r>
                <a:rPr lang="ar-AE" sz="1100" i="0">
                  <a:solidFill>
                    <a:schemeClr val="dk1"/>
                  </a:solidFill>
                  <a:latin typeface="+mn-lt"/>
                  <a:ea typeface="+mn-ea"/>
                  <a:cs typeface="+mn-cs"/>
                </a:rPr>
                <a:t>𝑋_2=0</a:t>
              </a:r>
              <a:r>
                <a:rPr lang="ar-AE" sz="1100" b="0" i="0">
                  <a:solidFill>
                    <a:schemeClr val="dk1"/>
                  </a:solidFill>
                  <a:effectLst/>
                  <a:latin typeface="+mn-lt"/>
                  <a:ea typeface="+mn-ea"/>
                  <a:cs typeface="+mn-cs"/>
                </a:rPr>
                <a:t> </a:t>
              </a:r>
              <a:r>
                <a:rPr lang="en-US" sz="1100" b="0" i="0">
                  <a:solidFill>
                    <a:schemeClr val="dk1"/>
                  </a:solidFill>
                  <a:effectLst/>
                  <a:latin typeface="+mn-lt"/>
                  <a:ea typeface="+mn-ea"/>
                  <a:cs typeface="+mn-cs"/>
                </a:rPr>
                <a:t>at the optimum</a:t>
              </a:r>
              <a:endParaRPr lang="en-US" sz="1100"/>
            </a:p>
            <a:p>
              <a:endParaRPr lang="en-US" sz="1100"/>
            </a:p>
          </xdr:txBody>
        </xdr:sp>
      </mc:Fallback>
    </mc:AlternateContent>
    <xdr:clientData/>
  </xdr:twoCellAnchor>
  <xdr:twoCellAnchor editAs="oneCell">
    <xdr:from>
      <xdr:col>0</xdr:col>
      <xdr:colOff>0</xdr:colOff>
      <xdr:row>0</xdr:row>
      <xdr:rowOff>0</xdr:rowOff>
    </xdr:from>
    <xdr:to>
      <xdr:col>10</xdr:col>
      <xdr:colOff>228600</xdr:colOff>
      <xdr:row>25</xdr:row>
      <xdr:rowOff>167011</xdr:rowOff>
    </xdr:to>
    <xdr:pic>
      <xdr:nvPicPr>
        <xdr:cNvPr id="4" name="Picture 3">
          <a:extLst>
            <a:ext uri="{FF2B5EF4-FFF2-40B4-BE49-F238E27FC236}">
              <a16:creationId xmlns:a16="http://schemas.microsoft.com/office/drawing/2014/main" id="{8F31CDE8-3D7F-A3E0-6EAD-DD100EAA5152}"/>
            </a:ext>
          </a:extLst>
        </xdr:cNvPr>
        <xdr:cNvPicPr>
          <a:picLocks noChangeAspect="1"/>
        </xdr:cNvPicPr>
      </xdr:nvPicPr>
      <xdr:blipFill>
        <a:blip xmlns:r="http://schemas.openxmlformats.org/officeDocument/2006/relationships" r:embed="rId1"/>
        <a:stretch>
          <a:fillRect/>
        </a:stretch>
      </xdr:blipFill>
      <xdr:spPr>
        <a:xfrm>
          <a:off x="0" y="0"/>
          <a:ext cx="7378700" cy="492951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A48A0-A765-E344-8D4F-BE37862C5C29}">
  <dimension ref="A1:H25"/>
  <sheetViews>
    <sheetView showGridLines="0" topLeftCell="B3" workbookViewId="0">
      <selection activeCell="L36" sqref="L36"/>
    </sheetView>
  </sheetViews>
  <sheetFormatPr baseColWidth="10" defaultColWidth="16.33203125" defaultRowHeight="15" outlineLevelRow="1" x14ac:dyDescent="0.2"/>
  <cols>
    <col min="1" max="1" width="11.1640625" bestFit="1" customWidth="1"/>
    <col min="2" max="2" width="25.83203125" bestFit="1" customWidth="1"/>
    <col min="3" max="3" width="21" bestFit="1" customWidth="1"/>
    <col min="4" max="4" width="5.5" bestFit="1" customWidth="1"/>
    <col min="5" max="5" width="8" bestFit="1" customWidth="1"/>
    <col min="6" max="6" width="9.83203125" bestFit="1" customWidth="1"/>
    <col min="7" max="8" width="8.6640625" bestFit="1" customWidth="1"/>
  </cols>
  <sheetData>
    <row r="1" spans="1:8" x14ac:dyDescent="0.2">
      <c r="A1" s="36" t="s">
        <v>43</v>
      </c>
      <c r="B1" s="36"/>
    </row>
    <row r="2" spans="1:8" x14ac:dyDescent="0.2">
      <c r="A2" s="36" t="s">
        <v>44</v>
      </c>
      <c r="B2" s="36"/>
    </row>
    <row r="3" spans="1:8" x14ac:dyDescent="0.2">
      <c r="A3" s="36" t="s">
        <v>45</v>
      </c>
      <c r="B3" s="36"/>
    </row>
    <row r="6" spans="1:8" ht="16" thickBot="1" x14ac:dyDescent="0.25">
      <c r="A6" t="s">
        <v>46</v>
      </c>
    </row>
    <row r="7" spans="1:8" x14ac:dyDescent="0.2">
      <c r="B7" s="25"/>
      <c r="C7" s="25"/>
      <c r="D7" s="25" t="s">
        <v>49</v>
      </c>
      <c r="E7" s="25" t="s">
        <v>51</v>
      </c>
      <c r="F7" s="25" t="s">
        <v>53</v>
      </c>
      <c r="G7" s="25" t="s">
        <v>55</v>
      </c>
      <c r="H7" s="25" t="s">
        <v>55</v>
      </c>
    </row>
    <row r="8" spans="1:8" ht="16" thickBot="1" x14ac:dyDescent="0.25">
      <c r="B8" s="26" t="s">
        <v>47</v>
      </c>
      <c r="C8" s="26" t="s">
        <v>48</v>
      </c>
      <c r="D8" s="26" t="s">
        <v>50</v>
      </c>
      <c r="E8" s="26" t="s">
        <v>52</v>
      </c>
      <c r="F8" s="26" t="s">
        <v>54</v>
      </c>
      <c r="G8" s="26" t="s">
        <v>56</v>
      </c>
      <c r="H8" s="26" t="s">
        <v>57</v>
      </c>
    </row>
    <row r="9" spans="1:8" x14ac:dyDescent="0.2">
      <c r="B9" s="28" t="s">
        <v>83</v>
      </c>
      <c r="C9" s="27"/>
      <c r="D9" s="27"/>
      <c r="E9" s="27"/>
      <c r="F9" s="27"/>
      <c r="G9" s="27"/>
      <c r="H9" s="27"/>
    </row>
    <row r="10" spans="1:8" outlineLevel="1" x14ac:dyDescent="0.2">
      <c r="B10" s="23" t="s">
        <v>63</v>
      </c>
      <c r="C10" s="23" t="s">
        <v>64</v>
      </c>
      <c r="D10" s="23">
        <v>1000</v>
      </c>
      <c r="E10" s="23">
        <v>-0.22999999999999998</v>
      </c>
      <c r="F10" s="23">
        <v>1.85</v>
      </c>
      <c r="G10" s="23">
        <v>0.22999999999999998</v>
      </c>
      <c r="H10" s="23">
        <v>1E+30</v>
      </c>
    </row>
    <row r="11" spans="1:8" outlineLevel="1" x14ac:dyDescent="0.2">
      <c r="B11" s="23" t="s">
        <v>65</v>
      </c>
      <c r="C11" s="23" t="s">
        <v>66</v>
      </c>
      <c r="D11" s="23">
        <v>500</v>
      </c>
      <c r="E11" s="23">
        <v>6.8800000000000056E-2</v>
      </c>
      <c r="F11" s="23">
        <v>1.4</v>
      </c>
      <c r="G11" s="23">
        <v>1E+30</v>
      </c>
      <c r="H11" s="23">
        <v>6.8800000000000056E-2</v>
      </c>
    </row>
    <row r="12" spans="1:8" outlineLevel="1" x14ac:dyDescent="0.2">
      <c r="B12" s="23" t="s">
        <v>67</v>
      </c>
      <c r="C12" s="23" t="s">
        <v>68</v>
      </c>
      <c r="D12" s="23">
        <v>80</v>
      </c>
      <c r="E12" s="23">
        <v>0</v>
      </c>
      <c r="F12" s="23">
        <v>1.04</v>
      </c>
      <c r="G12" s="23">
        <v>5.3750000000000055E-2</v>
      </c>
      <c r="H12" s="23">
        <v>0.11499999999999999</v>
      </c>
    </row>
    <row r="13" spans="1:8" ht="16" outlineLevel="1" thickBot="1" x14ac:dyDescent="0.25">
      <c r="B13" s="24" t="s">
        <v>69</v>
      </c>
      <c r="C13" s="24" t="s">
        <v>70</v>
      </c>
      <c r="D13" s="24">
        <v>200</v>
      </c>
      <c r="E13" s="24">
        <v>0.56799999999999939</v>
      </c>
      <c r="F13" s="24">
        <v>1.3999999999999995</v>
      </c>
      <c r="G13" s="24">
        <v>1E+30</v>
      </c>
      <c r="H13" s="24">
        <v>0.56799999999999939</v>
      </c>
    </row>
    <row r="16" spans="1:8" ht="16" thickBot="1" x14ac:dyDescent="0.25">
      <c r="A16" t="s">
        <v>58</v>
      </c>
    </row>
    <row r="17" spans="2:8" x14ac:dyDescent="0.2">
      <c r="B17" s="25"/>
      <c r="C17" s="25"/>
      <c r="D17" s="25" t="s">
        <v>49</v>
      </c>
      <c r="E17" s="25" t="s">
        <v>59</v>
      </c>
      <c r="F17" s="25" t="s">
        <v>61</v>
      </c>
      <c r="G17" s="25" t="s">
        <v>55</v>
      </c>
      <c r="H17" s="25" t="s">
        <v>55</v>
      </c>
    </row>
    <row r="18" spans="2:8" ht="16" thickBot="1" x14ac:dyDescent="0.25">
      <c r="B18" s="26" t="s">
        <v>47</v>
      </c>
      <c r="C18" s="26" t="s">
        <v>48</v>
      </c>
      <c r="D18" s="26" t="s">
        <v>50</v>
      </c>
      <c r="E18" s="26" t="s">
        <v>60</v>
      </c>
      <c r="F18" s="26" t="s">
        <v>62</v>
      </c>
      <c r="G18" s="26" t="s">
        <v>56</v>
      </c>
      <c r="H18" s="26" t="s">
        <v>57</v>
      </c>
    </row>
    <row r="19" spans="2:8" x14ac:dyDescent="0.2">
      <c r="B19" s="28" t="s">
        <v>84</v>
      </c>
      <c r="C19" s="27"/>
      <c r="D19" s="27"/>
      <c r="E19" s="27"/>
      <c r="F19" s="27"/>
      <c r="G19" s="27"/>
      <c r="H19" s="27"/>
    </row>
    <row r="20" spans="2:8" outlineLevel="1" x14ac:dyDescent="0.2">
      <c r="B20" s="23" t="s">
        <v>71</v>
      </c>
      <c r="C20" s="23" t="s">
        <v>72</v>
      </c>
      <c r="D20" s="23">
        <v>1780</v>
      </c>
      <c r="E20" s="23">
        <v>0</v>
      </c>
      <c r="F20" s="23">
        <v>3600</v>
      </c>
      <c r="G20" s="29">
        <v>1E+30</v>
      </c>
      <c r="H20" s="23">
        <v>1820</v>
      </c>
    </row>
    <row r="21" spans="2:8" outlineLevel="1" x14ac:dyDescent="0.2">
      <c r="B21" s="23" t="s">
        <v>73</v>
      </c>
      <c r="C21" s="23" t="s">
        <v>74</v>
      </c>
      <c r="D21" s="23">
        <v>3180</v>
      </c>
      <c r="E21" s="23">
        <v>0</v>
      </c>
      <c r="F21" s="23">
        <v>3600</v>
      </c>
      <c r="G21" s="23">
        <v>1E+30</v>
      </c>
      <c r="H21" s="23">
        <v>420</v>
      </c>
    </row>
    <row r="22" spans="2:8" outlineLevel="1" x14ac:dyDescent="0.2">
      <c r="B22" s="23" t="s">
        <v>75</v>
      </c>
      <c r="C22" s="23" t="s">
        <v>76</v>
      </c>
      <c r="D22" s="23">
        <v>1366</v>
      </c>
      <c r="E22" s="23">
        <v>0</v>
      </c>
      <c r="F22" s="23">
        <v>3600</v>
      </c>
      <c r="G22" s="23">
        <v>1E+30</v>
      </c>
      <c r="H22" s="23">
        <v>2234</v>
      </c>
    </row>
    <row r="23" spans="2:8" outlineLevel="1" x14ac:dyDescent="0.2">
      <c r="B23" s="23" t="s">
        <v>77</v>
      </c>
      <c r="C23" s="23" t="s">
        <v>78</v>
      </c>
      <c r="D23" s="23">
        <v>3600</v>
      </c>
      <c r="E23" s="23">
        <v>0.83200000000000007</v>
      </c>
      <c r="F23" s="23">
        <v>3600</v>
      </c>
      <c r="G23" s="23">
        <v>56.249999999999936</v>
      </c>
      <c r="H23" s="23">
        <v>100</v>
      </c>
    </row>
    <row r="24" spans="2:8" x14ac:dyDescent="0.2">
      <c r="B24" s="23" t="s">
        <v>79</v>
      </c>
      <c r="C24" s="23" t="s">
        <v>80</v>
      </c>
      <c r="D24" s="23">
        <v>1016</v>
      </c>
      <c r="E24" s="23">
        <v>0</v>
      </c>
      <c r="F24" s="23">
        <v>1100</v>
      </c>
      <c r="G24" s="23">
        <v>1E+30</v>
      </c>
      <c r="H24" s="23">
        <v>83.999999999999972</v>
      </c>
    </row>
    <row r="25" spans="2:8" ht="16" thickBot="1" x14ac:dyDescent="0.25">
      <c r="B25" s="24" t="s">
        <v>81</v>
      </c>
      <c r="C25" s="24" t="s">
        <v>82</v>
      </c>
      <c r="D25" s="24">
        <v>764</v>
      </c>
      <c r="E25" s="24">
        <v>0</v>
      </c>
      <c r="F25" s="24">
        <v>800</v>
      </c>
      <c r="G25" s="24">
        <v>1E+30</v>
      </c>
      <c r="H25" s="24">
        <v>35.999999999999964</v>
      </c>
    </row>
  </sheetData>
  <mergeCells count="3">
    <mergeCell ref="A1:B1"/>
    <mergeCell ref="A2:B2"/>
    <mergeCell ref="A3:B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F3B7A-5971-472D-A454-337FCABCB4DD}">
  <dimension ref="A4:I23"/>
  <sheetViews>
    <sheetView zoomScaleNormal="100" workbookViewId="0">
      <selection activeCell="L24" sqref="L24"/>
    </sheetView>
  </sheetViews>
  <sheetFormatPr baseColWidth="10" defaultColWidth="9.1640625" defaultRowHeight="16" x14ac:dyDescent="0.2"/>
  <cols>
    <col min="1" max="1" width="3.1640625" style="1" customWidth="1"/>
    <col min="2" max="2" width="22.5" style="2" customWidth="1"/>
    <col min="3" max="3" width="12" style="1" customWidth="1"/>
    <col min="4" max="4" width="10.1640625" style="1" customWidth="1"/>
    <col min="5" max="5" width="9.5" style="1" customWidth="1"/>
    <col min="6" max="6" width="10.83203125" style="1" customWidth="1"/>
    <col min="7" max="7" width="8.5" style="1" customWidth="1"/>
    <col min="8" max="8" width="10" style="1" customWidth="1"/>
    <col min="9" max="16384" width="9.1640625" style="1"/>
  </cols>
  <sheetData>
    <row r="4" spans="2:9" x14ac:dyDescent="0.2">
      <c r="C4" s="3" t="s">
        <v>26</v>
      </c>
      <c r="D4" s="3" t="s">
        <v>25</v>
      </c>
      <c r="E4" s="3" t="s">
        <v>24</v>
      </c>
      <c r="F4" s="3" t="s">
        <v>23</v>
      </c>
    </row>
    <row r="5" spans="2:9" x14ac:dyDescent="0.2">
      <c r="B5" s="2" t="s">
        <v>22</v>
      </c>
      <c r="C5" s="10">
        <v>1000</v>
      </c>
      <c r="D5" s="10">
        <v>500</v>
      </c>
      <c r="E5" s="10">
        <v>80</v>
      </c>
      <c r="F5" s="10">
        <v>200</v>
      </c>
    </row>
    <row r="6" spans="2:9" x14ac:dyDescent="0.2">
      <c r="B6" s="2" t="s">
        <v>21</v>
      </c>
      <c r="C6" s="3">
        <v>1000</v>
      </c>
      <c r="D6" s="3">
        <v>400</v>
      </c>
      <c r="E6" s="3">
        <v>0</v>
      </c>
      <c r="F6" s="3">
        <v>0</v>
      </c>
    </row>
    <row r="7" spans="2:9" x14ac:dyDescent="0.2">
      <c r="B7" s="2" t="s">
        <v>20</v>
      </c>
      <c r="C7" s="3">
        <v>99999</v>
      </c>
      <c r="D7" s="3">
        <v>500</v>
      </c>
      <c r="E7" s="3">
        <v>150</v>
      </c>
      <c r="F7" s="3">
        <v>200</v>
      </c>
      <c r="I7" s="9"/>
    </row>
    <row r="8" spans="2:9" x14ac:dyDescent="0.2">
      <c r="C8" s="3"/>
      <c r="D8" s="3"/>
      <c r="E8" s="3"/>
      <c r="F8" s="3"/>
    </row>
    <row r="9" spans="2:9" x14ac:dyDescent="0.2">
      <c r="B9" s="2" t="s">
        <v>19</v>
      </c>
      <c r="C9" s="8">
        <v>5</v>
      </c>
      <c r="D9" s="8">
        <v>4</v>
      </c>
      <c r="E9" s="8">
        <v>3.2</v>
      </c>
      <c r="F9" s="8">
        <v>4.5</v>
      </c>
    </row>
    <row r="10" spans="2:9" x14ac:dyDescent="0.2">
      <c r="B10" s="2" t="s">
        <v>18</v>
      </c>
      <c r="C10" s="8">
        <v>3.15</v>
      </c>
      <c r="D10" s="8">
        <v>2.6</v>
      </c>
      <c r="E10" s="8">
        <v>2.16</v>
      </c>
      <c r="F10" s="8">
        <v>3.1</v>
      </c>
    </row>
    <row r="11" spans="2:9" ht="17" thickBot="1" x14ac:dyDescent="0.25">
      <c r="B11" s="2" t="s">
        <v>17</v>
      </c>
      <c r="C11" s="7">
        <f>C9-C10</f>
        <v>1.85</v>
      </c>
      <c r="D11" s="7">
        <f>D9-D10</f>
        <v>1.4</v>
      </c>
      <c r="E11" s="7">
        <f>E9-E10</f>
        <v>1.04</v>
      </c>
      <c r="F11" s="7">
        <f>F9-F10</f>
        <v>1.4</v>
      </c>
    </row>
    <row r="12" spans="2:9" ht="18" thickTop="1" thickBot="1" x14ac:dyDescent="0.25"/>
    <row r="13" spans="2:9" ht="18" thickTop="1" thickBot="1" x14ac:dyDescent="0.25">
      <c r="B13" s="2" t="s">
        <v>16</v>
      </c>
      <c r="C13" s="6">
        <f>SUMPRODUCT(C11:F11,$C$5:$F$5)</f>
        <v>2913.2</v>
      </c>
    </row>
    <row r="14" spans="2:9" ht="17" thickTop="1" x14ac:dyDescent="0.2"/>
    <row r="15" spans="2:9" x14ac:dyDescent="0.2">
      <c r="B15" s="2" t="s">
        <v>15</v>
      </c>
      <c r="C15" s="37" t="s">
        <v>14</v>
      </c>
      <c r="D15" s="37"/>
      <c r="E15" s="37"/>
      <c r="F15" s="37"/>
      <c r="G15" s="3" t="s">
        <v>6</v>
      </c>
      <c r="H15" s="3" t="s">
        <v>5</v>
      </c>
    </row>
    <row r="16" spans="2:9" x14ac:dyDescent="0.2">
      <c r="B16" s="2" t="s">
        <v>13</v>
      </c>
      <c r="C16" s="5">
        <v>1</v>
      </c>
      <c r="D16" s="5">
        <v>1</v>
      </c>
      <c r="E16" s="5">
        <v>1</v>
      </c>
      <c r="F16" s="5">
        <v>1</v>
      </c>
      <c r="G16" s="4">
        <f>SUMPRODUCT(C16:F16,$C$5:$F$5)</f>
        <v>1780</v>
      </c>
      <c r="H16" s="3">
        <v>3600</v>
      </c>
    </row>
    <row r="17" spans="1:8" x14ac:dyDescent="0.2">
      <c r="B17" s="2" t="s">
        <v>12</v>
      </c>
      <c r="C17" s="5">
        <v>2</v>
      </c>
      <c r="D17" s="5">
        <v>1.5</v>
      </c>
      <c r="E17" s="5">
        <v>1</v>
      </c>
      <c r="F17" s="5">
        <v>1.75</v>
      </c>
      <c r="G17" s="4">
        <f>SUMPRODUCT(C17:F17,$C$5:$F$5)</f>
        <v>3180</v>
      </c>
      <c r="H17" s="3">
        <v>3600</v>
      </c>
    </row>
    <row r="18" spans="1:8" x14ac:dyDescent="0.2">
      <c r="A18" s="1" t="s">
        <v>11</v>
      </c>
      <c r="B18" s="2" t="s">
        <v>10</v>
      </c>
      <c r="C18" s="5">
        <v>1</v>
      </c>
      <c r="D18" s="5">
        <v>0.7</v>
      </c>
      <c r="E18" s="5">
        <v>0.2</v>
      </c>
      <c r="F18" s="5">
        <v>0</v>
      </c>
      <c r="G18" s="4">
        <f>SUMPRODUCT(C18:F18,$C$5:$F$5)</f>
        <v>1366</v>
      </c>
      <c r="H18" s="3">
        <v>3600</v>
      </c>
    </row>
    <row r="19" spans="1:8" x14ac:dyDescent="0.2">
      <c r="B19" s="2" t="s">
        <v>9</v>
      </c>
      <c r="C19" s="5">
        <v>2.5</v>
      </c>
      <c r="D19" s="5">
        <v>1.6</v>
      </c>
      <c r="E19" s="5">
        <v>1.25</v>
      </c>
      <c r="F19" s="5">
        <v>1</v>
      </c>
      <c r="G19" s="4">
        <f>SUMPRODUCT(C19:F19,$C$5:$F$5)</f>
        <v>3600</v>
      </c>
      <c r="H19" s="3">
        <v>3600</v>
      </c>
    </row>
    <row r="20" spans="1:8" x14ac:dyDescent="0.2">
      <c r="C20" s="2"/>
      <c r="D20" s="2"/>
      <c r="E20" s="2"/>
      <c r="F20" s="2"/>
      <c r="H20" s="2"/>
    </row>
    <row r="21" spans="1:8" x14ac:dyDescent="0.2">
      <c r="B21" s="2" t="s">
        <v>8</v>
      </c>
      <c r="C21" s="37" t="s">
        <v>7</v>
      </c>
      <c r="D21" s="37"/>
      <c r="E21" s="37"/>
      <c r="F21" s="37"/>
      <c r="G21" s="3" t="s">
        <v>6</v>
      </c>
      <c r="H21" s="3" t="s">
        <v>5</v>
      </c>
    </row>
    <row r="22" spans="1:8" x14ac:dyDescent="0.2">
      <c r="B22" s="2" t="s">
        <v>4</v>
      </c>
      <c r="C22" s="5">
        <v>0.6</v>
      </c>
      <c r="D22" s="5">
        <v>0.4</v>
      </c>
      <c r="E22" s="5">
        <v>0.2</v>
      </c>
      <c r="F22" s="5">
        <v>1</v>
      </c>
      <c r="G22" s="4">
        <f>SUMPRODUCT(C22:F22,$C$5:$F$5)</f>
        <v>1016</v>
      </c>
      <c r="H22" s="3">
        <v>1100</v>
      </c>
    </row>
    <row r="23" spans="1:8" x14ac:dyDescent="0.2">
      <c r="B23" s="2" t="s">
        <v>3</v>
      </c>
      <c r="C23" s="5">
        <v>0.4</v>
      </c>
      <c r="D23" s="5">
        <v>0.6</v>
      </c>
      <c r="E23" s="5">
        <v>0.8</v>
      </c>
      <c r="F23" s="5">
        <v>0</v>
      </c>
      <c r="G23" s="4">
        <f>SUMPRODUCT(C23:F23,$C$5:$F$5)</f>
        <v>764</v>
      </c>
      <c r="H23" s="3">
        <v>800</v>
      </c>
    </row>
  </sheetData>
  <mergeCells count="2">
    <mergeCell ref="C15:F15"/>
    <mergeCell ref="C21:F21"/>
  </mergeCells>
  <pageMargins left="0.75" right="0.75" top="1" bottom="1" header="0.5" footer="0.5"/>
  <pageSetup scale="92" orientation="portrait"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ACBEA-4046-0345-A1ED-E89A53042DB1}">
  <dimension ref="A1:H26"/>
  <sheetViews>
    <sheetView showGridLines="0" topLeftCell="A3" zoomScale="161" workbookViewId="0">
      <selection activeCell="C18" sqref="C18"/>
    </sheetView>
  </sheetViews>
  <sheetFormatPr baseColWidth="10" defaultRowHeight="15" outlineLevelRow="1" x14ac:dyDescent="0.2"/>
  <cols>
    <col min="1" max="1" width="2.33203125" customWidth="1"/>
    <col min="2" max="2" width="24.5" bestFit="1" customWidth="1"/>
    <col min="3" max="3" width="17.33203125" bestFit="1" customWidth="1"/>
    <col min="4" max="4" width="5.5" bestFit="1" customWidth="1"/>
    <col min="5" max="5" width="8" bestFit="1" customWidth="1"/>
    <col min="6" max="6" width="9.83203125" bestFit="1" customWidth="1"/>
    <col min="7" max="8" width="8.6640625" bestFit="1" customWidth="1"/>
  </cols>
  <sheetData>
    <row r="1" spans="1:8" x14ac:dyDescent="0.2">
      <c r="A1" s="33" t="s">
        <v>43</v>
      </c>
    </row>
    <row r="2" spans="1:8" x14ac:dyDescent="0.2">
      <c r="A2" s="33" t="s">
        <v>85</v>
      </c>
    </row>
    <row r="3" spans="1:8" x14ac:dyDescent="0.2">
      <c r="A3" s="33" t="s">
        <v>86</v>
      </c>
    </row>
    <row r="6" spans="1:8" ht="16" thickBot="1" x14ac:dyDescent="0.25">
      <c r="A6" t="s">
        <v>46</v>
      </c>
    </row>
    <row r="7" spans="1:8" x14ac:dyDescent="0.2">
      <c r="B7" s="25"/>
      <c r="C7" s="25"/>
      <c r="D7" s="25" t="s">
        <v>49</v>
      </c>
      <c r="E7" s="25" t="s">
        <v>51</v>
      </c>
      <c r="F7" s="25" t="s">
        <v>53</v>
      </c>
      <c r="G7" s="25" t="s">
        <v>55</v>
      </c>
      <c r="H7" s="25" t="s">
        <v>55</v>
      </c>
    </row>
    <row r="8" spans="1:8" ht="16" thickBot="1" x14ac:dyDescent="0.25">
      <c r="B8" s="26" t="s">
        <v>47</v>
      </c>
      <c r="C8" s="26" t="s">
        <v>48</v>
      </c>
      <c r="D8" s="26" t="s">
        <v>50</v>
      </c>
      <c r="E8" s="26" t="s">
        <v>52</v>
      </c>
      <c r="F8" s="26" t="s">
        <v>54</v>
      </c>
      <c r="G8" s="26" t="s">
        <v>56</v>
      </c>
      <c r="H8" s="26" t="s">
        <v>57</v>
      </c>
    </row>
    <row r="9" spans="1:8" x14ac:dyDescent="0.2">
      <c r="B9" s="28" t="s">
        <v>109</v>
      </c>
      <c r="C9" s="27"/>
      <c r="D9" s="27"/>
      <c r="E9" s="27"/>
      <c r="F9" s="27"/>
      <c r="G9" s="27"/>
      <c r="H9" s="27"/>
    </row>
    <row r="10" spans="1:8" outlineLevel="1" x14ac:dyDescent="0.2">
      <c r="B10" s="23" t="s">
        <v>87</v>
      </c>
      <c r="C10" s="23" t="s">
        <v>88</v>
      </c>
      <c r="D10" s="23">
        <v>0</v>
      </c>
      <c r="E10" s="23">
        <v>50</v>
      </c>
      <c r="F10" s="23">
        <v>260</v>
      </c>
      <c r="G10" s="23">
        <v>1E+30</v>
      </c>
      <c r="H10" s="23">
        <v>50</v>
      </c>
    </row>
    <row r="11" spans="1:8" outlineLevel="1" x14ac:dyDescent="0.2">
      <c r="B11" s="23" t="s">
        <v>89</v>
      </c>
      <c r="C11" s="23" t="s">
        <v>90</v>
      </c>
      <c r="D11" s="23">
        <v>15</v>
      </c>
      <c r="E11" s="23">
        <v>0</v>
      </c>
      <c r="F11" s="23">
        <v>220</v>
      </c>
      <c r="G11" s="23">
        <v>0</v>
      </c>
      <c r="H11" s="23">
        <v>1E+30</v>
      </c>
    </row>
    <row r="12" spans="1:8" outlineLevel="1" x14ac:dyDescent="0.2">
      <c r="B12" s="23" t="s">
        <v>91</v>
      </c>
      <c r="C12" s="23" t="s">
        <v>92</v>
      </c>
      <c r="D12" s="23">
        <v>5</v>
      </c>
      <c r="E12" s="23">
        <v>0</v>
      </c>
      <c r="F12" s="23">
        <v>290</v>
      </c>
      <c r="G12" s="23">
        <v>20</v>
      </c>
      <c r="H12" s="23">
        <v>0</v>
      </c>
    </row>
    <row r="13" spans="1:8" outlineLevel="1" x14ac:dyDescent="0.2">
      <c r="B13" s="23" t="s">
        <v>93</v>
      </c>
      <c r="C13" s="23" t="s">
        <v>94</v>
      </c>
      <c r="D13" s="23">
        <v>10</v>
      </c>
      <c r="E13" s="23">
        <v>0</v>
      </c>
      <c r="F13" s="23">
        <v>230</v>
      </c>
      <c r="G13" s="23">
        <v>50</v>
      </c>
      <c r="H13" s="23">
        <v>1E+30</v>
      </c>
    </row>
    <row r="14" spans="1:8" outlineLevel="1" x14ac:dyDescent="0.2">
      <c r="B14" s="23" t="s">
        <v>95</v>
      </c>
      <c r="C14" s="23" t="s">
        <v>96</v>
      </c>
      <c r="D14" s="23">
        <v>0</v>
      </c>
      <c r="E14" s="23">
        <v>0</v>
      </c>
      <c r="F14" s="23">
        <v>240</v>
      </c>
      <c r="G14" s="23">
        <v>1E+30</v>
      </c>
      <c r="H14" s="23">
        <v>0</v>
      </c>
    </row>
    <row r="15" spans="1:8" ht="16" outlineLevel="1" thickBot="1" x14ac:dyDescent="0.25">
      <c r="B15" s="24" t="s">
        <v>97</v>
      </c>
      <c r="C15" s="24" t="s">
        <v>98</v>
      </c>
      <c r="D15" s="24">
        <v>5</v>
      </c>
      <c r="E15" s="24">
        <v>0</v>
      </c>
      <c r="F15" s="24">
        <v>310</v>
      </c>
      <c r="G15" s="24">
        <v>0</v>
      </c>
      <c r="H15" s="24">
        <v>20</v>
      </c>
    </row>
    <row r="18" spans="1:8" ht="16" thickBot="1" x14ac:dyDescent="0.25">
      <c r="A18" t="s">
        <v>58</v>
      </c>
    </row>
    <row r="19" spans="1:8" x14ac:dyDescent="0.2">
      <c r="B19" s="25"/>
      <c r="C19" s="25"/>
      <c r="D19" s="25" t="s">
        <v>49</v>
      </c>
      <c r="E19" s="25" t="s">
        <v>59</v>
      </c>
      <c r="F19" s="25" t="s">
        <v>61</v>
      </c>
      <c r="G19" s="25" t="s">
        <v>55</v>
      </c>
      <c r="H19" s="25" t="s">
        <v>55</v>
      </c>
    </row>
    <row r="20" spans="1:8" ht="16" thickBot="1" x14ac:dyDescent="0.25">
      <c r="B20" s="26" t="s">
        <v>47</v>
      </c>
      <c r="C20" s="26" t="s">
        <v>48</v>
      </c>
      <c r="D20" s="26" t="s">
        <v>50</v>
      </c>
      <c r="E20" s="26" t="s">
        <v>60</v>
      </c>
      <c r="F20" s="26" t="s">
        <v>62</v>
      </c>
      <c r="G20" s="26" t="s">
        <v>56</v>
      </c>
      <c r="H20" s="26" t="s">
        <v>57</v>
      </c>
    </row>
    <row r="21" spans="1:8" x14ac:dyDescent="0.2">
      <c r="B21" s="28" t="s">
        <v>110</v>
      </c>
      <c r="C21" s="27"/>
      <c r="D21" s="27"/>
      <c r="E21" s="27"/>
      <c r="F21" s="27"/>
      <c r="G21" s="27"/>
      <c r="H21" s="27"/>
    </row>
    <row r="22" spans="1:8" outlineLevel="1" x14ac:dyDescent="0.2">
      <c r="B22" s="23" t="s">
        <v>99</v>
      </c>
      <c r="C22" s="23" t="s">
        <v>100</v>
      </c>
      <c r="D22" s="23">
        <v>10</v>
      </c>
      <c r="E22" s="23">
        <v>230</v>
      </c>
      <c r="F22" s="23">
        <v>10</v>
      </c>
      <c r="G22" s="23">
        <v>5</v>
      </c>
      <c r="H22" s="23">
        <v>10</v>
      </c>
    </row>
    <row r="23" spans="1:8" outlineLevel="1" x14ac:dyDescent="0.2">
      <c r="B23" s="23" t="s">
        <v>101</v>
      </c>
      <c r="C23" s="23" t="s">
        <v>102</v>
      </c>
      <c r="D23" s="23">
        <v>15</v>
      </c>
      <c r="E23" s="23">
        <v>240</v>
      </c>
      <c r="F23" s="23">
        <v>15</v>
      </c>
      <c r="G23" s="23">
        <v>5</v>
      </c>
      <c r="H23" s="23">
        <v>5</v>
      </c>
    </row>
    <row r="24" spans="1:8" outlineLevel="1" x14ac:dyDescent="0.2">
      <c r="B24" s="23" t="s">
        <v>103</v>
      </c>
      <c r="C24" s="23" t="s">
        <v>104</v>
      </c>
      <c r="D24" s="23">
        <v>10</v>
      </c>
      <c r="E24" s="23">
        <v>310</v>
      </c>
      <c r="F24" s="23">
        <v>10</v>
      </c>
      <c r="G24" s="23">
        <v>5</v>
      </c>
      <c r="H24" s="23">
        <v>5</v>
      </c>
    </row>
    <row r="25" spans="1:8" x14ac:dyDescent="0.2">
      <c r="B25" s="23" t="s">
        <v>105</v>
      </c>
      <c r="C25" s="23" t="s">
        <v>106</v>
      </c>
      <c r="D25" s="23">
        <v>20</v>
      </c>
      <c r="E25" s="23">
        <v>-20</v>
      </c>
      <c r="F25" s="23">
        <v>20</v>
      </c>
      <c r="G25" s="23">
        <v>5</v>
      </c>
      <c r="H25" s="23">
        <v>5</v>
      </c>
    </row>
    <row r="26" spans="1:8" ht="16" thickBot="1" x14ac:dyDescent="0.25">
      <c r="B26" s="24" t="s">
        <v>107</v>
      </c>
      <c r="C26" s="24" t="s">
        <v>108</v>
      </c>
      <c r="D26" s="24">
        <v>15</v>
      </c>
      <c r="E26" s="24">
        <v>0</v>
      </c>
      <c r="F26" s="24">
        <v>20</v>
      </c>
      <c r="G26" s="24">
        <v>1E+30</v>
      </c>
      <c r="H26" s="24">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282AD-24DE-442C-B019-C5CDE4CC6007}">
  <dimension ref="A3:F13"/>
  <sheetViews>
    <sheetView topLeftCell="A5" zoomScale="125" workbookViewId="0">
      <selection activeCell="K47" sqref="K47"/>
    </sheetView>
  </sheetViews>
  <sheetFormatPr baseColWidth="10" defaultColWidth="8.83203125" defaultRowHeight="15" x14ac:dyDescent="0.2"/>
  <cols>
    <col min="1" max="1" width="9.33203125" style="30" bestFit="1" customWidth="1"/>
    <col min="2" max="2" width="10.1640625" style="30" bestFit="1" customWidth="1"/>
    <col min="3" max="3" width="7.6640625" style="30" bestFit="1" customWidth="1"/>
    <col min="4" max="4" width="11.1640625" style="30" bestFit="1" customWidth="1"/>
    <col min="5" max="5" width="5.33203125" style="30" bestFit="1" customWidth="1"/>
    <col min="6" max="16384" width="8.83203125" style="30"/>
  </cols>
  <sheetData>
    <row r="3" spans="1:6" x14ac:dyDescent="0.2">
      <c r="B3" s="30" t="s">
        <v>27</v>
      </c>
      <c r="C3" s="30" t="s">
        <v>28</v>
      </c>
      <c r="D3" s="30" t="s">
        <v>29</v>
      </c>
    </row>
    <row r="4" spans="1:6" x14ac:dyDescent="0.2">
      <c r="A4" s="30" t="s">
        <v>30</v>
      </c>
      <c r="B4" s="31">
        <v>260</v>
      </c>
      <c r="C4" s="31">
        <v>220</v>
      </c>
      <c r="D4" s="31">
        <v>290</v>
      </c>
    </row>
    <row r="5" spans="1:6" x14ac:dyDescent="0.2">
      <c r="A5" s="30" t="s">
        <v>31</v>
      </c>
      <c r="B5" s="31">
        <v>230</v>
      </c>
      <c r="C5" s="31">
        <v>240</v>
      </c>
      <c r="D5" s="31">
        <v>310</v>
      </c>
    </row>
    <row r="7" spans="1:6" ht="16" thickBot="1" x14ac:dyDescent="0.25">
      <c r="A7" s="32"/>
      <c r="B7" s="11" t="s">
        <v>27</v>
      </c>
      <c r="C7" s="11" t="s">
        <v>28</v>
      </c>
      <c r="D7" s="11" t="s">
        <v>32</v>
      </c>
      <c r="E7" s="12" t="s">
        <v>6</v>
      </c>
      <c r="F7" s="12" t="s">
        <v>5</v>
      </c>
    </row>
    <row r="8" spans="1:6" x14ac:dyDescent="0.2">
      <c r="A8" s="12" t="s">
        <v>30</v>
      </c>
      <c r="B8" s="30">
        <v>0</v>
      </c>
      <c r="C8" s="30">
        <v>15</v>
      </c>
      <c r="D8" s="30">
        <v>5</v>
      </c>
      <c r="E8" s="30">
        <f>SUM(B8:D8)</f>
        <v>20</v>
      </c>
      <c r="F8" s="12">
        <v>20</v>
      </c>
    </row>
    <row r="9" spans="1:6" ht="16" thickBot="1" x14ac:dyDescent="0.25">
      <c r="A9" s="11" t="s">
        <v>31</v>
      </c>
      <c r="B9" s="32">
        <v>10</v>
      </c>
      <c r="C9" s="32">
        <v>0</v>
      </c>
      <c r="D9" s="32">
        <v>5</v>
      </c>
      <c r="E9" s="30">
        <f>SUM(B9:D9)</f>
        <v>15</v>
      </c>
      <c r="F9" s="12">
        <v>20</v>
      </c>
    </row>
    <row r="10" spans="1:6" x14ac:dyDescent="0.2">
      <c r="A10" s="12" t="s">
        <v>33</v>
      </c>
      <c r="B10" s="30">
        <f>SUM(B8:B9)</f>
        <v>10</v>
      </c>
      <c r="C10" s="30">
        <f t="shared" ref="C10:D10" si="0">SUM(C8:C9)</f>
        <v>15</v>
      </c>
      <c r="D10" s="30">
        <f t="shared" si="0"/>
        <v>10</v>
      </c>
    </row>
    <row r="11" spans="1:6" x14ac:dyDescent="0.2">
      <c r="A11" s="12" t="s">
        <v>34</v>
      </c>
      <c r="B11" s="30">
        <v>10</v>
      </c>
      <c r="C11" s="30">
        <v>15</v>
      </c>
      <c r="D11" s="30">
        <v>10</v>
      </c>
    </row>
    <row r="13" spans="1:6" x14ac:dyDescent="0.2">
      <c r="A13" s="12" t="s">
        <v>35</v>
      </c>
      <c r="B13" s="34">
        <f>SUMPRODUCT(B4:D5,B8:D9)</f>
        <v>8600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78DAE-A418-DE47-BDC3-ECCCCCC5193B}">
  <dimension ref="A1:H19"/>
  <sheetViews>
    <sheetView showGridLines="0" workbookViewId="0">
      <selection activeCell="H33" sqref="H33"/>
    </sheetView>
  </sheetViews>
  <sheetFormatPr baseColWidth="10" defaultRowHeight="15" outlineLevelRow="1" x14ac:dyDescent="0.2"/>
  <cols>
    <col min="1" max="1" width="2.33203125" customWidth="1"/>
    <col min="2" max="2" width="5.33203125" bestFit="1" customWidth="1"/>
    <col min="3" max="3" width="10.1640625" bestFit="1" customWidth="1"/>
    <col min="4" max="4" width="5.5" bestFit="1" customWidth="1"/>
    <col min="5" max="5" width="8" bestFit="1" customWidth="1"/>
    <col min="6" max="6" width="9.83203125" bestFit="1" customWidth="1"/>
    <col min="7" max="7" width="8.6640625" bestFit="1" customWidth="1"/>
    <col min="8" max="8" width="12.1640625" bestFit="1" customWidth="1"/>
  </cols>
  <sheetData>
    <row r="1" spans="1:8" x14ac:dyDescent="0.2">
      <c r="A1" s="33" t="s">
        <v>43</v>
      </c>
    </row>
    <row r="2" spans="1:8" x14ac:dyDescent="0.2">
      <c r="A2" s="33" t="s">
        <v>112</v>
      </c>
    </row>
    <row r="3" spans="1:8" x14ac:dyDescent="0.2">
      <c r="A3" s="33" t="s">
        <v>113</v>
      </c>
    </row>
    <row r="6" spans="1:8" ht="16" thickBot="1" x14ac:dyDescent="0.25">
      <c r="A6" t="s">
        <v>46</v>
      </c>
    </row>
    <row r="7" spans="1:8" x14ac:dyDescent="0.2">
      <c r="B7" s="25"/>
      <c r="C7" s="25"/>
      <c r="D7" s="25" t="s">
        <v>49</v>
      </c>
      <c r="E7" s="25" t="s">
        <v>51</v>
      </c>
      <c r="F7" s="25" t="s">
        <v>53</v>
      </c>
      <c r="G7" s="25" t="s">
        <v>55</v>
      </c>
      <c r="H7" s="25" t="s">
        <v>55</v>
      </c>
    </row>
    <row r="8" spans="1:8" ht="16" thickBot="1" x14ac:dyDescent="0.25">
      <c r="B8" s="26" t="s">
        <v>47</v>
      </c>
      <c r="C8" s="26" t="s">
        <v>48</v>
      </c>
      <c r="D8" s="26" t="s">
        <v>50</v>
      </c>
      <c r="E8" s="26" t="s">
        <v>52</v>
      </c>
      <c r="F8" s="26" t="s">
        <v>54</v>
      </c>
      <c r="G8" s="26" t="s">
        <v>56</v>
      </c>
      <c r="H8" s="26" t="s">
        <v>57</v>
      </c>
    </row>
    <row r="9" spans="1:8" x14ac:dyDescent="0.2">
      <c r="B9" s="28" t="s">
        <v>120</v>
      </c>
      <c r="C9" s="27"/>
      <c r="D9" s="27"/>
      <c r="E9" s="27"/>
      <c r="F9" s="27"/>
      <c r="G9" s="27"/>
      <c r="H9" s="27"/>
    </row>
    <row r="10" spans="1:8" outlineLevel="1" x14ac:dyDescent="0.2">
      <c r="B10" s="23" t="s">
        <v>114</v>
      </c>
      <c r="C10" s="23" t="s">
        <v>0</v>
      </c>
      <c r="D10" s="23">
        <v>0</v>
      </c>
      <c r="E10" s="23">
        <v>2</v>
      </c>
      <c r="F10" s="23">
        <v>5</v>
      </c>
      <c r="G10" s="23">
        <v>1E+30</v>
      </c>
      <c r="H10" s="23">
        <v>2</v>
      </c>
    </row>
    <row r="11" spans="1:8" outlineLevel="1" x14ac:dyDescent="0.2">
      <c r="B11" s="23" t="s">
        <v>115</v>
      </c>
      <c r="C11" s="23" t="s">
        <v>1</v>
      </c>
      <c r="D11" s="23">
        <v>2</v>
      </c>
      <c r="E11" s="23">
        <v>0</v>
      </c>
      <c r="F11" s="23">
        <v>3</v>
      </c>
      <c r="G11" s="23">
        <v>1</v>
      </c>
      <c r="H11" s="23">
        <v>3</v>
      </c>
    </row>
    <row r="12" spans="1:8" ht="16" outlineLevel="1" thickBot="1" x14ac:dyDescent="0.25">
      <c r="B12" s="24" t="s">
        <v>116</v>
      </c>
      <c r="C12" s="24" t="s">
        <v>2</v>
      </c>
      <c r="D12" s="24">
        <v>0</v>
      </c>
      <c r="E12" s="24">
        <v>1</v>
      </c>
      <c r="F12" s="24">
        <v>4</v>
      </c>
      <c r="G12" s="24">
        <v>1E+30</v>
      </c>
      <c r="H12" s="24">
        <v>1</v>
      </c>
    </row>
    <row r="15" spans="1:8" ht="16" thickBot="1" x14ac:dyDescent="0.25">
      <c r="A15" t="s">
        <v>58</v>
      </c>
    </row>
    <row r="16" spans="1:8" x14ac:dyDescent="0.2">
      <c r="B16" s="25"/>
      <c r="C16" s="25"/>
      <c r="D16" s="25" t="s">
        <v>49</v>
      </c>
      <c r="E16" s="25" t="s">
        <v>59</v>
      </c>
      <c r="F16" s="25" t="s">
        <v>61</v>
      </c>
      <c r="G16" s="25" t="s">
        <v>55</v>
      </c>
      <c r="H16" s="25" t="s">
        <v>55</v>
      </c>
    </row>
    <row r="17" spans="2:8" ht="16" thickBot="1" x14ac:dyDescent="0.25">
      <c r="B17" s="26" t="s">
        <v>47</v>
      </c>
      <c r="C17" s="26" t="s">
        <v>48</v>
      </c>
      <c r="D17" s="26" t="s">
        <v>50</v>
      </c>
      <c r="E17" s="26" t="s">
        <v>60</v>
      </c>
      <c r="F17" s="26" t="s">
        <v>62</v>
      </c>
      <c r="G17" s="26" t="s">
        <v>56</v>
      </c>
      <c r="H17" s="26" t="s">
        <v>57</v>
      </c>
    </row>
    <row r="18" spans="2:8" x14ac:dyDescent="0.2">
      <c r="B18" s="23" t="s">
        <v>117</v>
      </c>
      <c r="C18" s="23" t="s">
        <v>118</v>
      </c>
      <c r="D18" s="23">
        <v>6</v>
      </c>
      <c r="E18" s="23">
        <v>0</v>
      </c>
      <c r="F18" s="23">
        <v>1</v>
      </c>
      <c r="G18" s="23">
        <v>5.0000000000000009</v>
      </c>
      <c r="H18" s="23">
        <v>1E+30</v>
      </c>
    </row>
    <row r="19" spans="2:8" ht="16" thickBot="1" x14ac:dyDescent="0.25">
      <c r="B19" s="24" t="s">
        <v>119</v>
      </c>
      <c r="C19" s="24" t="s">
        <v>111</v>
      </c>
      <c r="D19" s="24">
        <v>2</v>
      </c>
      <c r="E19" s="24">
        <v>3</v>
      </c>
      <c r="F19" s="24">
        <v>2</v>
      </c>
      <c r="G19" s="24">
        <v>1E+30</v>
      </c>
      <c r="H19" s="24">
        <v>1.6666666666666667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36796-A8CB-4A0B-806D-8C7210282180}">
  <dimension ref="A2:E5"/>
  <sheetViews>
    <sheetView zoomScale="138" workbookViewId="0">
      <selection activeCell="L29" sqref="L29"/>
    </sheetView>
  </sheetViews>
  <sheetFormatPr baseColWidth="10" defaultColWidth="8.83203125" defaultRowHeight="15" x14ac:dyDescent="0.2"/>
  <cols>
    <col min="1" max="16384" width="8.83203125" style="30"/>
  </cols>
  <sheetData>
    <row r="2" spans="1:5" x14ac:dyDescent="0.2">
      <c r="B2" s="30" t="s">
        <v>0</v>
      </c>
      <c r="C2" s="30" t="s">
        <v>1</v>
      </c>
      <c r="D2" s="30" t="s">
        <v>2</v>
      </c>
      <c r="E2" s="30" t="s">
        <v>111</v>
      </c>
    </row>
    <row r="3" spans="1:5" x14ac:dyDescent="0.2">
      <c r="B3" s="35">
        <v>0</v>
      </c>
      <c r="C3" s="35">
        <v>1</v>
      </c>
      <c r="D3" s="35">
        <v>0</v>
      </c>
      <c r="E3" s="30">
        <f>SUM(B3:D3)</f>
        <v>1</v>
      </c>
    </row>
    <row r="4" spans="1:5" x14ac:dyDescent="0.2">
      <c r="B4" s="30">
        <v>5</v>
      </c>
      <c r="C4" s="30">
        <v>3</v>
      </c>
      <c r="D4" s="30">
        <v>4</v>
      </c>
    </row>
    <row r="5" spans="1:5" x14ac:dyDescent="0.2">
      <c r="A5" s="30" t="s">
        <v>53</v>
      </c>
      <c r="B5" s="30">
        <f>SUMPRODUCT(B3:D3,B4:D4)</f>
        <v>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19F09-A327-CC43-9663-8FD4C0F43C38}">
  <dimension ref="A1:H16"/>
  <sheetViews>
    <sheetView showGridLines="0" workbookViewId="0">
      <selection activeCell="E24" sqref="E24"/>
    </sheetView>
  </sheetViews>
  <sheetFormatPr baseColWidth="10" defaultRowHeight="15" x14ac:dyDescent="0.2"/>
  <cols>
    <col min="1" max="1" width="2.33203125" customWidth="1"/>
    <col min="2" max="2" width="5.33203125" bestFit="1" customWidth="1"/>
    <col min="3" max="3" width="24.1640625" bestFit="1" customWidth="1"/>
    <col min="4" max="4" width="5.5" bestFit="1" customWidth="1"/>
    <col min="5" max="5" width="8" bestFit="1" customWidth="1"/>
    <col min="6" max="6" width="9.83203125" bestFit="1" customWidth="1"/>
    <col min="7" max="8" width="8.6640625" bestFit="1" customWidth="1"/>
  </cols>
  <sheetData>
    <row r="1" spans="1:8" x14ac:dyDescent="0.2">
      <c r="A1" s="33" t="s">
        <v>43</v>
      </c>
    </row>
    <row r="2" spans="1:8" x14ac:dyDescent="0.2">
      <c r="A2" s="33" t="s">
        <v>121</v>
      </c>
    </row>
    <row r="3" spans="1:8" x14ac:dyDescent="0.2">
      <c r="A3" s="33" t="s">
        <v>122</v>
      </c>
    </row>
    <row r="6" spans="1:8" ht="16" thickBot="1" x14ac:dyDescent="0.25">
      <c r="A6" t="s">
        <v>46</v>
      </c>
    </row>
    <row r="7" spans="1:8" x14ac:dyDescent="0.2">
      <c r="B7" s="25"/>
      <c r="C7" s="25"/>
      <c r="D7" s="25" t="s">
        <v>49</v>
      </c>
      <c r="E7" s="25" t="s">
        <v>51</v>
      </c>
      <c r="F7" s="25" t="s">
        <v>53</v>
      </c>
      <c r="G7" s="25" t="s">
        <v>55</v>
      </c>
      <c r="H7" s="25" t="s">
        <v>55</v>
      </c>
    </row>
    <row r="8" spans="1:8" ht="16" thickBot="1" x14ac:dyDescent="0.25">
      <c r="B8" s="26" t="s">
        <v>47</v>
      </c>
      <c r="C8" s="26" t="s">
        <v>48</v>
      </c>
      <c r="D8" s="26" t="s">
        <v>50</v>
      </c>
      <c r="E8" s="26" t="s">
        <v>52</v>
      </c>
      <c r="F8" s="26" t="s">
        <v>54</v>
      </c>
      <c r="G8" s="26" t="s">
        <v>56</v>
      </c>
      <c r="H8" s="26" t="s">
        <v>57</v>
      </c>
    </row>
    <row r="9" spans="1:8" x14ac:dyDescent="0.2">
      <c r="B9" s="23" t="s">
        <v>123</v>
      </c>
      <c r="C9" s="23" t="s">
        <v>124</v>
      </c>
      <c r="D9" s="23">
        <v>130</v>
      </c>
      <c r="E9" s="23">
        <v>0</v>
      </c>
      <c r="F9" s="23">
        <v>250</v>
      </c>
      <c r="G9" s="23">
        <v>1E+30</v>
      </c>
      <c r="H9" s="23">
        <v>150</v>
      </c>
    </row>
    <row r="10" spans="1:8" ht="16" thickBot="1" x14ac:dyDescent="0.25">
      <c r="B10" s="24" t="s">
        <v>125</v>
      </c>
      <c r="C10" s="24" t="s">
        <v>126</v>
      </c>
      <c r="D10" s="24">
        <v>0</v>
      </c>
      <c r="E10" s="24">
        <v>-225</v>
      </c>
      <c r="F10" s="24">
        <v>150</v>
      </c>
      <c r="G10" s="24">
        <v>225</v>
      </c>
      <c r="H10" s="24">
        <v>1E+30</v>
      </c>
    </row>
    <row r="12" spans="1:8" ht="16" thickBot="1" x14ac:dyDescent="0.25">
      <c r="A12" t="s">
        <v>58</v>
      </c>
    </row>
    <row r="13" spans="1:8" x14ac:dyDescent="0.2">
      <c r="B13" s="25"/>
      <c r="C13" s="25"/>
      <c r="D13" s="25" t="s">
        <v>49</v>
      </c>
      <c r="E13" s="25" t="s">
        <v>59</v>
      </c>
      <c r="F13" s="25" t="s">
        <v>61</v>
      </c>
      <c r="G13" s="25" t="s">
        <v>55</v>
      </c>
      <c r="H13" s="25" t="s">
        <v>55</v>
      </c>
    </row>
    <row r="14" spans="1:8" ht="16" thickBot="1" x14ac:dyDescent="0.25">
      <c r="B14" s="26" t="s">
        <v>47</v>
      </c>
      <c r="C14" s="26" t="s">
        <v>48</v>
      </c>
      <c r="D14" s="26" t="s">
        <v>50</v>
      </c>
      <c r="E14" s="26" t="s">
        <v>60</v>
      </c>
      <c r="F14" s="26" t="s">
        <v>62</v>
      </c>
      <c r="G14" s="26" t="s">
        <v>56</v>
      </c>
      <c r="H14" s="26" t="s">
        <v>57</v>
      </c>
    </row>
    <row r="15" spans="1:8" x14ac:dyDescent="0.2">
      <c r="B15" s="23" t="s">
        <v>105</v>
      </c>
      <c r="C15" s="23" t="s">
        <v>127</v>
      </c>
      <c r="D15" s="23">
        <v>260</v>
      </c>
      <c r="E15" s="23">
        <v>125</v>
      </c>
      <c r="F15" s="23">
        <v>260</v>
      </c>
      <c r="G15" s="23">
        <v>20</v>
      </c>
      <c r="H15" s="23">
        <v>260</v>
      </c>
    </row>
    <row r="16" spans="1:8" ht="16" thickBot="1" x14ac:dyDescent="0.25">
      <c r="B16" s="24" t="s">
        <v>107</v>
      </c>
      <c r="C16" s="24" t="s">
        <v>128</v>
      </c>
      <c r="D16" s="24">
        <v>130</v>
      </c>
      <c r="E16" s="24">
        <v>0</v>
      </c>
      <c r="F16" s="24">
        <v>140</v>
      </c>
      <c r="G16" s="24">
        <v>1E+30</v>
      </c>
      <c r="H16" s="24">
        <v>10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E945A-B694-4D78-B3CA-5CBDEFCEA451}">
  <sheetPr codeName="Sheet1"/>
  <dimension ref="A1:E9"/>
  <sheetViews>
    <sheetView topLeftCell="B1" zoomScale="186" workbookViewId="0">
      <selection activeCell="D27" sqref="D27"/>
    </sheetView>
  </sheetViews>
  <sheetFormatPr baseColWidth="10" defaultColWidth="9.1640625" defaultRowHeight="13" x14ac:dyDescent="0.15"/>
  <cols>
    <col min="1" max="1" width="19.33203125" style="13" customWidth="1"/>
    <col min="2" max="2" width="10.33203125" style="13" bestFit="1" customWidth="1"/>
    <col min="3" max="3" width="10.1640625" style="13" bestFit="1" customWidth="1"/>
    <col min="4" max="4" width="5.33203125" style="13" bestFit="1" customWidth="1"/>
    <col min="5" max="5" width="10" style="13" bestFit="1" customWidth="1"/>
    <col min="6" max="16384" width="9.1640625" style="13"/>
  </cols>
  <sheetData>
    <row r="1" spans="1:5" x14ac:dyDescent="0.15">
      <c r="B1" s="14"/>
      <c r="C1" s="14"/>
    </row>
    <row r="3" spans="1:5" ht="14" thickBot="1" x14ac:dyDescent="0.2">
      <c r="B3" s="15" t="s">
        <v>36</v>
      </c>
      <c r="C3" s="15" t="s">
        <v>37</v>
      </c>
      <c r="D3" s="16"/>
      <c r="E3" s="16" t="s">
        <v>16</v>
      </c>
    </row>
    <row r="4" spans="1:5" ht="15" thickTop="1" thickBot="1" x14ac:dyDescent="0.2">
      <c r="A4" s="17" t="s">
        <v>38</v>
      </c>
      <c r="B4" s="18">
        <v>130</v>
      </c>
      <c r="C4" s="18">
        <v>0</v>
      </c>
      <c r="E4" s="19">
        <f>SUMPRODUCT(B4:C4,B5:C5)</f>
        <v>32500</v>
      </c>
    </row>
    <row r="5" spans="1:5" ht="14" thickTop="1" x14ac:dyDescent="0.15">
      <c r="A5" s="17" t="s">
        <v>39</v>
      </c>
      <c r="B5" s="20">
        <v>250</v>
      </c>
      <c r="C5" s="20">
        <v>150</v>
      </c>
    </row>
    <row r="6" spans="1:5" x14ac:dyDescent="0.15">
      <c r="A6" s="16"/>
      <c r="B6" s="21"/>
      <c r="C6" s="21"/>
    </row>
    <row r="7" spans="1:5" x14ac:dyDescent="0.15">
      <c r="A7" s="17" t="s">
        <v>40</v>
      </c>
      <c r="B7" s="21"/>
      <c r="C7" s="21"/>
      <c r="D7" s="15" t="s">
        <v>6</v>
      </c>
      <c r="E7" s="15" t="s">
        <v>5</v>
      </c>
    </row>
    <row r="8" spans="1:5" x14ac:dyDescent="0.15">
      <c r="A8" s="17" t="s">
        <v>41</v>
      </c>
      <c r="B8" s="15">
        <v>2</v>
      </c>
      <c r="C8" s="15">
        <v>2</v>
      </c>
      <c r="D8" s="22">
        <f>SUMPRODUCT($B$4:$C$4,B8:C8)</f>
        <v>260</v>
      </c>
      <c r="E8" s="15">
        <v>260</v>
      </c>
    </row>
    <row r="9" spans="1:5" x14ac:dyDescent="0.15">
      <c r="A9" s="17" t="s">
        <v>42</v>
      </c>
      <c r="B9" s="15">
        <v>1</v>
      </c>
      <c r="C9" s="15">
        <v>2</v>
      </c>
      <c r="D9" s="22">
        <f>SUMPRODUCT($B$4:$C$4,B9:C9)</f>
        <v>130</v>
      </c>
      <c r="E9" s="15">
        <v>140</v>
      </c>
    </row>
  </sheetData>
  <printOptions gridLines="1" gridLinesSet="0"/>
  <pageMargins left="0.75" right="0.75" top="1" bottom="1" header="0.5" footer="0.5"/>
  <pageSetup orientation="portrait" horizontalDpi="300" verticalDpi="300" r:id="rId1"/>
  <headerFooter alignWithMargins="0">
    <oddHeader>&amp;A</oddHeader>
    <oddFooter>Page &amp;P</oddFooter>
  </headerFooter>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4084F-A471-4108-9013-02B542AEF49F}">
  <dimension ref="D32:K38"/>
  <sheetViews>
    <sheetView tabSelected="1" workbookViewId="0">
      <selection activeCell="U34" sqref="U34"/>
    </sheetView>
  </sheetViews>
  <sheetFormatPr baseColWidth="10" defaultColWidth="8.83203125" defaultRowHeight="15" x14ac:dyDescent="0.2"/>
  <cols>
    <col min="6" max="6" width="9.33203125" bestFit="1" customWidth="1"/>
    <col min="9" max="9" width="13.83203125" bestFit="1" customWidth="1"/>
  </cols>
  <sheetData>
    <row r="32" spans="4:9" x14ac:dyDescent="0.2">
      <c r="D32" s="38" t="s">
        <v>0</v>
      </c>
      <c r="E32" s="38" t="s">
        <v>1</v>
      </c>
      <c r="F32" s="39" t="s">
        <v>130</v>
      </c>
      <c r="G32" s="39" t="s">
        <v>131</v>
      </c>
      <c r="H32" s="40" t="s">
        <v>129</v>
      </c>
      <c r="I32" s="41" t="s">
        <v>135</v>
      </c>
    </row>
    <row r="33" spans="4:11" x14ac:dyDescent="0.2">
      <c r="D33" s="38">
        <v>0</v>
      </c>
      <c r="E33" s="38">
        <v>0</v>
      </c>
      <c r="F33" s="39">
        <f>20-D33-E33</f>
        <v>20</v>
      </c>
      <c r="G33" s="39">
        <f>15+3*D33+5*E33</f>
        <v>15</v>
      </c>
      <c r="H33" s="40" t="s">
        <v>132</v>
      </c>
      <c r="I33" s="41">
        <f>4*D33+2*E33</f>
        <v>0</v>
      </c>
    </row>
    <row r="34" spans="4:11" x14ac:dyDescent="0.2">
      <c r="D34" s="38">
        <v>0</v>
      </c>
      <c r="E34" s="38">
        <v>3</v>
      </c>
      <c r="F34" s="39">
        <f>20-2*D34-4*E34</f>
        <v>8</v>
      </c>
      <c r="G34" s="39">
        <f>15-3*D34-5*E34</f>
        <v>0</v>
      </c>
      <c r="H34" s="40" t="s">
        <v>132</v>
      </c>
      <c r="I34" s="41">
        <f t="shared" ref="I34:I38" si="0">4*D34+2*E34</f>
        <v>6</v>
      </c>
    </row>
    <row r="35" spans="4:11" x14ac:dyDescent="0.2">
      <c r="D35" s="38">
        <v>0</v>
      </c>
      <c r="E35" s="38">
        <v>5</v>
      </c>
      <c r="F35" s="39">
        <f>20-2*D35-4*E35</f>
        <v>0</v>
      </c>
      <c r="G35" s="39">
        <f>15-3*D35-5*E35</f>
        <v>-10</v>
      </c>
      <c r="H35" s="40" t="s">
        <v>133</v>
      </c>
      <c r="I35" s="41">
        <f t="shared" si="0"/>
        <v>10</v>
      </c>
    </row>
    <row r="36" spans="4:11" x14ac:dyDescent="0.2">
      <c r="D36" s="38">
        <v>5</v>
      </c>
      <c r="E36" s="38">
        <v>0</v>
      </c>
      <c r="F36" s="39">
        <f>20-2*D36-4*E36</f>
        <v>10</v>
      </c>
      <c r="G36" s="39">
        <f>15-3*D36-5*E36</f>
        <v>0</v>
      </c>
      <c r="H36" s="40" t="s">
        <v>132</v>
      </c>
      <c r="I36" s="41">
        <f t="shared" si="0"/>
        <v>20</v>
      </c>
      <c r="J36" s="42" t="s">
        <v>136</v>
      </c>
      <c r="K36" s="42" t="s">
        <v>137</v>
      </c>
    </row>
    <row r="37" spans="4:11" x14ac:dyDescent="0.2">
      <c r="D37" s="38">
        <v>10</v>
      </c>
      <c r="E37" s="38">
        <v>0</v>
      </c>
      <c r="F37" s="39">
        <f>20-2*D37-4*E37</f>
        <v>0</v>
      </c>
      <c r="G37" s="39">
        <f>15-3*D37-5*E37</f>
        <v>-15</v>
      </c>
      <c r="H37" s="40" t="s">
        <v>133</v>
      </c>
      <c r="I37" s="41">
        <f t="shared" si="0"/>
        <v>40</v>
      </c>
    </row>
    <row r="38" spans="4:11" x14ac:dyDescent="0.2">
      <c r="D38" s="38">
        <v>-20</v>
      </c>
      <c r="E38" s="38">
        <v>15</v>
      </c>
      <c r="F38" s="39">
        <f>20-2*D38-4*E38</f>
        <v>0</v>
      </c>
      <c r="G38" s="39">
        <f>15-3*D38-5*E38</f>
        <v>0</v>
      </c>
      <c r="H38" s="40" t="s">
        <v>134</v>
      </c>
      <c r="I38" s="41">
        <f t="shared" si="0"/>
        <v>-50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Sensitivity Report 1</vt:lpstr>
      <vt:lpstr>#1</vt:lpstr>
      <vt:lpstr>Sensitivity Report 2</vt:lpstr>
      <vt:lpstr>#2</vt:lpstr>
      <vt:lpstr>Sensitivity Report 3</vt:lpstr>
      <vt:lpstr>#3</vt:lpstr>
      <vt:lpstr>Sensitivity Report 4</vt:lpstr>
      <vt:lpstr>#4</vt:lpstr>
      <vt:lpstr>#5</vt:lpstr>
    </vt:vector>
  </TitlesOfParts>
  <Company>Quinnipiac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Ceccucci, Wendy A. Prof.</dc:creator>
  <cp:lastModifiedBy>Khanna, Dhruva Navin</cp:lastModifiedBy>
  <dcterms:created xsi:type="dcterms:W3CDTF">2025-09-25T12:39:33Z</dcterms:created>
  <dcterms:modified xsi:type="dcterms:W3CDTF">2025-10-07T18:41:51Z</dcterms:modified>
</cp:coreProperties>
</file>