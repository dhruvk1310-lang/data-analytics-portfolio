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dhruv/Desktop/"/>
    </mc:Choice>
  </mc:AlternateContent>
  <xr:revisionPtr revIDLastSave="0" documentId="13_ncr:1_{81FA5942-DD77-594B-B851-B9C71E403D0B}" xr6:coauthVersionLast="47" xr6:coauthVersionMax="47" xr10:uidLastSave="{00000000-0000-0000-0000-000000000000}"/>
  <bookViews>
    <workbookView xWindow="-20" yWindow="660" windowWidth="29400" windowHeight="18460" activeTab="1" xr2:uid="{00000000-000D-0000-FFFF-FFFF00000000}"/>
  </bookViews>
  <sheets>
    <sheet name="Supply Network Model" sheetId="1" r:id="rId1"/>
    <sheet name="Results Dashboard" sheetId="2" r:id="rId2"/>
    <sheet name="About This Model" sheetId="3" r:id="rId3"/>
  </sheets>
  <definedNames>
    <definedName name="solver_adj" localSheetId="0" hidden="1">'Supply Network Model'!$B$20:$G$22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itr" localSheetId="0" hidden="1">2147483647</definedName>
    <definedName name="solver_lhs1" localSheetId="0" hidden="1">'Supply Network Model'!$B$15:$G$16</definedName>
    <definedName name="solver_lhs2" localSheetId="0" hidden="1">'Supply Network Model'!$B$15:$G$16</definedName>
    <definedName name="solver_lhs3" localSheetId="0" hidden="1">'Supply Network Model'!$B$16:$G$16</definedName>
    <definedName name="solver_lhs4" localSheetId="0" hidden="1">'Supply Network Model'!$H$20:$H$22</definedName>
    <definedName name="solver_lin" localSheetId="0" hidden="1">1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4</definedName>
    <definedName name="solver_opt" localSheetId="0" hidden="1">'Supply Network Model'!$H$25</definedName>
    <definedName name="solver_pre" localSheetId="0" hidden="1">0.000001</definedName>
    <definedName name="solver_rbv" localSheetId="0" hidden="1">1</definedName>
    <definedName name="solver_rel1" localSheetId="0" hidden="1">4</definedName>
    <definedName name="solver_rel2" localSheetId="0" hidden="1">3</definedName>
    <definedName name="solver_rel3" localSheetId="0" hidden="1">2</definedName>
    <definedName name="solver_rel4" localSheetId="0" hidden="1">1</definedName>
    <definedName name="solver_rhs1" localSheetId="0" hidden="1">"integer"</definedName>
    <definedName name="solver_rhs2" localSheetId="0" hidden="1">0</definedName>
    <definedName name="solver_rhs3" localSheetId="0" hidden="1">'Supply Network Model'!$B$15:$G$15</definedName>
    <definedName name="solver_rhs4" localSheetId="0" hidden="1">'Supply Network Model'!$I$20:$I$22</definedName>
    <definedName name="solver_rlx" localSheetId="0" hidden="1">1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" l="1"/>
  <c r="C22" i="2"/>
  <c r="B22" i="2"/>
  <c r="D22" i="2" s="1"/>
  <c r="C21" i="2"/>
  <c r="B21" i="2"/>
  <c r="D21" i="2" s="1"/>
  <c r="C20" i="2"/>
  <c r="B20" i="2"/>
  <c r="D20" i="2" s="1"/>
  <c r="C19" i="2"/>
  <c r="B19" i="2"/>
  <c r="D19" i="2" s="1"/>
  <c r="C18" i="2"/>
  <c r="B18" i="2"/>
  <c r="D18" i="2" s="1"/>
  <c r="C17" i="2"/>
  <c r="B17" i="2"/>
  <c r="D17" i="2" s="1"/>
  <c r="I12" i="2"/>
  <c r="G12" i="2"/>
  <c r="F12" i="2"/>
  <c r="E12" i="2"/>
  <c r="D12" i="2"/>
  <c r="C12" i="2"/>
  <c r="B12" i="2"/>
  <c r="I11" i="2"/>
  <c r="G11" i="2"/>
  <c r="F11" i="2"/>
  <c r="E11" i="2"/>
  <c r="D11" i="2"/>
  <c r="C11" i="2"/>
  <c r="B11" i="2"/>
  <c r="I10" i="2"/>
  <c r="I13" i="2" s="1"/>
  <c r="G10" i="2"/>
  <c r="G13" i="2" s="1"/>
  <c r="F10" i="2"/>
  <c r="F13" i="2" s="1"/>
  <c r="E10" i="2"/>
  <c r="D10" i="2"/>
  <c r="C10" i="2"/>
  <c r="C13" i="2" s="1"/>
  <c r="B10" i="2"/>
  <c r="H25" i="1"/>
  <c r="C6" i="2" s="1"/>
  <c r="H22" i="1"/>
  <c r="H21" i="1"/>
  <c r="H20" i="1"/>
  <c r="G16" i="1"/>
  <c r="F16" i="1"/>
  <c r="E16" i="1"/>
  <c r="D16" i="1"/>
  <c r="C16" i="1"/>
  <c r="B16" i="1"/>
  <c r="I11" i="1"/>
  <c r="I10" i="1"/>
  <c r="D13" i="2" l="1"/>
  <c r="E13" i="2"/>
  <c r="F6" i="2"/>
  <c r="H12" i="2"/>
  <c r="H11" i="2"/>
  <c r="H10" i="2"/>
  <c r="E19" i="2"/>
  <c r="E20" i="2"/>
  <c r="E17" i="2"/>
  <c r="E21" i="2"/>
  <c r="E6" i="2"/>
  <c r="D6" i="2"/>
  <c r="E18" i="2"/>
  <c r="E22" i="2"/>
  <c r="H13" i="2"/>
  <c r="B13" i="2"/>
</calcChain>
</file>

<file path=xl/sharedStrings.xml><?xml version="1.0" encoding="utf-8"?>
<sst xmlns="http://schemas.openxmlformats.org/spreadsheetml/2006/main" count="122" uniqueCount="96">
  <si>
    <t>INDIAN LUXURY RETAIL — SUPPLY NETWORK OPTIMISATION</t>
  </si>
  <si>
    <t>Minimise total distribution cost across 3 warehouses → 6 boutiques  |  Solved with Excel Solver (Linear Programming)</t>
  </si>
  <si>
    <t>A.  SHIPPING COST MATRIX  (₹ per unit)</t>
  </si>
  <si>
    <t>Warehouse \ Boutique</t>
  </si>
  <si>
    <t>Delhi CP</t>
  </si>
  <si>
    <t>Jaipur</t>
  </si>
  <si>
    <t>Hyderabad</t>
  </si>
  <si>
    <t>Chennai</t>
  </si>
  <si>
    <t>Kolkata</t>
  </si>
  <si>
    <t>Pune</t>
  </si>
  <si>
    <t>Supply
(units)</t>
  </si>
  <si>
    <t>Used</t>
  </si>
  <si>
    <t>Mumbai WH</t>
  </si>
  <si>
    <t>Delhi WH</t>
  </si>
  <si>
    <t>Bangalore WH</t>
  </si>
  <si>
    <t>B.  BOUTIQUE DEMAND</t>
  </si>
  <si>
    <t>Boutique</t>
  </si>
  <si>
    <t>Demand (units)</t>
  </si>
  <si>
    <t>Shipped (units)</t>
  </si>
  <si>
    <t>C.  DECISION VARIABLES  —  Units shipped  (Solver changes these)</t>
  </si>
  <si>
    <t>Total
Shipped</t>
  </si>
  <si>
    <t>Supply
Avail.</t>
  </si>
  <si>
    <t>D.  OBJECTIVE FUNCTION  —  Total Shipping Cost (MINIMISE)</t>
  </si>
  <si>
    <t>Total Distribution Cost  =  SUMPRODUCT(cost matrix × units shipped)</t>
  </si>
  <si>
    <t>E.  CONSTRAINTS</t>
  </si>
  <si>
    <t>Constraint Type</t>
  </si>
  <si>
    <t>Description</t>
  </si>
  <si>
    <t>Solver Reference</t>
  </si>
  <si>
    <t>Supply constraint (each WH)</t>
  </si>
  <si>
    <t>Units shipped ≤ Warehouse supply capacity</t>
  </si>
  <si>
    <t>H20:H22 ≤ I20:I22</t>
  </si>
  <si>
    <t>Demand constraint (each boutique)</t>
  </si>
  <si>
    <t>Units received = Boutique demand</t>
  </si>
  <si>
    <t>B16:G16 = B15:G15</t>
  </si>
  <si>
    <t>Non-negativity</t>
  </si>
  <si>
    <t>All shipments ≥ 0</t>
  </si>
  <si>
    <t>B20:G22 ≥ 0</t>
  </si>
  <si>
    <t>Integer constraint</t>
  </si>
  <si>
    <t>Units must be whole numbers</t>
  </si>
  <si>
    <t>B20:G22 = integer</t>
  </si>
  <si>
    <t>HOW TO RUN SOLVER:  Data → Solver → Set Objective: H25 (Min) → Variables: B20:G22 → Add constraints above → Solve</t>
  </si>
  <si>
    <t>OPTIMISATION RESULTS — INDIAN LUXURY RETAIL SUPPLY NETWORK</t>
  </si>
  <si>
    <t>Post-Solver optimal allocation | Baseline vs Optimised cost comparison | Route-level savings</t>
  </si>
  <si>
    <t>KEY PERFORMANCE INDICATORS</t>
  </si>
  <si>
    <t>6 / 6</t>
  </si>
  <si>
    <t>OPTIMAL SHIPPING ALLOCATION  (units)</t>
  </si>
  <si>
    <t>Warehouse</t>
  </si>
  <si>
    <t>Cost
(₹)</t>
  </si>
  <si>
    <t>TOTAL</t>
  </si>
  <si>
    <t>ROUTE-LEVEL COST BREAKDOWN</t>
  </si>
  <si>
    <t>Route</t>
  </si>
  <si>
    <t>Units</t>
  </si>
  <si>
    <t>Cost/Unit (₹)</t>
  </si>
  <si>
    <t>Route Cost (₹)</t>
  </si>
  <si>
    <t>% of Total</t>
  </si>
  <si>
    <t>Insight</t>
  </si>
  <si>
    <t>Mumbai WH → Delhi CP</t>
  </si>
  <si>
    <t>Shortest road distance; lowest cost route</t>
  </si>
  <si>
    <t>Mumbai WH → Pune</t>
  </si>
  <si>
    <t>Same WH serves nearby Pune efficiently</t>
  </si>
  <si>
    <t>Delhi WH → Jaipur</t>
  </si>
  <si>
    <t>Delhi WH natural fit for Jaipur proximity</t>
  </si>
  <si>
    <t>Delhi WH → Kolkata</t>
  </si>
  <si>
    <t>Delhi WH cost-optimal for eastern corridor</t>
  </si>
  <si>
    <t>Bangalore WH → Hyderabad</t>
  </si>
  <si>
    <t>Bangalore WH lowest cost to Hyderabad</t>
  </si>
  <si>
    <t>Bangalore WH → Chennai</t>
  </si>
  <si>
    <t>Bangalore WH dominates South India routes</t>
  </si>
  <si>
    <t>SENSITIVITY ANALYSIS NOTES</t>
  </si>
  <si>
    <t>Route / Parameter</t>
  </si>
  <si>
    <t>Sensitivity Finding</t>
  </si>
  <si>
    <t>Chennai route (Bangalore WH)</t>
  </si>
  <si>
    <t>₹310/unit — most cost-sensitive; a 15% cost rise shifts allocation to Delhi WH</t>
  </si>
  <si>
    <t>Mumbai WH supply cap (180 units)</t>
  </si>
  <si>
    <t>Binding constraint — adding 20 units capacity saves est. ₹8,400 additionally</t>
  </si>
  <si>
    <t>Kolkata route</t>
  </si>
  <si>
    <t>Highest cost corridor (₹820/unit via Mumbai); Delhi WH allocation is critical</t>
  </si>
  <si>
    <t>Pune demand spike scenario</t>
  </si>
  <si>
    <t>If Pune demand rises to 100 units, Mumbai WH remains optimal supplier</t>
  </si>
  <si>
    <t>ABOUT THIS MODEL</t>
  </si>
  <si>
    <t>Project Title</t>
  </si>
  <si>
    <t>Indian Luxury Retail — Supply Network Optimisation</t>
  </si>
  <si>
    <t>Built by</t>
  </si>
  <si>
    <t>Dhruv Khanna  |  MS Business Analytics, Quinnipiac University (GPA 4.0)</t>
  </si>
  <si>
    <t>Business Problem</t>
  </si>
  <si>
    <t>A luxury retail brand operates 3 warehouses (Mumbai, Delhi, Bangalore) supplying 6 boutiques across India. The objective is to minimise total distribution cost while ensuring every boutique receives exactly its required stock and no warehouse exceeds its supply capacity.</t>
  </si>
  <si>
    <t>Methodology</t>
  </si>
  <si>
    <t>Linear Programming (Transportation Problem) solved using Microsoft Excel Solver. Decision variables: units shipped on each warehouse-boutique route. Objective: minimise SUMPRODUCT(cost matrix, allocation matrix). Constraints: supply caps, demand fulfilment, non-negativity, integer allocation.</t>
  </si>
  <si>
    <t>Key Result</t>
  </si>
  <si>
    <t>Solver identified optimal allocation reducing total distribution cost by ~18% vs. a naive unoptimised baseline, while fully serving all 6 boutiques within warehouse capacity limits.</t>
  </si>
  <si>
    <t>Tools Used</t>
  </si>
  <si>
    <t>Microsoft Excel — Solver Add-in (Simplex LP), SUMPRODUCT, cross-sheet references</t>
  </si>
  <si>
    <t>Real-world Relevance</t>
  </si>
  <si>
    <t>This model mirrors decisions made daily by supply chain teams in retail and luxury goods: which warehouse should fulfil which store, at what volume, to minimise logistics spend while maintaining stock availability.</t>
  </si>
  <si>
    <t>How to use</t>
  </si>
  <si>
    <t>1. Go to 'Supply Network Model' sheet
2. Open Solver (Data → Solver)
3. Set Objective: H25, Min
4. Variable Cells: B20:G22
5. Add constraints as listed in Section E
6. Solve — results auto-populate the Results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</si>
</sst>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"/>
    <numFmt numFmtId="165" formatCode="0.0%"/>
  </numFmts>
  <fonts count="24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i/>
      <sz val="10"/>
      <color rgb="FF1F4E79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375623"/>
      <name val="Arial"/>
      <family val="2"/>
    </font>
    <font>
      <sz val="11"/>
      <color rgb="FF00008B"/>
      <name val="Arial"/>
      <family val="2"/>
    </font>
    <font>
      <i/>
      <sz val="10"/>
      <color rgb="FF595959"/>
      <name val="Arial"/>
      <family val="2"/>
    </font>
    <font>
      <b/>
      <sz val="13"/>
      <color rgb="FFC00000"/>
      <name val="Arial"/>
      <family val="2"/>
    </font>
    <font>
      <b/>
      <sz val="11"/>
      <color rgb="FF1F4E79"/>
      <name val="Arial"/>
      <family val="2"/>
    </font>
    <font>
      <b/>
      <sz val="10"/>
      <color rgb="FF1F4E79"/>
      <name val="Arial"/>
      <family val="2"/>
    </font>
    <font>
      <b/>
      <sz val="15"/>
      <color rgb="FFFFFFFF"/>
      <name val="Arial"/>
      <family val="2"/>
    </font>
    <font>
      <b/>
      <sz val="12"/>
      <color rgb="FFFFFFFF"/>
      <name val="Arial"/>
      <family val="2"/>
    </font>
    <font>
      <b/>
      <sz val="13"/>
      <color rgb="FF1F4E79"/>
      <name val="Arial"/>
      <family val="2"/>
    </font>
    <font>
      <b/>
      <sz val="13"/>
      <color rgb="FF375623"/>
      <name val="Arial"/>
      <family val="2"/>
    </font>
    <font>
      <b/>
      <sz val="13"/>
      <color rgb="FF000000"/>
      <name val="Arial"/>
      <family val="2"/>
    </font>
    <font>
      <b/>
      <sz val="11"/>
      <color rgb="FFC00000"/>
      <name val="Arial"/>
      <family val="2"/>
    </font>
    <font>
      <b/>
      <sz val="12"/>
      <color rgb="FFC9A84C"/>
      <name val="Arial"/>
      <family val="2"/>
    </font>
    <font>
      <i/>
      <sz val="9"/>
      <color rgb="FF595959"/>
      <name val="Arial"/>
      <family val="2"/>
    </font>
    <font>
      <sz val="10"/>
      <color rgb="FF595959"/>
      <name val="Arial"/>
      <family val="2"/>
    </font>
    <font>
      <b/>
      <sz val="14"/>
      <color rgb="FFFFFFFF"/>
      <name val="Arial"/>
      <family val="2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EEAF1"/>
      </patternFill>
    </fill>
    <fill>
      <patternFill patternType="solid">
        <fgColor rgb="FF2E75B6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164" fontId="6" fillId="5" borderId="1" xfId="0" applyNumberFormat="1" applyFont="1" applyFill="1" applyBorder="1" applyAlignment="1">
      <alignment horizontal="center" vertical="center" wrapText="1"/>
    </xf>
    <xf numFmtId="3" fontId="7" fillId="6" borderId="1" xfId="0" applyNumberFormat="1" applyFont="1" applyFill="1" applyBorder="1" applyAlignment="1">
      <alignment horizontal="center" vertical="center" wrapText="1"/>
    </xf>
    <xf numFmtId="3" fontId="6" fillId="7" borderId="1" xfId="0" applyNumberFormat="1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164" fontId="6" fillId="8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3" fontId="5" fillId="3" borderId="1" xfId="0" applyNumberFormat="1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3" fontId="8" fillId="5" borderId="1" xfId="0" applyNumberFormat="1" applyFont="1" applyFill="1" applyBorder="1" applyAlignment="1">
      <alignment horizontal="center" vertical="center" wrapText="1"/>
    </xf>
    <xf numFmtId="3" fontId="8" fillId="8" borderId="1" xfId="0" applyNumberFormat="1" applyFont="1" applyFill="1" applyBorder="1" applyAlignment="1">
      <alignment horizontal="center" vertical="center" wrapText="1"/>
    </xf>
    <xf numFmtId="164" fontId="10" fillId="5" borderId="4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164" fontId="15" fillId="5" borderId="4" xfId="0" applyNumberFormat="1" applyFont="1" applyFill="1" applyBorder="1" applyAlignment="1">
      <alignment horizontal="center" vertical="center" wrapText="1"/>
    </xf>
    <xf numFmtId="164" fontId="16" fillId="6" borderId="4" xfId="0" applyNumberFormat="1" applyFont="1" applyFill="1" applyBorder="1" applyAlignment="1">
      <alignment horizontal="center" vertical="center" wrapText="1"/>
    </xf>
    <xf numFmtId="164" fontId="15" fillId="3" borderId="4" xfId="0" applyNumberFormat="1" applyFont="1" applyFill="1" applyBorder="1" applyAlignment="1">
      <alignment horizontal="center" vertical="center" wrapText="1"/>
    </xf>
    <xf numFmtId="165" fontId="10" fillId="3" borderId="4" xfId="0" applyNumberFormat="1" applyFont="1" applyFill="1" applyBorder="1" applyAlignment="1">
      <alignment horizontal="center" vertical="center" wrapText="1"/>
    </xf>
    <xf numFmtId="3" fontId="17" fillId="7" borderId="4" xfId="0" applyNumberFormat="1" applyFont="1" applyFill="1" applyBorder="1" applyAlignment="1">
      <alignment horizontal="center" vertical="center" wrapText="1"/>
    </xf>
    <xf numFmtId="0" fontId="16" fillId="6" borderId="4" xfId="0" applyFont="1" applyFill="1" applyBorder="1" applyAlignment="1">
      <alignment horizontal="center" vertical="center" wrapText="1"/>
    </xf>
    <xf numFmtId="164" fontId="18" fillId="5" borderId="1" xfId="0" applyNumberFormat="1" applyFont="1" applyFill="1" applyBorder="1" applyAlignment="1">
      <alignment horizontal="center" vertical="center" wrapText="1"/>
    </xf>
    <xf numFmtId="164" fontId="18" fillId="8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center" vertical="center" wrapText="1"/>
    </xf>
    <xf numFmtId="164" fontId="19" fillId="2" borderId="4" xfId="0" applyNumberFormat="1" applyFont="1" applyFill="1" applyBorder="1" applyAlignment="1">
      <alignment horizontal="center" vertical="center" wrapText="1"/>
    </xf>
    <xf numFmtId="3" fontId="6" fillId="3" borderId="1" xfId="0" applyNumberFormat="1" applyFont="1" applyFill="1" applyBorder="1" applyAlignment="1">
      <alignment horizontal="center" vertical="center" wrapText="1"/>
    </xf>
    <xf numFmtId="164" fontId="6" fillId="3" borderId="1" xfId="0" applyNumberFormat="1" applyFont="1" applyFill="1" applyBorder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center" vertical="center" wrapText="1"/>
    </xf>
    <xf numFmtId="165" fontId="6" fillId="3" borderId="1" xfId="0" applyNumberFormat="1" applyFont="1" applyFill="1" applyBorder="1" applyAlignment="1">
      <alignment horizontal="center" vertical="center" wrapText="1"/>
    </xf>
    <xf numFmtId="3" fontId="6" fillId="8" borderId="1" xfId="0" applyNumberFormat="1" applyFont="1" applyFill="1" applyBorder="1" applyAlignment="1">
      <alignment horizontal="center" vertical="center" wrapText="1"/>
    </xf>
    <xf numFmtId="164" fontId="5" fillId="8" borderId="1" xfId="0" applyNumberFormat="1" applyFont="1" applyFill="1" applyBorder="1" applyAlignment="1">
      <alignment horizontal="center" vertical="center" wrapText="1"/>
    </xf>
    <xf numFmtId="165" fontId="6" fillId="8" borderId="1" xfId="0" applyNumberFormat="1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top" wrapText="1"/>
    </xf>
    <xf numFmtId="0" fontId="23" fillId="3" borderId="1" xfId="0" applyFont="1" applyFill="1" applyBorder="1" applyAlignment="1">
      <alignment horizontal="left" vertical="top" wrapText="1"/>
    </xf>
    <xf numFmtId="0" fontId="12" fillId="8" borderId="1" xfId="0" applyFont="1" applyFill="1" applyBorder="1" applyAlignment="1">
      <alignment horizontal="left" vertical="top" wrapText="1"/>
    </xf>
    <xf numFmtId="0" fontId="23" fillId="8" borderId="1" xfId="0" applyFont="1" applyFill="1" applyBorder="1" applyAlignment="1">
      <alignment horizontal="left" vertical="top" wrapText="1"/>
    </xf>
    <xf numFmtId="0" fontId="3" fillId="4" borderId="0" xfId="0" applyFont="1" applyFill="1" applyAlignment="1">
      <alignment horizontal="left" vertical="center" wrapText="1"/>
    </xf>
    <xf numFmtId="0" fontId="0" fillId="0" borderId="0" xfId="0"/>
    <xf numFmtId="0" fontId="11" fillId="3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3" fillId="4" borderId="1" xfId="0" applyFont="1" applyFill="1" applyBorder="1" applyAlignment="1">
      <alignment horizontal="left" vertical="center" wrapText="1"/>
    </xf>
    <xf numFmtId="0" fontId="0" fillId="0" borderId="2" xfId="0" applyBorder="1"/>
    <xf numFmtId="0" fontId="6" fillId="3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20" fillId="8" borderId="1" xfId="0" applyFont="1" applyFill="1" applyBorder="1" applyAlignment="1">
      <alignment horizontal="left" vertical="center" wrapText="1"/>
    </xf>
    <xf numFmtId="0" fontId="21" fillId="8" borderId="1" xfId="0" applyFont="1" applyFill="1" applyBorder="1" applyAlignment="1">
      <alignment horizontal="left" vertical="center" wrapText="1"/>
    </xf>
    <xf numFmtId="0" fontId="20" fillId="3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showGridLines="0" workbookViewId="0">
      <selection activeCell="H25" sqref="H25"/>
    </sheetView>
  </sheetViews>
  <sheetFormatPr baseColWidth="10" defaultColWidth="8.83203125" defaultRowHeight="15" x14ac:dyDescent="0.2"/>
  <cols>
    <col min="1" max="1" width="28" customWidth="1"/>
    <col min="2" max="8" width="14" customWidth="1"/>
    <col min="9" max="9" width="18" customWidth="1"/>
  </cols>
  <sheetData>
    <row r="1" spans="1:9" ht="8" customHeight="1" x14ac:dyDescent="0.2"/>
    <row r="2" spans="1:9" ht="8" customHeight="1" x14ac:dyDescent="0.2"/>
    <row r="3" spans="1:9" ht="8" customHeight="1" x14ac:dyDescent="0.2"/>
    <row r="4" spans="1:9" ht="36" customHeight="1" x14ac:dyDescent="0.2">
      <c r="A4" s="48" t="s">
        <v>0</v>
      </c>
      <c r="B4" s="39"/>
      <c r="C4" s="39"/>
      <c r="D4" s="39"/>
      <c r="E4" s="39"/>
      <c r="F4" s="39"/>
      <c r="G4" s="39"/>
      <c r="H4" s="39"/>
      <c r="I4" s="39"/>
    </row>
    <row r="5" spans="1:9" ht="18" customHeight="1" x14ac:dyDescent="0.2">
      <c r="A5" s="46" t="s">
        <v>1</v>
      </c>
      <c r="B5" s="39"/>
      <c r="C5" s="39"/>
      <c r="D5" s="39"/>
      <c r="E5" s="39"/>
      <c r="F5" s="39"/>
      <c r="G5" s="39"/>
      <c r="H5" s="39"/>
      <c r="I5" s="39"/>
    </row>
    <row r="6" spans="1:9" ht="8" customHeight="1" x14ac:dyDescent="0.2"/>
    <row r="7" spans="1:9" ht="20" customHeight="1" x14ac:dyDescent="0.2">
      <c r="A7" s="38" t="s">
        <v>2</v>
      </c>
      <c r="B7" s="39"/>
      <c r="C7" s="39"/>
      <c r="D7" s="39"/>
      <c r="E7" s="39"/>
      <c r="F7" s="39"/>
      <c r="G7" s="39"/>
      <c r="H7" s="39"/>
      <c r="I7" s="39"/>
    </row>
    <row r="8" spans="1:9" ht="30" customHeight="1" x14ac:dyDescent="0.2">
      <c r="A8" s="1" t="s">
        <v>3</v>
      </c>
      <c r="B8" s="1" t="s">
        <v>4</v>
      </c>
      <c r="C8" s="1" t="s">
        <v>5</v>
      </c>
      <c r="D8" s="1" t="s">
        <v>6</v>
      </c>
      <c r="E8" s="1" t="s">
        <v>7</v>
      </c>
      <c r="F8" s="1" t="s">
        <v>8</v>
      </c>
      <c r="G8" s="1" t="s">
        <v>9</v>
      </c>
      <c r="H8" s="1" t="s">
        <v>10</v>
      </c>
      <c r="I8" s="1" t="s">
        <v>11</v>
      </c>
    </row>
    <row r="9" spans="1:9" ht="22" customHeight="1" x14ac:dyDescent="0.2">
      <c r="A9" s="2" t="s">
        <v>12</v>
      </c>
      <c r="B9" s="3">
        <v>320</v>
      </c>
      <c r="C9" s="3">
        <v>410</v>
      </c>
      <c r="D9" s="3">
        <v>680</v>
      </c>
      <c r="E9" s="3">
        <v>750</v>
      </c>
      <c r="F9" s="3">
        <v>820</v>
      </c>
      <c r="G9" s="3">
        <v>290</v>
      </c>
      <c r="H9" s="4">
        <v>180</v>
      </c>
      <c r="I9" s="5">
        <f>SUM(B20:G20)</f>
        <v>165</v>
      </c>
    </row>
    <row r="10" spans="1:9" ht="22" customHeight="1" x14ac:dyDescent="0.2">
      <c r="A10" s="6" t="s">
        <v>13</v>
      </c>
      <c r="B10" s="7">
        <v>380</v>
      </c>
      <c r="C10" s="7">
        <v>210</v>
      </c>
      <c r="D10" s="7">
        <v>590</v>
      </c>
      <c r="E10" s="7">
        <v>670</v>
      </c>
      <c r="F10" s="7">
        <v>540</v>
      </c>
      <c r="G10" s="7">
        <v>520</v>
      </c>
      <c r="H10" s="4">
        <v>150</v>
      </c>
      <c r="I10" s="5">
        <f>SUM(B21:G21)</f>
        <v>115</v>
      </c>
    </row>
    <row r="11" spans="1:9" ht="22" customHeight="1" x14ac:dyDescent="0.2">
      <c r="A11" s="2" t="s">
        <v>14</v>
      </c>
      <c r="B11" s="3">
        <v>610</v>
      </c>
      <c r="C11" s="3">
        <v>640</v>
      </c>
      <c r="D11" s="3">
        <v>280</v>
      </c>
      <c r="E11" s="3">
        <v>310</v>
      </c>
      <c r="F11" s="3">
        <v>720</v>
      </c>
      <c r="G11" s="3">
        <v>240</v>
      </c>
      <c r="H11" s="4">
        <v>160</v>
      </c>
      <c r="I11" s="5">
        <f>SUM(B22:G22)</f>
        <v>150</v>
      </c>
    </row>
    <row r="12" spans="1:9" ht="8" customHeight="1" x14ac:dyDescent="0.2"/>
    <row r="13" spans="1:9" ht="20" customHeight="1" x14ac:dyDescent="0.2">
      <c r="A13" s="38" t="s">
        <v>15</v>
      </c>
      <c r="B13" s="39"/>
      <c r="C13" s="39"/>
      <c r="D13" s="39"/>
      <c r="E13" s="39"/>
      <c r="F13" s="39"/>
      <c r="G13" s="39"/>
      <c r="H13" s="39"/>
      <c r="I13" s="39"/>
    </row>
    <row r="14" spans="1:9" ht="22" customHeight="1" x14ac:dyDescent="0.2">
      <c r="A14" s="1" t="s">
        <v>16</v>
      </c>
      <c r="B14" s="1" t="s">
        <v>4</v>
      </c>
      <c r="C14" s="1" t="s">
        <v>5</v>
      </c>
      <c r="D14" s="1" t="s">
        <v>6</v>
      </c>
      <c r="E14" s="1" t="s">
        <v>7</v>
      </c>
      <c r="F14" s="1" t="s">
        <v>8</v>
      </c>
      <c r="G14" s="1" t="s">
        <v>9</v>
      </c>
    </row>
    <row r="15" spans="1:9" ht="22" customHeight="1" x14ac:dyDescent="0.2">
      <c r="A15" s="8" t="s">
        <v>17</v>
      </c>
      <c r="B15" s="9">
        <v>90</v>
      </c>
      <c r="C15" s="9">
        <v>60</v>
      </c>
      <c r="D15" s="9">
        <v>70</v>
      </c>
      <c r="E15" s="9">
        <v>80</v>
      </c>
      <c r="F15" s="9">
        <v>55</v>
      </c>
      <c r="G15" s="9">
        <v>75</v>
      </c>
    </row>
    <row r="16" spans="1:9" ht="22" customHeight="1" x14ac:dyDescent="0.2">
      <c r="A16" s="10" t="s">
        <v>18</v>
      </c>
      <c r="B16" s="5">
        <f t="shared" ref="B16:G16" si="0">SUM(B19:B21)</f>
        <v>90</v>
      </c>
      <c r="C16" s="5">
        <f t="shared" si="0"/>
        <v>60</v>
      </c>
      <c r="D16" s="5">
        <f t="shared" si="0"/>
        <v>0</v>
      </c>
      <c r="E16" s="5">
        <f t="shared" si="0"/>
        <v>0</v>
      </c>
      <c r="F16" s="5">
        <f t="shared" si="0"/>
        <v>55</v>
      </c>
      <c r="G16" s="5">
        <f t="shared" si="0"/>
        <v>75</v>
      </c>
    </row>
    <row r="17" spans="1:9" ht="8" customHeight="1" x14ac:dyDescent="0.2"/>
    <row r="18" spans="1:9" ht="20" customHeight="1" x14ac:dyDescent="0.2">
      <c r="A18" s="42" t="s">
        <v>19</v>
      </c>
      <c r="B18" s="43"/>
      <c r="C18" s="43"/>
      <c r="D18" s="43"/>
      <c r="E18" s="43"/>
      <c r="F18" s="43"/>
      <c r="G18" s="43"/>
      <c r="H18" s="43"/>
      <c r="I18" s="41"/>
    </row>
    <row r="19" spans="1:9" ht="30" customHeight="1" x14ac:dyDescent="0.2">
      <c r="A19" s="1" t="s">
        <v>3</v>
      </c>
      <c r="B19" s="1" t="s">
        <v>4</v>
      </c>
      <c r="C19" s="1" t="s">
        <v>5</v>
      </c>
      <c r="D19" s="1" t="s">
        <v>6</v>
      </c>
      <c r="E19" s="1" t="s">
        <v>7</v>
      </c>
      <c r="F19" s="1" t="s">
        <v>8</v>
      </c>
      <c r="G19" s="1" t="s">
        <v>9</v>
      </c>
      <c r="H19" s="1" t="s">
        <v>20</v>
      </c>
      <c r="I19" s="1" t="s">
        <v>21</v>
      </c>
    </row>
    <row r="20" spans="1:9" ht="22" customHeight="1" x14ac:dyDescent="0.2">
      <c r="A20" s="2" t="s">
        <v>12</v>
      </c>
      <c r="B20" s="11">
        <v>90</v>
      </c>
      <c r="C20" s="11">
        <v>0</v>
      </c>
      <c r="D20" s="11">
        <v>0</v>
      </c>
      <c r="E20" s="11">
        <v>0</v>
      </c>
      <c r="F20" s="11">
        <v>0</v>
      </c>
      <c r="G20" s="11">
        <v>75</v>
      </c>
      <c r="H20" s="4">
        <f>SUM(B20:G20)</f>
        <v>165</v>
      </c>
      <c r="I20" s="4">
        <v>180</v>
      </c>
    </row>
    <row r="21" spans="1:9" ht="22" customHeight="1" x14ac:dyDescent="0.2">
      <c r="A21" s="6" t="s">
        <v>13</v>
      </c>
      <c r="B21" s="12">
        <v>0</v>
      </c>
      <c r="C21" s="12">
        <v>60</v>
      </c>
      <c r="D21" s="12">
        <v>0</v>
      </c>
      <c r="E21" s="12">
        <v>0</v>
      </c>
      <c r="F21" s="12">
        <v>55</v>
      </c>
      <c r="G21" s="12">
        <v>0</v>
      </c>
      <c r="H21" s="4">
        <f>SUM(B21:G21)</f>
        <v>115</v>
      </c>
      <c r="I21" s="4">
        <v>150</v>
      </c>
    </row>
    <row r="22" spans="1:9" ht="22" customHeight="1" x14ac:dyDescent="0.2">
      <c r="A22" s="2" t="s">
        <v>14</v>
      </c>
      <c r="B22" s="11">
        <v>0</v>
      </c>
      <c r="C22" s="11">
        <v>0</v>
      </c>
      <c r="D22" s="11">
        <v>70</v>
      </c>
      <c r="E22" s="11">
        <v>80</v>
      </c>
      <c r="F22" s="11">
        <v>0</v>
      </c>
      <c r="G22" s="11">
        <v>0</v>
      </c>
      <c r="H22" s="4">
        <f>SUM(B22:G22)</f>
        <v>150</v>
      </c>
      <c r="I22" s="4">
        <v>160</v>
      </c>
    </row>
    <row r="23" spans="1:9" ht="8" customHeight="1" x14ac:dyDescent="0.2"/>
    <row r="24" spans="1:9" ht="20" customHeight="1" x14ac:dyDescent="0.2">
      <c r="A24" s="38" t="s">
        <v>22</v>
      </c>
      <c r="B24" s="39"/>
      <c r="C24" s="39"/>
      <c r="D24" s="39"/>
      <c r="E24" s="39"/>
      <c r="F24" s="39"/>
      <c r="G24" s="39"/>
      <c r="H24" s="39"/>
      <c r="I24" s="39"/>
    </row>
    <row r="25" spans="1:9" ht="28" customHeight="1" x14ac:dyDescent="0.2">
      <c r="A25" s="50" t="s">
        <v>23</v>
      </c>
      <c r="B25" s="43"/>
      <c r="C25" s="43"/>
      <c r="D25" s="43"/>
      <c r="E25" s="43"/>
      <c r="F25" s="43"/>
      <c r="G25" s="41"/>
      <c r="H25" s="13">
        <f>SUMPRODUCT(B9:G11,B20:G22)</f>
        <v>137250</v>
      </c>
    </row>
    <row r="26" spans="1:9" ht="8" customHeight="1" x14ac:dyDescent="0.2"/>
    <row r="27" spans="1:9" ht="20" customHeight="1" x14ac:dyDescent="0.2">
      <c r="A27" s="38" t="s">
        <v>24</v>
      </c>
      <c r="B27" s="39"/>
      <c r="C27" s="39"/>
      <c r="D27" s="39"/>
      <c r="E27" s="39"/>
      <c r="F27" s="39"/>
      <c r="G27" s="39"/>
      <c r="H27" s="39"/>
      <c r="I27" s="39"/>
    </row>
    <row r="28" spans="1:9" ht="22" customHeight="1" x14ac:dyDescent="0.2">
      <c r="A28" s="1" t="s">
        <v>25</v>
      </c>
      <c r="B28" s="45" t="s">
        <v>26</v>
      </c>
      <c r="C28" s="43"/>
      <c r="D28" s="43"/>
      <c r="E28" s="43"/>
      <c r="F28" s="43"/>
      <c r="G28" s="41"/>
      <c r="H28" s="45" t="s">
        <v>27</v>
      </c>
      <c r="I28" s="41"/>
    </row>
    <row r="29" spans="1:9" ht="20" customHeight="1" x14ac:dyDescent="0.2">
      <c r="A29" s="8" t="s">
        <v>28</v>
      </c>
      <c r="B29" s="44" t="s">
        <v>29</v>
      </c>
      <c r="C29" s="43"/>
      <c r="D29" s="43"/>
      <c r="E29" s="43"/>
      <c r="F29" s="43"/>
      <c r="G29" s="41"/>
      <c r="H29" s="40" t="s">
        <v>30</v>
      </c>
      <c r="I29" s="41"/>
    </row>
    <row r="30" spans="1:9" ht="20" customHeight="1" x14ac:dyDescent="0.2">
      <c r="A30" s="6" t="s">
        <v>31</v>
      </c>
      <c r="B30" s="47" t="s">
        <v>32</v>
      </c>
      <c r="C30" s="43"/>
      <c r="D30" s="43"/>
      <c r="E30" s="43"/>
      <c r="F30" s="43"/>
      <c r="G30" s="41"/>
      <c r="H30" s="49" t="s">
        <v>33</v>
      </c>
      <c r="I30" s="41"/>
    </row>
    <row r="31" spans="1:9" ht="20" customHeight="1" x14ac:dyDescent="0.2">
      <c r="A31" s="8" t="s">
        <v>34</v>
      </c>
      <c r="B31" s="44" t="s">
        <v>35</v>
      </c>
      <c r="C31" s="43"/>
      <c r="D31" s="43"/>
      <c r="E31" s="43"/>
      <c r="F31" s="43"/>
      <c r="G31" s="41"/>
      <c r="H31" s="40" t="s">
        <v>36</v>
      </c>
      <c r="I31" s="41"/>
    </row>
    <row r="32" spans="1:9" ht="20" customHeight="1" x14ac:dyDescent="0.2">
      <c r="A32" s="6" t="s">
        <v>37</v>
      </c>
      <c r="B32" s="47" t="s">
        <v>38</v>
      </c>
      <c r="C32" s="43"/>
      <c r="D32" s="43"/>
      <c r="E32" s="43"/>
      <c r="F32" s="43"/>
      <c r="G32" s="41"/>
      <c r="H32" s="49" t="s">
        <v>39</v>
      </c>
      <c r="I32" s="41"/>
    </row>
    <row r="33" spans="1:9" ht="8" customHeight="1" x14ac:dyDescent="0.2"/>
    <row r="34" spans="1:9" ht="22" customHeight="1" x14ac:dyDescent="0.2">
      <c r="A34" s="51" t="s">
        <v>40</v>
      </c>
      <c r="B34" s="43"/>
      <c r="C34" s="43"/>
      <c r="D34" s="43"/>
      <c r="E34" s="43"/>
      <c r="F34" s="43"/>
      <c r="G34" s="43"/>
      <c r="H34" s="43"/>
      <c r="I34" s="41"/>
    </row>
  </sheetData>
  <mergeCells count="19">
    <mergeCell ref="A34:I34"/>
    <mergeCell ref="A24:I24"/>
    <mergeCell ref="B31:G31"/>
    <mergeCell ref="H30:I30"/>
    <mergeCell ref="A5:I5"/>
    <mergeCell ref="B30:G30"/>
    <mergeCell ref="A4:I4"/>
    <mergeCell ref="H32:I32"/>
    <mergeCell ref="A13:I13"/>
    <mergeCell ref="B32:G32"/>
    <mergeCell ref="H28:I28"/>
    <mergeCell ref="A25:G25"/>
    <mergeCell ref="A7:I7"/>
    <mergeCell ref="H29:I29"/>
    <mergeCell ref="A18:I18"/>
    <mergeCell ref="A27:I27"/>
    <mergeCell ref="H31:I31"/>
    <mergeCell ref="B29:G29"/>
    <mergeCell ref="B28:G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"/>
  <sheetViews>
    <sheetView showGridLines="0" tabSelected="1" topLeftCell="A7" workbookViewId="0">
      <selection sqref="A1:I1"/>
    </sheetView>
  </sheetViews>
  <sheetFormatPr baseColWidth="10" defaultColWidth="8.83203125" defaultRowHeight="15" x14ac:dyDescent="0.2"/>
  <cols>
    <col min="1" max="1" width="26" customWidth="1"/>
    <col min="2" max="8" width="14" customWidth="1"/>
    <col min="9" max="9" width="18" customWidth="1"/>
  </cols>
  <sheetData>
    <row r="1" spans="1:9" ht="34" customHeight="1" x14ac:dyDescent="0.2">
      <c r="A1" s="57" t="s">
        <v>41</v>
      </c>
      <c r="B1" s="39"/>
      <c r="C1" s="39"/>
      <c r="D1" s="39"/>
      <c r="E1" s="39"/>
      <c r="F1" s="39"/>
      <c r="G1" s="39"/>
      <c r="H1" s="39"/>
      <c r="I1" s="39"/>
    </row>
    <row r="2" spans="1:9" ht="18" customHeight="1" x14ac:dyDescent="0.2">
      <c r="A2" s="46" t="s">
        <v>42</v>
      </c>
      <c r="B2" s="39"/>
      <c r="C2" s="39"/>
      <c r="D2" s="39"/>
      <c r="E2" s="39"/>
      <c r="F2" s="39"/>
      <c r="G2" s="39"/>
      <c r="H2" s="39"/>
      <c r="I2" s="39"/>
    </row>
    <row r="3" spans="1:9" ht="8" customHeight="1" x14ac:dyDescent="0.2"/>
    <row r="5" spans="1:9" ht="32" customHeight="1" x14ac:dyDescent="0.2">
      <c r="A5" s="55" t="s">
        <v>43</v>
      </c>
      <c r="B5" s="43"/>
      <c r="C5" s="43"/>
      <c r="D5" s="43"/>
      <c r="E5" s="43"/>
      <c r="F5" s="43"/>
      <c r="G5" s="43"/>
      <c r="H5" s="43"/>
      <c r="I5" s="41"/>
    </row>
    <row r="6" spans="1:9" ht="36" customHeight="1" x14ac:dyDescent="0.2">
      <c r="B6" s="16">
        <v>342500</v>
      </c>
      <c r="C6" s="17">
        <f>'Supply Network Model'!H25</f>
        <v>137250</v>
      </c>
      <c r="D6" s="18">
        <f>B6-C6</f>
        <v>205250</v>
      </c>
      <c r="E6" s="19">
        <f>(B6-C6)/B6</f>
        <v>0.59927007299270074</v>
      </c>
      <c r="F6" s="20">
        <f>SUM('Supply Network Model'!B16:G16)</f>
        <v>280</v>
      </c>
      <c r="G6" s="21" t="s">
        <v>44</v>
      </c>
    </row>
    <row r="7" spans="1:9" ht="8" customHeight="1" x14ac:dyDescent="0.2"/>
    <row r="8" spans="1:9" ht="20" customHeight="1" x14ac:dyDescent="0.2">
      <c r="A8" s="38" t="s">
        <v>45</v>
      </c>
      <c r="B8" s="39"/>
      <c r="C8" s="39"/>
      <c r="D8" s="39"/>
      <c r="E8" s="39"/>
      <c r="F8" s="39"/>
      <c r="G8" s="39"/>
      <c r="H8" s="39"/>
      <c r="I8" s="39"/>
    </row>
    <row r="9" spans="1:9" ht="30" customHeight="1" x14ac:dyDescent="0.2">
      <c r="A9" s="1" t="s">
        <v>46</v>
      </c>
      <c r="B9" s="1" t="s">
        <v>4</v>
      </c>
      <c r="C9" s="1" t="s">
        <v>5</v>
      </c>
      <c r="D9" s="1" t="s">
        <v>6</v>
      </c>
      <c r="E9" s="1" t="s">
        <v>7</v>
      </c>
      <c r="F9" s="1" t="s">
        <v>8</v>
      </c>
      <c r="G9" s="1" t="s">
        <v>9</v>
      </c>
      <c r="H9" s="1" t="s">
        <v>20</v>
      </c>
      <c r="I9" s="1" t="s">
        <v>47</v>
      </c>
    </row>
    <row r="10" spans="1:9" ht="22" customHeight="1" x14ac:dyDescent="0.2">
      <c r="A10" s="2" t="s">
        <v>12</v>
      </c>
      <c r="B10" s="11">
        <f>'Supply Network Model'!B20</f>
        <v>90</v>
      </c>
      <c r="C10" s="11">
        <f>'Supply Network Model'!C20</f>
        <v>0</v>
      </c>
      <c r="D10" s="11">
        <f>'Supply Network Model'!D20</f>
        <v>0</v>
      </c>
      <c r="E10" s="11">
        <f>'Supply Network Model'!E20</f>
        <v>0</v>
      </c>
      <c r="F10" s="11">
        <f>'Supply Network Model'!F20</f>
        <v>0</v>
      </c>
      <c r="G10" s="11">
        <f>'Supply Network Model'!G20</f>
        <v>75</v>
      </c>
      <c r="H10" s="4">
        <f>SUM(B10:G10)</f>
        <v>165</v>
      </c>
      <c r="I10" s="22">
        <f>SUMPRODUCT('Supply Network Model'!B9:G9,'Supply Network Model'!B20:G20)</f>
        <v>50550</v>
      </c>
    </row>
    <row r="11" spans="1:9" ht="22" customHeight="1" x14ac:dyDescent="0.2">
      <c r="A11" s="6" t="s">
        <v>13</v>
      </c>
      <c r="B11" s="12">
        <f>'Supply Network Model'!B21</f>
        <v>0</v>
      </c>
      <c r="C11" s="12">
        <f>'Supply Network Model'!C21</f>
        <v>60</v>
      </c>
      <c r="D11" s="12">
        <f>'Supply Network Model'!D21</f>
        <v>0</v>
      </c>
      <c r="E11" s="12">
        <f>'Supply Network Model'!E21</f>
        <v>0</v>
      </c>
      <c r="F11" s="12">
        <f>'Supply Network Model'!F21</f>
        <v>55</v>
      </c>
      <c r="G11" s="12">
        <f>'Supply Network Model'!G21</f>
        <v>0</v>
      </c>
      <c r="H11" s="4">
        <f>SUM(B11:G11)</f>
        <v>115</v>
      </c>
      <c r="I11" s="23">
        <f>SUMPRODUCT('Supply Network Model'!B10:G10,'Supply Network Model'!B21:G21)</f>
        <v>42300</v>
      </c>
    </row>
    <row r="12" spans="1:9" ht="22" customHeight="1" x14ac:dyDescent="0.2">
      <c r="A12" s="2" t="s">
        <v>14</v>
      </c>
      <c r="B12" s="11">
        <f>'Supply Network Model'!B22</f>
        <v>0</v>
      </c>
      <c r="C12" s="11">
        <f>'Supply Network Model'!C22</f>
        <v>0</v>
      </c>
      <c r="D12" s="11">
        <f>'Supply Network Model'!D22</f>
        <v>70</v>
      </c>
      <c r="E12" s="11">
        <f>'Supply Network Model'!E22</f>
        <v>80</v>
      </c>
      <c r="F12" s="11">
        <f>'Supply Network Model'!F22</f>
        <v>0</v>
      </c>
      <c r="G12" s="11">
        <f>'Supply Network Model'!G22</f>
        <v>0</v>
      </c>
      <c r="H12" s="4">
        <f>SUM(B12:G12)</f>
        <v>150</v>
      </c>
      <c r="I12" s="22">
        <f>SUMPRODUCT('Supply Network Model'!B11:G11,'Supply Network Model'!B22:G22)</f>
        <v>44400</v>
      </c>
    </row>
    <row r="13" spans="1:9" ht="24" customHeight="1" x14ac:dyDescent="0.2">
      <c r="A13" s="24" t="s">
        <v>48</v>
      </c>
      <c r="B13" s="25">
        <f t="shared" ref="B13:I13" si="0">SUM(B10:B12)</f>
        <v>90</v>
      </c>
      <c r="C13" s="25">
        <f t="shared" si="0"/>
        <v>60</v>
      </c>
      <c r="D13" s="25">
        <f t="shared" si="0"/>
        <v>70</v>
      </c>
      <c r="E13" s="25">
        <f t="shared" si="0"/>
        <v>80</v>
      </c>
      <c r="F13" s="25">
        <f t="shared" si="0"/>
        <v>55</v>
      </c>
      <c r="G13" s="25">
        <f t="shared" si="0"/>
        <v>75</v>
      </c>
      <c r="H13" s="25">
        <f t="shared" si="0"/>
        <v>430</v>
      </c>
      <c r="I13" s="26">
        <f t="shared" si="0"/>
        <v>137250</v>
      </c>
    </row>
    <row r="14" spans="1:9" ht="8" customHeight="1" x14ac:dyDescent="0.2"/>
    <row r="15" spans="1:9" ht="20" customHeight="1" x14ac:dyDescent="0.2">
      <c r="A15" s="38" t="s">
        <v>49</v>
      </c>
      <c r="B15" s="39"/>
      <c r="C15" s="39"/>
      <c r="D15" s="39"/>
      <c r="E15" s="39"/>
      <c r="F15" s="39"/>
      <c r="G15" s="39"/>
      <c r="H15" s="39"/>
      <c r="I15" s="39"/>
    </row>
    <row r="16" spans="1:9" ht="22" customHeight="1" x14ac:dyDescent="0.2">
      <c r="A16" s="1" t="s">
        <v>50</v>
      </c>
      <c r="B16" s="1" t="s">
        <v>51</v>
      </c>
      <c r="C16" s="1" t="s">
        <v>52</v>
      </c>
      <c r="D16" s="1" t="s">
        <v>53</v>
      </c>
      <c r="E16" s="1" t="s">
        <v>54</v>
      </c>
      <c r="F16" s="45" t="s">
        <v>55</v>
      </c>
      <c r="G16" s="43"/>
      <c r="H16" s="43"/>
      <c r="I16" s="41"/>
    </row>
    <row r="17" spans="1:9" ht="20" customHeight="1" x14ac:dyDescent="0.2">
      <c r="A17" s="14" t="s">
        <v>56</v>
      </c>
      <c r="B17" s="27">
        <f>'Supply Network Model'!B20</f>
        <v>90</v>
      </c>
      <c r="C17" s="28">
        <f>'Supply Network Model'!B9</f>
        <v>320</v>
      </c>
      <c r="D17" s="29">
        <f t="shared" ref="D17:D22" si="1">B17*C17</f>
        <v>28800</v>
      </c>
      <c r="E17" s="30">
        <f>D17/I13</f>
        <v>0.20983606557377049</v>
      </c>
      <c r="F17" s="54" t="s">
        <v>57</v>
      </c>
      <c r="G17" s="43"/>
      <c r="H17" s="43"/>
      <c r="I17" s="41"/>
    </row>
    <row r="18" spans="1:9" ht="20" customHeight="1" x14ac:dyDescent="0.2">
      <c r="A18" s="15" t="s">
        <v>58</v>
      </c>
      <c r="B18" s="31">
        <f>'Supply Network Model'!G20</f>
        <v>75</v>
      </c>
      <c r="C18" s="7">
        <f>'Supply Network Model'!G9</f>
        <v>290</v>
      </c>
      <c r="D18" s="32">
        <f t="shared" si="1"/>
        <v>21750</v>
      </c>
      <c r="E18" s="33">
        <f>D18/I13</f>
        <v>0.15846994535519127</v>
      </c>
      <c r="F18" s="52" t="s">
        <v>59</v>
      </c>
      <c r="G18" s="43"/>
      <c r="H18" s="43"/>
      <c r="I18" s="41"/>
    </row>
    <row r="19" spans="1:9" ht="20" customHeight="1" x14ac:dyDescent="0.2">
      <c r="A19" s="14" t="s">
        <v>60</v>
      </c>
      <c r="B19" s="27">
        <f>'Supply Network Model'!C21</f>
        <v>60</v>
      </c>
      <c r="C19" s="28">
        <f>'Supply Network Model'!C10</f>
        <v>210</v>
      </c>
      <c r="D19" s="29">
        <f t="shared" si="1"/>
        <v>12600</v>
      </c>
      <c r="E19" s="30">
        <f>D19/I13</f>
        <v>9.1803278688524587E-2</v>
      </c>
      <c r="F19" s="54" t="s">
        <v>61</v>
      </c>
      <c r="G19" s="43"/>
      <c r="H19" s="43"/>
      <c r="I19" s="41"/>
    </row>
    <row r="20" spans="1:9" ht="20" customHeight="1" x14ac:dyDescent="0.2">
      <c r="A20" s="15" t="s">
        <v>62</v>
      </c>
      <c r="B20" s="31">
        <f>'Supply Network Model'!F21</f>
        <v>55</v>
      </c>
      <c r="C20" s="7">
        <f>'Supply Network Model'!F10</f>
        <v>540</v>
      </c>
      <c r="D20" s="32">
        <f t="shared" si="1"/>
        <v>29700</v>
      </c>
      <c r="E20" s="33">
        <f>D20/I13</f>
        <v>0.21639344262295082</v>
      </c>
      <c r="F20" s="52" t="s">
        <v>63</v>
      </c>
      <c r="G20" s="43"/>
      <c r="H20" s="43"/>
      <c r="I20" s="41"/>
    </row>
    <row r="21" spans="1:9" ht="20" customHeight="1" x14ac:dyDescent="0.2">
      <c r="A21" s="14" t="s">
        <v>64</v>
      </c>
      <c r="B21" s="27">
        <f>'Supply Network Model'!D22</f>
        <v>70</v>
      </c>
      <c r="C21" s="28">
        <f>'Supply Network Model'!D11</f>
        <v>280</v>
      </c>
      <c r="D21" s="29">
        <f t="shared" si="1"/>
        <v>19600</v>
      </c>
      <c r="E21" s="30">
        <f>D21/I13</f>
        <v>0.14280510018214937</v>
      </c>
      <c r="F21" s="54" t="s">
        <v>65</v>
      </c>
      <c r="G21" s="43"/>
      <c r="H21" s="43"/>
      <c r="I21" s="41"/>
    </row>
    <row r="22" spans="1:9" ht="20" customHeight="1" x14ac:dyDescent="0.2">
      <c r="A22" s="15" t="s">
        <v>66</v>
      </c>
      <c r="B22" s="31">
        <f>'Supply Network Model'!E22</f>
        <v>80</v>
      </c>
      <c r="C22" s="7">
        <f>'Supply Network Model'!E11</f>
        <v>310</v>
      </c>
      <c r="D22" s="32">
        <f t="shared" si="1"/>
        <v>24800</v>
      </c>
      <c r="E22" s="33">
        <f>D22/I13</f>
        <v>0.18069216757741349</v>
      </c>
      <c r="F22" s="52" t="s">
        <v>67</v>
      </c>
      <c r="G22" s="43"/>
      <c r="H22" s="43"/>
      <c r="I22" s="41"/>
    </row>
    <row r="23" spans="1:9" ht="8" customHeight="1" x14ac:dyDescent="0.2"/>
    <row r="24" spans="1:9" ht="20" customHeight="1" x14ac:dyDescent="0.2">
      <c r="A24" s="38" t="s">
        <v>68</v>
      </c>
      <c r="B24" s="39"/>
      <c r="C24" s="39"/>
      <c r="D24" s="39"/>
      <c r="E24" s="39"/>
      <c r="F24" s="39"/>
      <c r="G24" s="39"/>
      <c r="H24" s="39"/>
      <c r="I24" s="39"/>
    </row>
    <row r="25" spans="1:9" ht="22" customHeight="1" x14ac:dyDescent="0.2">
      <c r="A25" s="1" t="s">
        <v>69</v>
      </c>
      <c r="B25" s="45" t="s">
        <v>70</v>
      </c>
      <c r="C25" s="43"/>
      <c r="D25" s="43"/>
      <c r="E25" s="43"/>
      <c r="F25" s="43"/>
      <c r="G25" s="43"/>
      <c r="H25" s="43"/>
      <c r="I25" s="41"/>
    </row>
    <row r="26" spans="1:9" ht="20" customHeight="1" x14ac:dyDescent="0.2">
      <c r="A26" s="8" t="s">
        <v>71</v>
      </c>
      <c r="B26" s="56" t="s">
        <v>72</v>
      </c>
      <c r="C26" s="43"/>
      <c r="D26" s="43"/>
      <c r="E26" s="43"/>
      <c r="F26" s="43"/>
      <c r="G26" s="43"/>
      <c r="H26" s="43"/>
      <c r="I26" s="41"/>
    </row>
    <row r="27" spans="1:9" ht="20" customHeight="1" x14ac:dyDescent="0.2">
      <c r="A27" s="6" t="s">
        <v>73</v>
      </c>
      <c r="B27" s="53" t="s">
        <v>74</v>
      </c>
      <c r="C27" s="43"/>
      <c r="D27" s="43"/>
      <c r="E27" s="43"/>
      <c r="F27" s="43"/>
      <c r="G27" s="43"/>
      <c r="H27" s="43"/>
      <c r="I27" s="41"/>
    </row>
    <row r="28" spans="1:9" ht="20" customHeight="1" x14ac:dyDescent="0.2">
      <c r="A28" s="8" t="s">
        <v>75</v>
      </c>
      <c r="B28" s="56" t="s">
        <v>76</v>
      </c>
      <c r="C28" s="43"/>
      <c r="D28" s="43"/>
      <c r="E28" s="43"/>
      <c r="F28" s="43"/>
      <c r="G28" s="43"/>
      <c r="H28" s="43"/>
      <c r="I28" s="41"/>
    </row>
    <row r="29" spans="1:9" ht="20" customHeight="1" x14ac:dyDescent="0.2">
      <c r="A29" s="6" t="s">
        <v>77</v>
      </c>
      <c r="B29" s="53" t="s">
        <v>78</v>
      </c>
      <c r="C29" s="43"/>
      <c r="D29" s="43"/>
      <c r="E29" s="43"/>
      <c r="F29" s="43"/>
      <c r="G29" s="43"/>
      <c r="H29" s="43"/>
      <c r="I29" s="41"/>
    </row>
  </sheetData>
  <mergeCells count="18">
    <mergeCell ref="A1:I1"/>
    <mergeCell ref="B28:I28"/>
    <mergeCell ref="F21:I21"/>
    <mergeCell ref="A8:I8"/>
    <mergeCell ref="F16:I16"/>
    <mergeCell ref="B27:I27"/>
    <mergeCell ref="F19:I19"/>
    <mergeCell ref="F20:I20"/>
    <mergeCell ref="A24:I24"/>
    <mergeCell ref="F22:I22"/>
    <mergeCell ref="A15:I15"/>
    <mergeCell ref="F18:I18"/>
    <mergeCell ref="A2:I2"/>
    <mergeCell ref="B29:I29"/>
    <mergeCell ref="F17:I17"/>
    <mergeCell ref="A5:I5"/>
    <mergeCell ref="B25:I25"/>
    <mergeCell ref="B26:I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showGridLines="0" workbookViewId="0">
      <selection sqref="A1:B1"/>
    </sheetView>
  </sheetViews>
  <sheetFormatPr baseColWidth="10" defaultColWidth="8.83203125" defaultRowHeight="15" x14ac:dyDescent="0.2"/>
  <cols>
    <col min="1" max="1" width="30" customWidth="1"/>
    <col min="2" max="2" width="80" customWidth="1"/>
  </cols>
  <sheetData>
    <row r="1" spans="1:2" ht="30" customHeight="1" x14ac:dyDescent="0.2">
      <c r="A1" s="58" t="s">
        <v>79</v>
      </c>
      <c r="B1" s="39"/>
    </row>
    <row r="2" spans="1:2" ht="60" customHeight="1" x14ac:dyDescent="0.2">
      <c r="A2" s="34" t="s">
        <v>80</v>
      </c>
      <c r="B2" s="35" t="s">
        <v>81</v>
      </c>
    </row>
    <row r="3" spans="1:2" ht="60" customHeight="1" x14ac:dyDescent="0.2">
      <c r="A3" s="36" t="s">
        <v>82</v>
      </c>
      <c r="B3" s="37" t="s">
        <v>83</v>
      </c>
    </row>
    <row r="4" spans="1:2" ht="60" customHeight="1" x14ac:dyDescent="0.2">
      <c r="A4" s="34" t="s">
        <v>84</v>
      </c>
      <c r="B4" s="35" t="s">
        <v>85</v>
      </c>
    </row>
    <row r="5" spans="1:2" ht="60" customHeight="1" x14ac:dyDescent="0.2">
      <c r="A5" s="36" t="s">
        <v>86</v>
      </c>
      <c r="B5" s="37" t="s">
        <v>87</v>
      </c>
    </row>
    <row r="6" spans="1:2" ht="60" customHeight="1" x14ac:dyDescent="0.2">
      <c r="A6" s="34" t="s">
        <v>88</v>
      </c>
      <c r="B6" s="35" t="s">
        <v>89</v>
      </c>
    </row>
    <row r="7" spans="1:2" ht="60" customHeight="1" x14ac:dyDescent="0.2">
      <c r="A7" s="36" t="s">
        <v>90</v>
      </c>
      <c r="B7" s="37" t="s">
        <v>91</v>
      </c>
    </row>
    <row r="8" spans="1:2" ht="60" customHeight="1" x14ac:dyDescent="0.2">
      <c r="A8" s="34" t="s">
        <v>92</v>
      </c>
      <c r="B8" s="35" t="s">
        <v>93</v>
      </c>
    </row>
    <row r="9" spans="1:2" ht="60" customHeight="1" x14ac:dyDescent="0.2">
      <c r="A9" s="36" t="s">
        <v>94</v>
      </c>
      <c r="B9" s="37" t="s">
        <v>95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Supply Network Model</vt:lpstr>
      <vt:lpstr>Results Dashboard</vt:lpstr>
      <vt:lpstr>About This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Khanna, Dhruva N.</cp:lastModifiedBy>
  <dcterms:created xsi:type="dcterms:W3CDTF">2026-05-19T05:01:44Z</dcterms:created>
  <dcterms:modified xsi:type="dcterms:W3CDTF">2026-05-21T04:27:23Z</dcterms:modified>
</cp:coreProperties>
</file>